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85AA7E42-0F3E-4C8A-93E6-D33C4B11F57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OS" sheetId="32" r:id="rId1"/>
    <sheet name="PPTO TP LOUNGE" sheetId="31" r:id="rId2"/>
    <sheet name="PPTO TP C.E" sheetId="30" r:id="rId3"/>
    <sheet name="BALANCE PPTO" sheetId="1" r:id="rId4"/>
    <sheet name="INFO.PROYECCIÓN" sheetId="15" r:id="rId5"/>
    <sheet name="INFO.RENTABILIDAD" sheetId="3" r:id="rId6"/>
    <sheet name="TABLERO Y AGENDA" sheetId="9" r:id="rId7"/>
    <sheet name="REPORTE X DÍAS" sheetId="8" r:id="rId8"/>
  </sheets>
  <definedNames>
    <definedName name="_xlnm._FilterDatabase" localSheetId="4" hidden="1">INFO.PROYECCIÓN!$F$1:$F$1</definedName>
    <definedName name="_xlnm._FilterDatabase" localSheetId="5" hidden="1">INFO.RENTABILIDAD!$A$1:$AC$96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31" l="1"/>
  <c r="F13" i="30"/>
  <c r="F10" i="30"/>
  <c r="I16" i="1" s="1"/>
  <c r="I20" i="1" s="1"/>
  <c r="M16" i="1" s="1"/>
  <c r="I29" i="32"/>
  <c r="I30" i="32" s="1"/>
  <c r="I14" i="32" s="1"/>
  <c r="F26" i="32"/>
  <c r="F10" i="32" s="1"/>
  <c r="I13" i="32"/>
  <c r="F30" i="32"/>
  <c r="F14" i="32" s="1"/>
  <c r="I22" i="32"/>
  <c r="I6" i="32" s="1"/>
  <c r="F22" i="32"/>
  <c r="F6" i="32" s="1"/>
  <c r="P16" i="31"/>
  <c r="P17" i="30"/>
  <c r="H19" i="1"/>
  <c r="J19" i="1" s="1"/>
  <c r="B16" i="31"/>
  <c r="C6" i="32" l="1"/>
  <c r="C5" i="32"/>
  <c r="C7" i="32"/>
  <c r="H3" i="32" s="1"/>
  <c r="F15" i="32"/>
  <c r="C15" i="32"/>
  <c r="I15" i="32"/>
  <c r="C13" i="32"/>
  <c r="F11" i="32"/>
  <c r="I7" i="32"/>
  <c r="F7" i="32"/>
  <c r="C10" i="32" l="1"/>
  <c r="C12" i="32" s="1"/>
  <c r="C9" i="32"/>
  <c r="C14" i="32" l="1"/>
  <c r="M6" i="31"/>
  <c r="O10" i="31"/>
  <c r="B4" i="30"/>
  <c r="P34" i="31"/>
  <c r="Q34" i="31" s="1"/>
  <c r="P22" i="31"/>
  <c r="J21" i="31"/>
  <c r="I21" i="31" s="1"/>
  <c r="E21" i="31"/>
  <c r="D21" i="31"/>
  <c r="J20" i="31"/>
  <c r="I20" i="31" s="1"/>
  <c r="E20" i="31"/>
  <c r="D20" i="31"/>
  <c r="J19" i="31"/>
  <c r="I19" i="31" s="1"/>
  <c r="E19" i="31"/>
  <c r="D19" i="31"/>
  <c r="P18" i="31"/>
  <c r="O5" i="31" s="1"/>
  <c r="J18" i="31"/>
  <c r="I18" i="31" s="1"/>
  <c r="E18" i="31"/>
  <c r="D18" i="31"/>
  <c r="J17" i="31"/>
  <c r="I17" i="31" s="1"/>
  <c r="E17" i="31"/>
  <c r="D17" i="31"/>
  <c r="O27" i="31"/>
  <c r="L23" i="9"/>
  <c r="E16" i="1"/>
  <c r="E17" i="1"/>
  <c r="D5" i="1" s="1"/>
  <c r="D10" i="1"/>
  <c r="D26" i="1" s="1"/>
  <c r="E21" i="1"/>
  <c r="M18" i="1" s="1"/>
  <c r="E33" i="1"/>
  <c r="F33" i="1" s="1"/>
  <c r="P35" i="30"/>
  <c r="Q35" i="30" s="1"/>
  <c r="P23" i="30"/>
  <c r="P19" i="30"/>
  <c r="O5" i="30" s="1"/>
  <c r="J12" i="30"/>
  <c r="I12" i="30" s="1"/>
  <c r="E12" i="30"/>
  <c r="D12" i="30"/>
  <c r="O11" i="30"/>
  <c r="O28" i="30" s="1"/>
  <c r="J11" i="30"/>
  <c r="I11" i="30" s="1"/>
  <c r="E11" i="30"/>
  <c r="G11" i="30" s="1"/>
  <c r="D11" i="30"/>
  <c r="J9" i="30"/>
  <c r="I9" i="30" s="1"/>
  <c r="E9" i="30"/>
  <c r="D9" i="30"/>
  <c r="J8" i="30"/>
  <c r="I8" i="30" s="1"/>
  <c r="E8" i="30"/>
  <c r="D8" i="30"/>
  <c r="J7" i="30"/>
  <c r="I7" i="30" s="1"/>
  <c r="E7" i="30"/>
  <c r="D7" i="30"/>
  <c r="J6" i="30"/>
  <c r="I6" i="30" s="1"/>
  <c r="E6" i="30"/>
  <c r="D6" i="30"/>
  <c r="J5" i="30"/>
  <c r="I5" i="30" s="1"/>
  <c r="E5" i="30"/>
  <c r="G5" i="30" s="1"/>
  <c r="D5" i="30"/>
  <c r="E30" i="1" l="1"/>
  <c r="D9" i="1" s="1"/>
  <c r="P17" i="31"/>
  <c r="H18" i="31" s="1"/>
  <c r="P18" i="30"/>
  <c r="P21" i="30" s="1"/>
  <c r="E22" i="31"/>
  <c r="H18" i="1" s="1"/>
  <c r="J18" i="1" s="1"/>
  <c r="M11" i="31"/>
  <c r="L12" i="30"/>
  <c r="K12" i="30" s="1"/>
  <c r="M9" i="31"/>
  <c r="M5" i="31"/>
  <c r="M10" i="31"/>
  <c r="M8" i="31"/>
  <c r="E10" i="30"/>
  <c r="H16" i="1" s="1"/>
  <c r="E13" i="30"/>
  <c r="H17" i="1" s="1"/>
  <c r="J17" i="1" s="1"/>
  <c r="L20" i="31"/>
  <c r="K20" i="31" s="1"/>
  <c r="L17" i="31"/>
  <c r="K17" i="31" s="1"/>
  <c r="L21" i="31"/>
  <c r="K21" i="31" s="1"/>
  <c r="L19" i="31"/>
  <c r="K19" i="31" s="1"/>
  <c r="M6" i="30"/>
  <c r="L7" i="30"/>
  <c r="K7" i="30" s="1"/>
  <c r="M8" i="30"/>
  <c r="M12" i="31"/>
  <c r="L9" i="30"/>
  <c r="K9" i="30" s="1"/>
  <c r="M13" i="31"/>
  <c r="G18" i="31"/>
  <c r="G20" i="31"/>
  <c r="H20" i="31"/>
  <c r="M15" i="31"/>
  <c r="L18" i="31"/>
  <c r="K18" i="31" s="1"/>
  <c r="P20" i="31"/>
  <c r="P31" i="31"/>
  <c r="O9" i="31" s="1"/>
  <c r="G17" i="31"/>
  <c r="G19" i="31"/>
  <c r="G21" i="31"/>
  <c r="B14" i="1"/>
  <c r="E19" i="1"/>
  <c r="G7" i="30"/>
  <c r="M14" i="30"/>
  <c r="G9" i="30"/>
  <c r="L11" i="30"/>
  <c r="K11" i="30" s="1"/>
  <c r="L5" i="30"/>
  <c r="K5" i="30" s="1"/>
  <c r="M11" i="30"/>
  <c r="M5" i="30"/>
  <c r="M16" i="30"/>
  <c r="M9" i="30"/>
  <c r="G12" i="30"/>
  <c r="G6" i="30"/>
  <c r="G8" i="30"/>
  <c r="L6" i="30"/>
  <c r="K6" i="30" s="1"/>
  <c r="M12" i="30"/>
  <c r="L8" i="30"/>
  <c r="K8" i="30" s="1"/>
  <c r="P32" i="30" l="1"/>
  <c r="O9" i="30" s="1"/>
  <c r="H17" i="31"/>
  <c r="H21" i="31"/>
  <c r="H6" i="30"/>
  <c r="H7" i="30"/>
  <c r="H8" i="30"/>
  <c r="H9" i="30"/>
  <c r="H10" i="30"/>
  <c r="H11" i="30"/>
  <c r="H12" i="30"/>
  <c r="H5" i="30"/>
  <c r="H19" i="31"/>
  <c r="J16" i="1"/>
  <c r="H20" i="1"/>
  <c r="H21" i="1" s="1"/>
  <c r="F33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4" i="9"/>
  <c r="F4" i="9"/>
  <c r="H13" i="30" l="1"/>
  <c r="H22" i="31"/>
  <c r="M17" i="1"/>
  <c r="M19" i="1" s="1"/>
  <c r="G23" i="1"/>
  <c r="L27" i="9"/>
  <c r="L28" i="9"/>
  <c r="L29" i="9"/>
  <c r="E7" i="9"/>
  <c r="E8" i="9"/>
  <c r="E9" i="9"/>
  <c r="E10" i="9"/>
  <c r="E11" i="9"/>
  <c r="E12" i="9"/>
  <c r="E13" i="9"/>
  <c r="E14" i="9"/>
  <c r="E15" i="9"/>
  <c r="E16" i="9"/>
  <c r="E17" i="9"/>
  <c r="E18" i="9"/>
  <c r="E33" i="9"/>
  <c r="E5" i="9"/>
  <c r="E6" i="9"/>
  <c r="E32" i="9"/>
  <c r="K4" i="8" l="1"/>
  <c r="K14" i="8"/>
  <c r="E19" i="9" l="1"/>
  <c r="E20" i="9"/>
  <c r="E21" i="9"/>
  <c r="E22" i="9"/>
  <c r="E23" i="9"/>
  <c r="E24" i="9"/>
  <c r="E25" i="9"/>
  <c r="E26" i="9"/>
  <c r="E27" i="9"/>
  <c r="E28" i="9"/>
  <c r="E29" i="9"/>
  <c r="E30" i="9"/>
  <c r="E31" i="9"/>
  <c r="E3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N6" i="8" l="1"/>
  <c r="B32" i="8"/>
  <c r="B33" i="8"/>
  <c r="B34" i="8"/>
  <c r="M25" i="9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M26" i="9"/>
  <c r="N10" i="9"/>
  <c r="N9" i="9"/>
  <c r="N8" i="9"/>
  <c r="N7" i="9"/>
  <c r="N6" i="9"/>
  <c r="L13" i="9" l="1"/>
  <c r="M27" i="9"/>
  <c r="M24" i="9"/>
  <c r="L25" i="9"/>
  <c r="L26" i="9"/>
  <c r="L30" i="9"/>
  <c r="L31" i="9"/>
  <c r="L32" i="9"/>
  <c r="L33" i="9"/>
  <c r="L24" i="9"/>
  <c r="M20" i="9"/>
  <c r="M18" i="9"/>
  <c r="L20" i="9"/>
  <c r="M16" i="9"/>
  <c r="L16" i="9"/>
  <c r="E4" i="9"/>
  <c r="I4" i="9"/>
  <c r="G4" i="9"/>
  <c r="D35" i="9"/>
  <c r="C35" i="9"/>
  <c r="D34" i="8"/>
  <c r="F34" i="8"/>
  <c r="H34" i="8" s="1"/>
  <c r="G34" i="8"/>
  <c r="B4" i="8"/>
  <c r="D5" i="8"/>
  <c r="D6" i="8"/>
  <c r="D8" i="8"/>
  <c r="D11" i="8"/>
  <c r="D12" i="8"/>
  <c r="D13" i="8"/>
  <c r="D15" i="8"/>
  <c r="D18" i="8"/>
  <c r="D19" i="8"/>
  <c r="D20" i="8"/>
  <c r="D22" i="8"/>
  <c r="D24" i="8"/>
  <c r="D25" i="8"/>
  <c r="D26" i="8"/>
  <c r="D27" i="8"/>
  <c r="D29" i="8"/>
  <c r="H4" i="9"/>
  <c r="G21" i="8"/>
  <c r="F26" i="8"/>
  <c r="F22" i="8"/>
  <c r="F21" i="8"/>
  <c r="F19" i="8"/>
  <c r="F12" i="8"/>
  <c r="F10" i="8"/>
  <c r="K5" i="8"/>
  <c r="M34" i="9" l="1"/>
  <c r="L18" i="9"/>
  <c r="M30" i="9"/>
  <c r="N5" i="8"/>
  <c r="N7" i="8" s="1"/>
  <c r="K6" i="8"/>
  <c r="D23" i="8"/>
  <c r="O9" i="9"/>
  <c r="O6" i="9"/>
  <c r="D9" i="8"/>
  <c r="O7" i="9"/>
  <c r="D30" i="8"/>
  <c r="D16" i="8"/>
  <c r="O8" i="9"/>
  <c r="L14" i="9"/>
  <c r="D7" i="8"/>
  <c r="D28" i="8"/>
  <c r="D21" i="8"/>
  <c r="D14" i="8"/>
  <c r="N11" i="9"/>
  <c r="H35" i="9"/>
  <c r="F35" i="9"/>
  <c r="G35" i="9"/>
  <c r="D4" i="8"/>
  <c r="D10" i="8"/>
  <c r="D31" i="8"/>
  <c r="D17" i="8"/>
  <c r="M5" i="8"/>
  <c r="F4" i="8"/>
  <c r="N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2" i="8"/>
  <c r="G23" i="8"/>
  <c r="G24" i="8"/>
  <c r="G25" i="8"/>
  <c r="G26" i="8"/>
  <c r="G27" i="8"/>
  <c r="G28" i="8"/>
  <c r="G29" i="8"/>
  <c r="G30" i="8"/>
  <c r="G31" i="8"/>
  <c r="G32" i="8"/>
  <c r="G33" i="8"/>
  <c r="F5" i="8"/>
  <c r="F6" i="8"/>
  <c r="F7" i="8"/>
  <c r="F8" i="8"/>
  <c r="F9" i="8"/>
  <c r="F13" i="8"/>
  <c r="F14" i="8"/>
  <c r="F15" i="8"/>
  <c r="F16" i="8"/>
  <c r="F17" i="8"/>
  <c r="F20" i="8"/>
  <c r="F23" i="8"/>
  <c r="F24" i="8"/>
  <c r="F25" i="8"/>
  <c r="F27" i="8"/>
  <c r="F28" i="8"/>
  <c r="F29" i="8"/>
  <c r="F30" i="8"/>
  <c r="F31" i="8"/>
  <c r="F32" i="8"/>
  <c r="F33" i="8"/>
  <c r="J3" i="8"/>
  <c r="M3" i="8" s="1"/>
  <c r="G4" i="8"/>
  <c r="D32" i="8"/>
  <c r="D33" i="8"/>
  <c r="P9" i="9" l="1"/>
  <c r="P6" i="9"/>
  <c r="P10" i="9"/>
  <c r="P8" i="9"/>
  <c r="P7" i="9"/>
  <c r="O10" i="9"/>
  <c r="O11" i="9" s="1"/>
  <c r="E35" i="9"/>
  <c r="I35" i="9"/>
  <c r="F11" i="8"/>
  <c r="F18" i="8"/>
  <c r="K19" i="8"/>
  <c r="K18" i="8"/>
  <c r="P38" i="31" l="1"/>
  <c r="E37" i="1"/>
  <c r="P37" i="31"/>
  <c r="E36" i="1"/>
  <c r="P38" i="30"/>
  <c r="P39" i="30"/>
  <c r="K16" i="8"/>
  <c r="P11" i="9"/>
  <c r="P21" i="31" l="1"/>
  <c r="E20" i="1"/>
  <c r="P22" i="30"/>
  <c r="B5" i="1"/>
  <c r="K17" i="8"/>
  <c r="B8" i="1"/>
  <c r="B12" i="1"/>
  <c r="B9" i="1"/>
  <c r="B10" i="1"/>
  <c r="B11" i="1"/>
  <c r="B6" i="1"/>
  <c r="E31" i="1" l="1"/>
  <c r="E23" i="1"/>
  <c r="E24" i="1" s="1"/>
  <c r="E22" i="1"/>
  <c r="M31" i="9" s="1"/>
  <c r="E34" i="1"/>
  <c r="P35" i="31"/>
  <c r="P23" i="31"/>
  <c r="P24" i="31"/>
  <c r="P25" i="31" s="1"/>
  <c r="P32" i="31"/>
  <c r="P9" i="31" s="1"/>
  <c r="P11" i="31" s="1"/>
  <c r="P36" i="30"/>
  <c r="P24" i="30"/>
  <c r="P25" i="30"/>
  <c r="P26" i="30" s="1"/>
  <c r="P33" i="30"/>
  <c r="K25" i="8"/>
  <c r="M29" i="9"/>
  <c r="K20" i="8"/>
  <c r="K22" i="8"/>
  <c r="P33" i="31" l="1"/>
  <c r="P13" i="31"/>
  <c r="O13" i="31"/>
  <c r="E9" i="1"/>
  <c r="E11" i="1" s="1"/>
  <c r="E32" i="1"/>
  <c r="D11" i="1" s="1"/>
  <c r="E26" i="1" s="1"/>
  <c r="E35" i="1"/>
  <c r="P36" i="31"/>
  <c r="P37" i="30"/>
  <c r="P34" i="30"/>
  <c r="O12" i="30" s="1"/>
  <c r="P28" i="30" s="1"/>
  <c r="P9" i="30"/>
  <c r="P12" i="30" s="1"/>
  <c r="O14" i="30"/>
  <c r="P14" i="30"/>
  <c r="M32" i="9"/>
  <c r="O11" i="31" l="1"/>
  <c r="P27" i="31" s="1"/>
  <c r="E30" i="8"/>
  <c r="H30" i="8"/>
  <c r="E17" i="8"/>
  <c r="H17" i="8"/>
  <c r="E16" i="8"/>
  <c r="H16" i="8"/>
  <c r="H23" i="8"/>
  <c r="E23" i="8"/>
  <c r="E9" i="8"/>
  <c r="H9" i="8"/>
  <c r="H24" i="8"/>
  <c r="E24" i="8"/>
  <c r="E28" i="8"/>
  <c r="H28" i="8"/>
  <c r="H31" i="8"/>
  <c r="E31" i="8"/>
  <c r="E8" i="8"/>
  <c r="H8" i="8"/>
  <c r="H21" i="8"/>
  <c r="E21" i="8"/>
  <c r="H10" i="8"/>
  <c r="E10" i="8"/>
  <c r="H29" i="8"/>
  <c r="E29" i="8"/>
  <c r="E15" i="8"/>
  <c r="H15" i="8"/>
  <c r="E4" i="8"/>
  <c r="E19" i="8"/>
  <c r="H19" i="8"/>
  <c r="H26" i="8"/>
  <c r="E26" i="8"/>
  <c r="H33" i="8"/>
  <c r="E33" i="8"/>
  <c r="H27" i="8"/>
  <c r="E27" i="8"/>
  <c r="E25" i="8"/>
  <c r="H25" i="8"/>
  <c r="E11" i="8"/>
  <c r="H11" i="8"/>
  <c r="H22" i="8"/>
  <c r="E22" i="8"/>
  <c r="H18" i="8"/>
  <c r="E18" i="8"/>
  <c r="H32" i="8"/>
  <c r="E32" i="8"/>
  <c r="H20" i="8"/>
  <c r="E20" i="8"/>
  <c r="E34" i="8"/>
  <c r="E14" i="8"/>
  <c r="H14" i="8"/>
  <c r="E12" i="8"/>
  <c r="H12" i="8"/>
  <c r="E5" i="8"/>
  <c r="H5" i="8"/>
  <c r="E13" i="8"/>
  <c r="H13" i="8"/>
  <c r="E6" i="8"/>
  <c r="H6" i="8"/>
  <c r="E7" i="8"/>
  <c r="H7" i="8"/>
  <c r="M19" i="9"/>
  <c r="M17" i="9"/>
  <c r="L21" i="9"/>
  <c r="M21" i="9"/>
  <c r="M33" i="9"/>
  <c r="K24" i="8"/>
  <c r="K21" i="8" l="1"/>
  <c r="N8" i="8"/>
  <c r="K7" i="8" s="1"/>
  <c r="M28" i="9"/>
  <c r="L17" i="9" l="1"/>
  <c r="K23" i="8"/>
  <c r="L19" i="9" l="1"/>
</calcChain>
</file>

<file path=xl/sharedStrings.xml><?xml version="1.0" encoding="utf-8"?>
<sst xmlns="http://schemas.openxmlformats.org/spreadsheetml/2006/main" count="12863" uniqueCount="3026">
  <si>
    <t>PERSONAL</t>
  </si>
  <si>
    <t># ATENCIONES</t>
  </si>
  <si>
    <t>DANIELA ASTAROT SALAZAR URIBE</t>
  </si>
  <si>
    <t>JURANY SANCHEZ</t>
  </si>
  <si>
    <t>LUISA HERNANDEZ TEJADA</t>
  </si>
  <si>
    <t>STEPHANIA LAGUADO GONZALEZ</t>
  </si>
  <si>
    <t># Atención</t>
  </si>
  <si>
    <t># Registro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</si>
  <si>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</si>
  <si>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</si>
  <si>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</si>
  <si>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</si>
  <si>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</si>
  <si>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</si>
  <si>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</si>
  <si>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</si>
  <si>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</si>
  <si>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Vlr Comisiones</t>
  </si>
  <si>
    <t>Vlr Insumos</t>
  </si>
  <si>
    <t>Costo Adicional</t>
  </si>
  <si>
    <t>Rentabilidad Insumos</t>
  </si>
  <si>
    <t>Rentabilidad Equipos</t>
  </si>
  <si>
    <t>Rentabilidad Ips</t>
  </si>
  <si>
    <t>Rentabilidad Total</t>
  </si>
  <si>
    <t>Rentabilidad Porcentaje</t>
  </si>
  <si>
    <t>Pendiente Registrar</t>
  </si>
  <si>
    <t>Códio Cups</t>
  </si>
  <si>
    <t>Costo Comisiones</t>
  </si>
  <si>
    <t>Costo Insumos</t>
  </si>
  <si>
    <t>Costo Bancario</t>
  </si>
  <si>
    <t>Promedio Porcentaje</t>
  </si>
  <si>
    <t>Observaciones</t>
  </si>
  <si>
    <t>Fecha Facturación</t>
  </si>
  <si>
    <t>Pagado este mes</t>
  </si>
  <si>
    <t>Procedencia / Recomendacion</t>
  </si>
  <si>
    <t>Edad del paciente</t>
  </si>
  <si>
    <t>Numero Factura</t>
  </si>
  <si>
    <t>FACTURADO</t>
  </si>
  <si>
    <t>% ESP</t>
  </si>
  <si>
    <t>DERMATOLOGÍA</t>
  </si>
  <si>
    <t>MED ESTÉTICA</t>
  </si>
  <si>
    <t>RESULTADO</t>
  </si>
  <si>
    <t>FECHA</t>
  </si>
  <si>
    <t>PROYECCIÓN</t>
  </si>
  <si>
    <t>% RESULTADO ESP</t>
  </si>
  <si>
    <t>META DIARIA</t>
  </si>
  <si>
    <t>PRESUPUESTO</t>
  </si>
  <si>
    <t>%</t>
  </si>
  <si>
    <t xml:space="preserve">DÍAS HÁB MES </t>
  </si>
  <si>
    <t>DÍAS EJECT</t>
  </si>
  <si>
    <t>-</t>
  </si>
  <si>
    <t>TABLERO VENTA DIARIA/MENSUAL</t>
  </si>
  <si>
    <t>META DÍA/HÁBIL</t>
  </si>
  <si>
    <t>RESULTADO ESP</t>
  </si>
  <si>
    <t>SEMANA 1</t>
  </si>
  <si>
    <t>SEMANA 2</t>
  </si>
  <si>
    <t>SEMANA 3</t>
  </si>
  <si>
    <t>SEMANA 4</t>
  </si>
  <si>
    <t>FECHAS</t>
  </si>
  <si>
    <t>PENDIENTE</t>
  </si>
  <si>
    <t>% DIF</t>
  </si>
  <si>
    <t>GESTIÓN COM</t>
  </si>
  <si>
    <t>ANTICIPOS</t>
  </si>
  <si>
    <t>SIN PAGO</t>
  </si>
  <si>
    <t>PAGO SI</t>
  </si>
  <si>
    <t>PAGO NO</t>
  </si>
  <si>
    <t>Objetivo Facuración</t>
  </si>
  <si>
    <t>Anticipos Sep</t>
  </si>
  <si>
    <t>Objetivo al día</t>
  </si>
  <si>
    <t>Resultado Esperado</t>
  </si>
  <si>
    <t>MABEL</t>
  </si>
  <si>
    <t>JUAN PABLO</t>
  </si>
  <si>
    <t>% AL DÍA</t>
  </si>
  <si>
    <t>Día Hábil</t>
  </si>
  <si>
    <t>SERVICIOS PRESTADOS</t>
  </si>
  <si>
    <t>Cartera Mes</t>
  </si>
  <si>
    <t>Proyectado Día</t>
  </si>
  <si>
    <t>% Al Día</t>
  </si>
  <si>
    <t>% Real</t>
  </si>
  <si>
    <t>PROYEC DÍA</t>
  </si>
  <si>
    <t>DÍA HABIL</t>
  </si>
  <si>
    <t>TABLERO RESULTADO DÍA</t>
  </si>
  <si>
    <t>$ VENTA</t>
  </si>
  <si>
    <t>Cierre Facturado Día</t>
  </si>
  <si>
    <t>REPORTE GENERAL</t>
  </si>
  <si>
    <t>S. PRESTADOS</t>
  </si>
  <si>
    <t>% REAL CUM</t>
  </si>
  <si>
    <t>PROYECIÓN INICIO MES</t>
  </si>
  <si>
    <t>GESTIÓN COMERCIAL REAL</t>
  </si>
  <si>
    <t>Gestión Pendiente</t>
  </si>
  <si>
    <t>FALTA X CUMPLIR</t>
  </si>
  <si>
    <t>Estado Agendamiento Día</t>
  </si>
  <si>
    <t>Facturación Real</t>
  </si>
  <si>
    <t>OTRAS VENTAS</t>
  </si>
  <si>
    <t>% DIFERENCIA</t>
  </si>
  <si>
    <t>Objetivo Hábil</t>
  </si>
  <si>
    <t>Objetivo Domingos</t>
  </si>
  <si>
    <t>META OBJETIVO</t>
  </si>
  <si>
    <t>NO INCLUIR EN EL INFORME POR FA!</t>
  </si>
  <si>
    <t>NO INCLUIR EN EL INFORME POR FA !</t>
  </si>
  <si>
    <t>Proyección Mes</t>
  </si>
  <si>
    <t>Objetivo Venta Día</t>
  </si>
  <si>
    <t>SEMANA 5</t>
  </si>
  <si>
    <t>PROYECIÓN QUINCENA</t>
  </si>
  <si>
    <t>ANTICIPOS OCT</t>
  </si>
  <si>
    <t>CARTERA OCT</t>
  </si>
  <si>
    <t>LINDA ELIANA AROCA LONDOÑO</t>
  </si>
  <si>
    <t>MARIA CAMILA ZULUAGA ALVAREZ</t>
  </si>
  <si>
    <t>PROYECCIÓN ABRIL</t>
  </si>
  <si>
    <t>TUPI GESTIÓN COMERCIAL ABRIL</t>
  </si>
  <si>
    <t>ABRIL</t>
  </si>
  <si>
    <t>Fecha Realización</t>
  </si>
  <si>
    <t>Fecha</t>
  </si>
  <si>
    <t>% ESPERADO AL DÍA</t>
  </si>
  <si>
    <t>% REAL AL DÍA</t>
  </si>
  <si>
    <t>NOS FALTA VENDER</t>
  </si>
  <si>
    <t>QUITAR</t>
  </si>
  <si>
    <t>VENTA</t>
  </si>
  <si>
    <t>Cumpliento Meta</t>
  </si>
  <si>
    <t>% Cumplimiento Día</t>
  </si>
  <si>
    <t>% CUMPLIMIENTO POR DÍA DE SERVICIOS FACTURADOS Y REALIZADOS JUNIO 2025</t>
  </si>
  <si>
    <t>EQUIPO TP PM</t>
  </si>
  <si>
    <t>LUISA FERNANDA CORREA HERNANDEZ</t>
  </si>
  <si>
    <t>Estado Meta al día</t>
  </si>
  <si>
    <t>VENTA IDEAL</t>
  </si>
  <si>
    <t>PROYECCIÓN %</t>
  </si>
  <si>
    <t>DAVID CHALARCA CANAS</t>
  </si>
  <si>
    <t>PAULA ANDREA ARISTIZABAL DIAZ</t>
  </si>
  <si>
    <t>PROYECCIÓN $</t>
  </si>
  <si>
    <t>PENDIENTE %</t>
  </si>
  <si>
    <t>PENDIENTE $</t>
  </si>
  <si>
    <t>MARIA JOSE SANCHEZ HIGUITA</t>
  </si>
  <si>
    <t>KAREN LORENA AMARIS GARCES</t>
  </si>
  <si>
    <t>f</t>
  </si>
  <si>
    <t>YANED FAYSURI RESTREPO</t>
  </si>
  <si>
    <t>ESTRATEGIA DICIEMBRE</t>
  </si>
  <si>
    <t>META DICIEMBRE</t>
  </si>
  <si>
    <t>VENTA ESPERADA DIC</t>
  </si>
  <si>
    <t>FACTURADO DIC</t>
  </si>
  <si>
    <t>PROYECCIÓN DIC</t>
  </si>
  <si>
    <t>Total Med Estética:</t>
  </si>
  <si>
    <t>Total Derma:</t>
  </si>
  <si>
    <t>CONTROLADOR DE PRESUPUESTOS ESPECIALISTAS</t>
  </si>
  <si>
    <t>META ENERO</t>
  </si>
  <si>
    <t>CONTROLADOR DE PRESUPUESTOS TP LOUNGE</t>
  </si>
  <si>
    <t>TP LOUNGE</t>
  </si>
  <si>
    <t>% VENTA</t>
  </si>
  <si>
    <t>Total TP Lounge:</t>
  </si>
  <si>
    <t>ROTACIÓN PRODUCTOS</t>
  </si>
  <si>
    <t xml:space="preserve">Fecha Reporte: </t>
  </si>
  <si>
    <t>CONTROL BOTOX</t>
  </si>
  <si>
    <t>CONTROL RADIESSE</t>
  </si>
  <si>
    <t>Disponibles Hoy</t>
  </si>
  <si>
    <t>Unidades Botox Vendidas</t>
  </si>
  <si>
    <t>Radiesse Vendidos</t>
  </si>
  <si>
    <t>CONTROL HARMONYCA</t>
  </si>
  <si>
    <t>CONTROL BELOTERO</t>
  </si>
  <si>
    <t>META DÍA</t>
  </si>
  <si>
    <t>AH Balance</t>
  </si>
  <si>
    <t>VENTA ESPERADA</t>
  </si>
  <si>
    <t>AH Intense</t>
  </si>
  <si>
    <t>Hca Vendidos</t>
  </si>
  <si>
    <t>AH Volume</t>
  </si>
  <si>
    <t>VENTA ADICIONAL</t>
  </si>
  <si>
    <t>CONTROL SKINVIVE</t>
  </si>
  <si>
    <t>AH Revive</t>
  </si>
  <si>
    <t>% ESPERADO</t>
  </si>
  <si>
    <t>CUMPLIMIENTO</t>
  </si>
  <si>
    <t>AH Belotero Vendidos</t>
  </si>
  <si>
    <t>ROTACIÓN BODEGA TU PIEL ENERO</t>
  </si>
  <si>
    <t>Meta Tu Piel Centro Especializado</t>
  </si>
  <si>
    <t>Venta de Producto</t>
  </si>
  <si>
    <t>Tu Piel Centro Especializado</t>
  </si>
  <si>
    <t>Tu Piel Lounge</t>
  </si>
  <si>
    <t>Meta Ventas</t>
  </si>
  <si>
    <t>Valor $</t>
  </si>
  <si>
    <t>TP Lounge</t>
  </si>
  <si>
    <t>Productos</t>
  </si>
  <si>
    <t>Venta</t>
  </si>
  <si>
    <t>Total</t>
  </si>
  <si>
    <t>Unidad de Negocio</t>
  </si>
  <si>
    <t>Meta</t>
  </si>
  <si>
    <t>Tu Piel Derma</t>
  </si>
  <si>
    <t>Tu Piel Medicina Estética</t>
  </si>
  <si>
    <t>Meta Global</t>
  </si>
  <si>
    <t>Ventas</t>
  </si>
  <si>
    <t>Agendamiento</t>
  </si>
  <si>
    <t>Falta</t>
  </si>
  <si>
    <t>Balance Meta</t>
  </si>
  <si>
    <t>Faltaría</t>
  </si>
  <si>
    <t>Skinvive Vendidos</t>
  </si>
  <si>
    <t>REPORTE PRODUCTOS FEBRERO</t>
  </si>
  <si>
    <t>META FEBRERO</t>
  </si>
  <si>
    <t>FACTURADO FEB</t>
  </si>
  <si>
    <t>ESTRATEGIA FEBRERO</t>
  </si>
  <si>
    <t>VENTA ESPERADA FEB</t>
  </si>
  <si>
    <t>PROYECCIÓN FEB</t>
  </si>
  <si>
    <t>DL0002</t>
  </si>
  <si>
    <t>DEPILACION ZONA MEDIANA ( ROSTRO COMPLETO, BIKINI)</t>
  </si>
  <si>
    <t>DEPILACION - COSMETOLOGÍA</t>
  </si>
  <si>
    <t>COSMETOLOGÍA</t>
  </si>
  <si>
    <t>1050 DEPILACIÓN REMOVALL</t>
  </si>
  <si>
    <t>SI</t>
  </si>
  <si>
    <t>NO</t>
  </si>
  <si>
    <t>VITRINA</t>
  </si>
  <si>
    <t>CC 1020411620</t>
  </si>
  <si>
    <t>SINDY TAPIERO FLOREZ</t>
  </si>
  <si>
    <t>LP0001</t>
  </si>
  <si>
    <t>LONGPULSE - MELASMA COMPONENTE VASCULAR + PIGMENTARIO -  PASO 1/2</t>
  </si>
  <si>
    <t>LONGPULSE - PROCEDIMIENTOS</t>
  </si>
  <si>
    <t>PROCEDIMIENTOS</t>
  </si>
  <si>
    <t>60 LONGPULSE</t>
  </si>
  <si>
    <t>2025-04-05 10:18:00</t>
  </si>
  <si>
    <t>INSTAGRAM</t>
  </si>
  <si>
    <t>FE6718</t>
  </si>
  <si>
    <t>DL0013</t>
  </si>
  <si>
    <t>COMBO 8 (ZONA PEQUEÑA + ZONA MEDIANA)</t>
  </si>
  <si>
    <t>DL0009</t>
  </si>
  <si>
    <t>DEPILACION ZONA MINI (DEDOS, PERIANAL, AREOLA, OREJAS, BIGOTE)</t>
  </si>
  <si>
    <t>CC 1037649031</t>
  </si>
  <si>
    <t>DANIELA OCAMPO RODRIGUEZ</t>
  </si>
  <si>
    <t>CONSULTA DE CONTROL - PROCEDIMIENTO</t>
  </si>
  <si>
    <t>CONSULTA CONTROL - CONSULTA</t>
  </si>
  <si>
    <t>CONSULTA</t>
  </si>
  <si>
    <t>Revisar insumos</t>
  </si>
  <si>
    <t>AMIG@</t>
  </si>
  <si>
    <t>CC 1049611021</t>
  </si>
  <si>
    <t>YESICA PAOLA ARIZA MORA</t>
  </si>
  <si>
    <t>HP0001</t>
  </si>
  <si>
    <t>HANDPICO - MELASMA COMPONENTE PIGMENTARIO - PASO 2/2</t>
  </si>
  <si>
    <t>HANDPICO - PROCEDIMIENTOS</t>
  </si>
  <si>
    <t>DL0004</t>
  </si>
  <si>
    <t>COMBO 1 ( ZONA MINI+ ZONA PEQUEÑA)</t>
  </si>
  <si>
    <t>DL0001</t>
  </si>
  <si>
    <t>DEPILACION ZONA PEQUEÑA (AXILAS, LINEA ALBA, MANOS)</t>
  </si>
  <si>
    <t>CC 1128264720</t>
  </si>
  <si>
    <t>MONICA ECHEVERRI</t>
  </si>
  <si>
    <t>HP0008</t>
  </si>
  <si>
    <t>HANDPICO - TATUAJE PEQUEÑO HASTA 3 CM</t>
  </si>
  <si>
    <t>1034 HANDPICO</t>
  </si>
  <si>
    <t>CC 42882146</t>
  </si>
  <si>
    <t>CRISTINA ANGEL BOTERO</t>
  </si>
  <si>
    <t>DL0003</t>
  </si>
  <si>
    <t>DEPILACION ZONA GRANDE (PIERNAS, ESPALDA, MUSLOS, PECHO, ABDOMEN)</t>
  </si>
  <si>
    <t>CONSULTA DE CONTROL O DE SEGUIMIENTO POR MEDICINA ESPECIALIZADA &gt; 1 MES</t>
  </si>
  <si>
    <t>N00003</t>
  </si>
  <si>
    <t>NANOPORE - PROCEDIMIENTOS</t>
  </si>
  <si>
    <t>N/A NANOPORE</t>
  </si>
  <si>
    <t>MEDICO</t>
  </si>
  <si>
    <t>CC 1192741542</t>
  </si>
  <si>
    <t>LAURA VICTORIA LOPEZ HERNANDEZ</t>
  </si>
  <si>
    <t>2025-10-03 11:34:00</t>
  </si>
  <si>
    <t>FE10984</t>
  </si>
  <si>
    <t>CC 1128386077</t>
  </si>
  <si>
    <t>JUAN CAMILO MEJIA MONSALVE</t>
  </si>
  <si>
    <t>M00011</t>
  </si>
  <si>
    <t>FOTOAGE</t>
  </si>
  <si>
    <t>MESOJECT - PROCEDIMIENTOS</t>
  </si>
  <si>
    <t>A123 DISPOSITIVO FOTOAGE</t>
  </si>
  <si>
    <t>2025-12-20 16:28:00</t>
  </si>
  <si>
    <t>FE12876</t>
  </si>
  <si>
    <t>CC 21533931</t>
  </si>
  <si>
    <t>MARGARITA SANCHEZ FERNANDEZ</t>
  </si>
  <si>
    <t>CC 1036643377</t>
  </si>
  <si>
    <t>CAMILA PELAEZ USMA</t>
  </si>
  <si>
    <t>PD0009</t>
  </si>
  <si>
    <t>CICATRICES POST QUIRURGICAS 6-10 CMS - PRODEEP</t>
  </si>
  <si>
    <t>PRODEEP - PROCEDIMIENTOS</t>
  </si>
  <si>
    <t>59 PRODEEP</t>
  </si>
  <si>
    <t>CC 1017180885</t>
  </si>
  <si>
    <t>ALEJANDRA GUTIERREZ ISAZA</t>
  </si>
  <si>
    <t>LF0002</t>
  </si>
  <si>
    <t>LIMPIEZA FACIAL GOLD</t>
  </si>
  <si>
    <t>ESTÉTICA - PROCEDIMIENTOS</t>
  </si>
  <si>
    <t>CC 677462449</t>
  </si>
  <si>
    <t>STEVEN POWELL</t>
  </si>
  <si>
    <t>2025-11-12 17:31:00</t>
  </si>
  <si>
    <t>GOOGLE</t>
  </si>
  <si>
    <t>FE81</t>
  </si>
  <si>
    <t>CC 43118568</t>
  </si>
  <si>
    <t>ANA MARIA ARANGO NARANJO</t>
  </si>
  <si>
    <t>CONSULTA DE CONTROL O DE SEGUIMIENTO POR ESPECIALISTA EN DERMATOLOGÍA &lt; 1 MES</t>
  </si>
  <si>
    <t>PROCE DERMA - PROCEDIMIENTOS</t>
  </si>
  <si>
    <t>CC 71776163</t>
  </si>
  <si>
    <t>LUIS FELIPE GALLEGO ZAPATA</t>
  </si>
  <si>
    <t>TI 1064191165</t>
  </si>
  <si>
    <t>JUAN CARLOS MARTINEZ BERRIO</t>
  </si>
  <si>
    <t>CC 39280630</t>
  </si>
  <si>
    <t>INGRI YOREIDA MARTINEZ VILLEGAS</t>
  </si>
  <si>
    <t>M00003</t>
  </si>
  <si>
    <t>MESOTERAPIA PELO DUTASTERIDE</t>
  </si>
  <si>
    <t>CC 1036647652</t>
  </si>
  <si>
    <t>ALEJANDRA BONILLA SANCHEZ</t>
  </si>
  <si>
    <t>PA AS571977</t>
  </si>
  <si>
    <t>EMILY GOMEZ</t>
  </si>
  <si>
    <t>LC0012</t>
  </si>
  <si>
    <t>CO2 REJUVENECIMIENTO FACIAL + EXOSOMAS</t>
  </si>
  <si>
    <t>LASER Co2 - PROCEDIMIENTOS</t>
  </si>
  <si>
    <t>SUBCISION</t>
  </si>
  <si>
    <t>APLICACIÓN DE SKINVIVE</t>
  </si>
  <si>
    <t>INYECTABLES - PROCEDIMIENTOS</t>
  </si>
  <si>
    <t>PD0020</t>
  </si>
  <si>
    <t>REJUVENECIMIENTO FACIAL + EXOSOMAS - PRODEEP</t>
  </si>
  <si>
    <t>CC 1020460693</t>
  </si>
  <si>
    <t>NATALIA FRANCO MUÑOZ</t>
  </si>
  <si>
    <t>CC 1128407524</t>
  </si>
  <si>
    <t>LEIDY JHOANA SIERRA USUGA</t>
  </si>
  <si>
    <t>INFILTRACION INTRALESIONAL 1-5 LESIONES</t>
  </si>
  <si>
    <t>CC 70753003</t>
  </si>
  <si>
    <t>JUAN MANUEL RESTREPO</t>
  </si>
  <si>
    <t>CC 43664001</t>
  </si>
  <si>
    <t>MARGARITA ELENA MARIN MARIN</t>
  </si>
  <si>
    <t>RESECCION BENIGNA  &lt; 1 CM  SIN PATOLOGIA</t>
  </si>
  <si>
    <t>43 IPL-SQ</t>
  </si>
  <si>
    <t>CE 1212032</t>
  </si>
  <si>
    <t>DANIELA CANTO CRUZ</t>
  </si>
  <si>
    <t>CC 43825796</t>
  </si>
  <si>
    <t>DIANA PATRICIA TABORDA ESPINOSA</t>
  </si>
  <si>
    <t>APLICACIÓN BIOESTIMULADOR SCULPTRA</t>
  </si>
  <si>
    <t>PAGINA WEB</t>
  </si>
  <si>
    <t>CC 1037626472</t>
  </si>
  <si>
    <t>SEBASTIAN OSPINA PORRAS</t>
  </si>
  <si>
    <t>CC 1001535287</t>
  </si>
  <si>
    <t>SANDRA MORALES MORALES</t>
  </si>
  <si>
    <t>IP0001</t>
  </si>
  <si>
    <t>IPL PROCEDIMIENTOS POR ZONA</t>
  </si>
  <si>
    <t>LC0010</t>
  </si>
  <si>
    <t>CO2 FULGURACIONES &gt; 10 LESIONES (CARA, CUELLO O CORPORAL)</t>
  </si>
  <si>
    <t>NA LÁSER IBLAZE (CO2)</t>
  </si>
  <si>
    <t>CC 1128329773</t>
  </si>
  <si>
    <t>ADRIANA LUCIA SINNING OSORIO</t>
  </si>
  <si>
    <t>CONSULTA DE PRIMERA VEZ POR MEDICINA ESPECIALIZADA -DERMATOL</t>
  </si>
  <si>
    <t>CONSULTA PRIMERA VEZ - CONSULTA</t>
  </si>
  <si>
    <t>CC 1216723776</t>
  </si>
  <si>
    <t>VALENTINA ECHAVARRIA ZAPATA</t>
  </si>
  <si>
    <t>CC 41948619</t>
  </si>
  <si>
    <t>NANCY JOHANA QUINTERO</t>
  </si>
  <si>
    <t>IP0019</t>
  </si>
  <si>
    <t>IPL PROTOCOLO MELASMA PASO 1/2</t>
  </si>
  <si>
    <t>CC 1042094737</t>
  </si>
  <si>
    <t>ERICA LICETH GAVIRIA MEJIA</t>
  </si>
  <si>
    <t>CM0017</t>
  </si>
  <si>
    <t>COLOR MAX MELASMA - HIPERPIGMENTEACIONES</t>
  </si>
  <si>
    <t>COLOR MAX - PROCEDIMIENTOS</t>
  </si>
  <si>
    <t>NA LÁSER COLOR MAX</t>
  </si>
  <si>
    <t>CC 1152694364</t>
  </si>
  <si>
    <t>ESTEFANY QUINTERO</t>
  </si>
  <si>
    <t>P00013</t>
  </si>
  <si>
    <t>PEELING MELINE INTIMO</t>
  </si>
  <si>
    <t>PEELING - PROCEDIMIENTOS</t>
  </si>
  <si>
    <t>CC 1006689539</t>
  </si>
  <si>
    <t>NATALY ECHEVARRIA GRISALES</t>
  </si>
  <si>
    <t>CC 30669200</t>
  </si>
  <si>
    <t>ADRIANA JIMENEZ GONZALEZ</t>
  </si>
  <si>
    <t>CC 43255508</t>
  </si>
  <si>
    <t>MARCELA VANEGAS GONZALEZ</t>
  </si>
  <si>
    <t>2026-01-26 13:54:00</t>
  </si>
  <si>
    <t>FE13689</t>
  </si>
  <si>
    <t>CC 21401500</t>
  </si>
  <si>
    <t>CAROLINA MERCEDES MELGUIZO ARANGO</t>
  </si>
  <si>
    <t>CC 44001169</t>
  </si>
  <si>
    <t>DIANA CRISTINA BEDOYA</t>
  </si>
  <si>
    <t>P00008</t>
  </si>
  <si>
    <t>PEELING MELASMA MELINE</t>
  </si>
  <si>
    <t>CC 1000884962</t>
  </si>
  <si>
    <t>MARIA JOSE QUIROZ MEJIA</t>
  </si>
  <si>
    <t>LC0002</t>
  </si>
  <si>
    <t>CO2 CICATRICES POST QUIRURGICAS 1 LESION HASTA 5 CM</t>
  </si>
  <si>
    <t>2026-01-03 09:26:00</t>
  </si>
  <si>
    <t>FE13159</t>
  </si>
  <si>
    <t>CC 1041328840</t>
  </si>
  <si>
    <t>VERONICA ANDREA OCHOA SANCHEZ</t>
  </si>
  <si>
    <t>CC 32184726</t>
  </si>
  <si>
    <t>JINED MARITZA TABORDA CASTAÑEDA</t>
  </si>
  <si>
    <t>RC 1036692000</t>
  </si>
  <si>
    <t>DOMINIC CANO DUQUE</t>
  </si>
  <si>
    <t>CC 1037525219</t>
  </si>
  <si>
    <t>MARIA JOSE ARROYAVE TABORDA</t>
  </si>
  <si>
    <t>CRIOTERAPIA 1-5 LESIONES</t>
  </si>
  <si>
    <t>CE B60519767</t>
  </si>
  <si>
    <t>LUKA JOVANOVIC</t>
  </si>
  <si>
    <t>DL0008</t>
  </si>
  <si>
    <t>COMBO 5 (&gt;2 ZONAS GRANDES)</t>
  </si>
  <si>
    <t>CC 1152217102</t>
  </si>
  <si>
    <t>MARIA CAMILA LONDOÑO MARIN</t>
  </si>
  <si>
    <t>DL0011</t>
  </si>
  <si>
    <t>COMBO 7 (DEPILACIÓN ZONA MINI + MEDIANA)</t>
  </si>
  <si>
    <t>2026-01-06 12:06:00</t>
  </si>
  <si>
    <t>FE701</t>
  </si>
  <si>
    <t>CC 1059700065</t>
  </si>
  <si>
    <t>JOSE ALEJANDRO HERNANDEZ GUERRERO</t>
  </si>
  <si>
    <t>M00007</t>
  </si>
  <si>
    <t>MESOTERAPIA CAPILAR</t>
  </si>
  <si>
    <t>CC 1045080122</t>
  </si>
  <si>
    <t>ANA ISABEL ZAPATA RUA</t>
  </si>
  <si>
    <t>PPT 6115216</t>
  </si>
  <si>
    <t>MICHELLE NATALY NIETO AGUILAR</t>
  </si>
  <si>
    <t>CC 1000662399</t>
  </si>
  <si>
    <t>VALENTINA PEREZ BEDOYA</t>
  </si>
  <si>
    <t>2026-01-07 10:25:00</t>
  </si>
  <si>
    <t>FE13239</t>
  </si>
  <si>
    <t>CC 1017192138</t>
  </si>
  <si>
    <t>YESICA ALEJANDRA RAMIREZ GOMEZ</t>
  </si>
  <si>
    <t>CC 112827016</t>
  </si>
  <si>
    <t>YIRELI FERNANDA BURITICA MONROY</t>
  </si>
  <si>
    <t>APLICACIÓN ACIDO HIALURONICO</t>
  </si>
  <si>
    <t>APLICACIÓN TOXINA BOTULINICA</t>
  </si>
  <si>
    <t>CC 1048045744</t>
  </si>
  <si>
    <t>KELLY YISELA OLARTE MEJIA</t>
  </si>
  <si>
    <t>LC0001</t>
  </si>
  <si>
    <t>CO2 CICATRICES ACNE CARA</t>
  </si>
  <si>
    <t>CC 1037586074</t>
  </si>
  <si>
    <t>CAROLINA ESCOBAR TOBON</t>
  </si>
  <si>
    <t>CC 1037607476</t>
  </si>
  <si>
    <t>JOHANA GOMEZ</t>
  </si>
  <si>
    <t>CC 43993101</t>
  </si>
  <si>
    <t>LILIANA ANGEL VALLEJO</t>
  </si>
  <si>
    <t>CC 1035862908</t>
  </si>
  <si>
    <t>TATIANA TRASLAVINA MEDINA</t>
  </si>
  <si>
    <t>CC 1152683958</t>
  </si>
  <si>
    <t>CAMILO OCHOA HERNANDEZ</t>
  </si>
  <si>
    <t>2026-01-08 11:45:00</t>
  </si>
  <si>
    <t>FE13280</t>
  </si>
  <si>
    <t>CC 49779746</t>
  </si>
  <si>
    <t>LILIANA PATRICIA MARTINEZ LOPEZ</t>
  </si>
  <si>
    <t>CC 1036646118</t>
  </si>
  <si>
    <t>ORIANA FLOREZ GOMEZ</t>
  </si>
  <si>
    <t>CC 8473834</t>
  </si>
  <si>
    <t>LUIS FERNANDO GARCES DURANGO</t>
  </si>
  <si>
    <t>CC 43182047</t>
  </si>
  <si>
    <t>SANDRA VIVIANA BOTERO SERNA</t>
  </si>
  <si>
    <t>LC0004</t>
  </si>
  <si>
    <t>CO2 REJUVENICIMIENTO FACIAL</t>
  </si>
  <si>
    <t>RC 1037505719</t>
  </si>
  <si>
    <t>ALSY OSORIO SEPULVEDA</t>
  </si>
  <si>
    <t>CC 98539712</t>
  </si>
  <si>
    <t>JAVIER HORACIO DURAN VALERO</t>
  </si>
  <si>
    <t>CC 1040752060</t>
  </si>
  <si>
    <t>ANA MARIA MUÑOZ RESTREPO</t>
  </si>
  <si>
    <t>CC 1128280720</t>
  </si>
  <si>
    <t>REYMAR LOPEZ GONZALEZ</t>
  </si>
  <si>
    <t>CC 1017179236</t>
  </si>
  <si>
    <t>ELIANA RESTREPO MARIN</t>
  </si>
  <si>
    <t>CC 66845874</t>
  </si>
  <si>
    <t>OLGA NUBIA RUIZ RIASCOS</t>
  </si>
  <si>
    <t>HP0010</t>
  </si>
  <si>
    <t>HANDPICO - TATUAJE GRANDE DE 7 - 14 CM</t>
  </si>
  <si>
    <t>CC 1152218205</t>
  </si>
  <si>
    <t>SARA ISABEL BRICEÑO MARIN</t>
  </si>
  <si>
    <t>CC 32430644</t>
  </si>
  <si>
    <t>MARIA EUGENIA ZAPATA ARBOLEDA</t>
  </si>
  <si>
    <t>LC0008</t>
  </si>
  <si>
    <t>CO2 FULGURACION 1- 5 LESIONES MENORES 0.5 CM</t>
  </si>
  <si>
    <t>CC 43413186</t>
  </si>
  <si>
    <t>ADRIANA LUCIA ORTIZ MONTOYA</t>
  </si>
  <si>
    <t>CC 1037660013</t>
  </si>
  <si>
    <t>ESTEBAN CARDONA QUINTERO</t>
  </si>
  <si>
    <t>CC 1128277896</t>
  </si>
  <si>
    <t>JENNY ADRIANA BAENA GALLEEGO</t>
  </si>
  <si>
    <t>CM0008</t>
  </si>
  <si>
    <t>COLOR MAX TATUAJE GRANDE &gt;10 CM</t>
  </si>
  <si>
    <t>PD0007</t>
  </si>
  <si>
    <t>CICATRICES ACNE - PRODEEP</t>
  </si>
  <si>
    <t>CC 1000406864</t>
  </si>
  <si>
    <t>JHON STEVEN SCHNAIDER ARISTIZABAL</t>
  </si>
  <si>
    <t>CM0010</t>
  </si>
  <si>
    <t>COLOR MAX BLACK PEEL 1 AREA</t>
  </si>
  <si>
    <t>CC 1023623454</t>
  </si>
  <si>
    <t>PAULINA MARTINEZ HENAO</t>
  </si>
  <si>
    <t>CC 1027740425</t>
  </si>
  <si>
    <t>MANUELA POSADA PEREZ</t>
  </si>
  <si>
    <t>HP0012</t>
  </si>
  <si>
    <t>HANDPICO HIPERPIGMENTACIONES</t>
  </si>
  <si>
    <t>TI 1044988398</t>
  </si>
  <si>
    <t>MARIA CLARA ARANGO RODRIGUEZ</t>
  </si>
  <si>
    <t>CC 39171527</t>
  </si>
  <si>
    <t>LEDY MARIA PEREZ CORTES</t>
  </si>
  <si>
    <t>CC 1042210372</t>
  </si>
  <si>
    <t>INGRID TATIANA MATOS SANCHEZ</t>
  </si>
  <si>
    <t>TI 1043172805</t>
  </si>
  <si>
    <t>SOFIA AGUIRRE GOMEZ</t>
  </si>
  <si>
    <t>CC 1128443840</t>
  </si>
  <si>
    <t>LAURA MARCELA FANDIÑO GAVIRIA</t>
  </si>
  <si>
    <t>CC 1214735381</t>
  </si>
  <si>
    <t>KEVIN ESTEBAN ANGEL GARCIA</t>
  </si>
  <si>
    <t>NANOPORE CICATRICES</t>
  </si>
  <si>
    <t>CC 1128446377</t>
  </si>
  <si>
    <t>EDILSA BUITRAGO GARCIA</t>
  </si>
  <si>
    <t>P00009</t>
  </si>
  <si>
    <t>PEELING DESPIGMENTANTE DE OJERAS</t>
  </si>
  <si>
    <t>CC 1128438182</t>
  </si>
  <si>
    <t>CAROLINA FLOREZ OLARTE</t>
  </si>
  <si>
    <t>CC 42985789</t>
  </si>
  <si>
    <t>NYDIA LUCIA MARIN OROZCO</t>
  </si>
  <si>
    <t>EVER ALEJANDRO GUZMAN BENITEZ</t>
  </si>
  <si>
    <t>CC 60297565</t>
  </si>
  <si>
    <t>LC0009</t>
  </si>
  <si>
    <t>CO2 FULGURACION 6 - 10 LESIONES</t>
  </si>
  <si>
    <t>RENACER</t>
  </si>
  <si>
    <t>CM0012</t>
  </si>
  <si>
    <t>COLOR MAX LENTIGOS EFELIDES O PECAS 1- 30 LESIONES</t>
  </si>
  <si>
    <t>PA RO292364</t>
  </si>
  <si>
    <t>HAIDEN SPRING</t>
  </si>
  <si>
    <t>CC 1022144107</t>
  </si>
  <si>
    <t>ANA SOFIA URIBE RESTREPO</t>
  </si>
  <si>
    <t>TI 1025656086</t>
  </si>
  <si>
    <t>MARIANGEL FIGUEROA MARIN</t>
  </si>
  <si>
    <t>CC 1152202772</t>
  </si>
  <si>
    <t>VANESSA DURANGO TABORDA</t>
  </si>
  <si>
    <t>CC 1067093514</t>
  </si>
  <si>
    <t>JESSICA PAOLA GUZMAN ALEMAN</t>
  </si>
  <si>
    <t>CC 1000438804</t>
  </si>
  <si>
    <t>FELIPE GARZON TORRES</t>
  </si>
  <si>
    <t>CC 1214746142</t>
  </si>
  <si>
    <t>SOLANYE YULIETH SARASTY NARVAEZ</t>
  </si>
  <si>
    <t>CC 1020402627</t>
  </si>
  <si>
    <t>YEIDY NATALY RAMIREZ BONILLA</t>
  </si>
  <si>
    <t>JALUPRO CLASIC</t>
  </si>
  <si>
    <t>CC 120453253</t>
  </si>
  <si>
    <t>CC 1214720454</t>
  </si>
  <si>
    <t>LILIANA PAOLA PEREZ ATEHORTUA</t>
  </si>
  <si>
    <t>CC 1036645121</t>
  </si>
  <si>
    <t>DANIEL JARAMILLO GOMEZ</t>
  </si>
  <si>
    <t>CC 43680318</t>
  </si>
  <si>
    <t>MARLENY GARCIA GRANDA</t>
  </si>
  <si>
    <t>CC 1083814196</t>
  </si>
  <si>
    <t>MARIA FERNANDA ORTEGA BOLAÑOS</t>
  </si>
  <si>
    <t>CC 1001028073</t>
  </si>
  <si>
    <t>GISELA MARTINEZ PALACIOS</t>
  </si>
  <si>
    <t>FACEBOOK</t>
  </si>
  <si>
    <t>CC 1010021483</t>
  </si>
  <si>
    <t>HANNAH SOFIA SANCHEZ ARCE</t>
  </si>
  <si>
    <t>CC 1001500794</t>
  </si>
  <si>
    <t>YOANY ALEJANDRO CORREA SERNA</t>
  </si>
  <si>
    <t>CC 8033191</t>
  </si>
  <si>
    <t>CAMILO PATIÑO VELASQUEZ</t>
  </si>
  <si>
    <t>HF0012</t>
  </si>
  <si>
    <t>HYDRAFACIAL PIEL LUMINOSA (1+1)</t>
  </si>
  <si>
    <t>HYDRAFACIAL - COSMETOLOGÍA</t>
  </si>
  <si>
    <t>CC 1039758831</t>
  </si>
  <si>
    <t>VIVIANA ANDREA CANO CANO</t>
  </si>
  <si>
    <t>CC 1140814708</t>
  </si>
  <si>
    <t>GARY GARCIA VALENCIA</t>
  </si>
  <si>
    <t>CC 1000086809</t>
  </si>
  <si>
    <t>SOFIA ANDREA MEJIA VELASQUEZ</t>
  </si>
  <si>
    <t>PPT 4991001</t>
  </si>
  <si>
    <t>ANNI ALEJANDRA MARIN GOMEZ</t>
  </si>
  <si>
    <t>TI 1041632770</t>
  </si>
  <si>
    <t>KELLY YOHANA LOPEZ ARANGO</t>
  </si>
  <si>
    <t>CC 43062518</t>
  </si>
  <si>
    <t>ANGELA MARIA TRUJILLO</t>
  </si>
  <si>
    <t>CC 43011747</t>
  </si>
  <si>
    <t>MARIA EUGENIA TRUJILLO RIVERA</t>
  </si>
  <si>
    <t>CC 1017223876</t>
  </si>
  <si>
    <t>MARIA ISABEL RESTREPO RIVERA</t>
  </si>
  <si>
    <t>M00010</t>
  </si>
  <si>
    <t>EXOSOMA FACIAL</t>
  </si>
  <si>
    <t>CC 1042708213</t>
  </si>
  <si>
    <t>NANCY MILENA HERRRERA OSPINA</t>
  </si>
  <si>
    <t>CC 1037666944</t>
  </si>
  <si>
    <t>MARIA DE LOS ANGELES TOBON</t>
  </si>
  <si>
    <t>CC 1128415477</t>
  </si>
  <si>
    <t>LUISA MARIA ESPITIA GOMEZ</t>
  </si>
  <si>
    <t>CC 1152225066</t>
  </si>
  <si>
    <t>SARA ALEJANDRA RIVAS LOAIZA</t>
  </si>
  <si>
    <t>CE 669767595</t>
  </si>
  <si>
    <t>JON CHRISTIAN LALLANDE</t>
  </si>
  <si>
    <t>CC 1035283321</t>
  </si>
  <si>
    <t>DANIELA ALEJANDRA HIGUITA HIGUITA</t>
  </si>
  <si>
    <t>CC 43745737</t>
  </si>
  <si>
    <t>NANCY TOBON MUÑOZ</t>
  </si>
  <si>
    <t>CC 1103214769</t>
  </si>
  <si>
    <t>KAREN SOFIA QUIROZ JIMENEZ</t>
  </si>
  <si>
    <t>RC 1034930060</t>
  </si>
  <si>
    <t>DANNA VICTORIA CARRASCAL GONZALEZ</t>
  </si>
  <si>
    <t>CC 1128398938</t>
  </si>
  <si>
    <t>GREILA MILEIDIS PEREZ GALEANO</t>
  </si>
  <si>
    <t>TI 1022005949</t>
  </si>
  <si>
    <t>CC 43688648</t>
  </si>
  <si>
    <t>CC 1033338419</t>
  </si>
  <si>
    <t>SANDY CATALINA ROJAS QUIROZ</t>
  </si>
  <si>
    <t>CC 1000437820</t>
  </si>
  <si>
    <t>DIDIER JURADO GALLEGO</t>
  </si>
  <si>
    <t>M00009</t>
  </si>
  <si>
    <t>EXOSOMA CAPILAR NANOPORE</t>
  </si>
  <si>
    <t>PA A46334009</t>
  </si>
  <si>
    <t>HF0001</t>
  </si>
  <si>
    <t>HYDRAFACIAL AQUA GLOW</t>
  </si>
  <si>
    <t>1097 HYDRAFACIAL ELITE</t>
  </si>
  <si>
    <t>CC 1152458126</t>
  </si>
  <si>
    <t>LAURA VILLEGAS RUIZ</t>
  </si>
  <si>
    <t>CC 43908630</t>
  </si>
  <si>
    <t>ELENA HIGUITA</t>
  </si>
  <si>
    <t>CC 1017204597</t>
  </si>
  <si>
    <t>STEFANY RIOS</t>
  </si>
  <si>
    <t>CC 43260031</t>
  </si>
  <si>
    <t>LUZ AYDA PALACIO VILLADA</t>
  </si>
  <si>
    <t>LP0008</t>
  </si>
  <si>
    <t>TRATAMIENTO DE ONICOMICOSIS - LONGPULSE</t>
  </si>
  <si>
    <t>CC 1039456614</t>
  </si>
  <si>
    <t>NATALIA LIZETTE MESSA LASSQ</t>
  </si>
  <si>
    <t>2026-01-22 12:44:00</t>
  </si>
  <si>
    <t>FE13591</t>
  </si>
  <si>
    <t>CC 1042444852</t>
  </si>
  <si>
    <t>JESUS ANTONIO SEGURA ARRAUT</t>
  </si>
  <si>
    <t>2026-01-22 13:09:00</t>
  </si>
  <si>
    <t>FE13592</t>
  </si>
  <si>
    <t>2026-01-22 12:52:00</t>
  </si>
  <si>
    <t>FE885</t>
  </si>
  <si>
    <t>CC 1047996425</t>
  </si>
  <si>
    <t>ELISABETH CORREA MADRID</t>
  </si>
  <si>
    <t>CC 1037524342</t>
  </si>
  <si>
    <t>ANA LUCIA LOPEZ</t>
  </si>
  <si>
    <t>CC 1038360018</t>
  </si>
  <si>
    <t>CC 32315602</t>
  </si>
  <si>
    <t>CECILIA ESTER MARIN MARIN</t>
  </si>
  <si>
    <t>CC 1025889511</t>
  </si>
  <si>
    <t>JUAN JOSE GARCIA PEREZ</t>
  </si>
  <si>
    <t>RESECCIÓN LESIÓN BENIGNA &gt; 1 CM SIN PATOLOGÍA</t>
  </si>
  <si>
    <t>CC 1128274049</t>
  </si>
  <si>
    <t>ALEJANDRA RODRIGUEZ ARBOLEDA</t>
  </si>
  <si>
    <t>TI 1035872498</t>
  </si>
  <si>
    <t>EMILY YEPES CARMONA</t>
  </si>
  <si>
    <t>CM0006</t>
  </si>
  <si>
    <t>COLOR MAX TATUAJE PEQUEÑO 1- 5CM</t>
  </si>
  <si>
    <t>PD0002</t>
  </si>
  <si>
    <t>REJUVENECIMIENTO FACIAL - PRODEEP</t>
  </si>
  <si>
    <t>CC 43513918</t>
  </si>
  <si>
    <t>NANCY DEL SOCORRO SEPULVEDA MUÑOZ</t>
  </si>
  <si>
    <t>PD0013</t>
  </si>
  <si>
    <t>ALOPECIA GENERAL - PRODEEP</t>
  </si>
  <si>
    <t>CC 1026137703</t>
  </si>
  <si>
    <t>SAMUEL VILLA CASTILLO</t>
  </si>
  <si>
    <t>CC 1037661680</t>
  </si>
  <si>
    <t>MARIA CAMILA DEL RIO JARAMILLO</t>
  </si>
  <si>
    <t>CC 22237951</t>
  </si>
  <si>
    <t>ROSA MARIA FLOREZ VASQUEZ</t>
  </si>
  <si>
    <t>CC 1020479153</t>
  </si>
  <si>
    <t>MARIA CAMILA RUIZ URREGO</t>
  </si>
  <si>
    <t>CC 79284865</t>
  </si>
  <si>
    <t>GUILLERMO PAEZ LESMES</t>
  </si>
  <si>
    <t>CC 32296582</t>
  </si>
  <si>
    <t>SALOME MARTINEZ</t>
  </si>
  <si>
    <t>CC 1037598968</t>
  </si>
  <si>
    <t>LADY YAMILEY BEDOYA CORREA</t>
  </si>
  <si>
    <t>CC 1035283285</t>
  </si>
  <si>
    <t>CATALINA HIDALGO COSSIO</t>
  </si>
  <si>
    <t>CC 1000098531</t>
  </si>
  <si>
    <t>MIGUEL ANGEL VELEZ CASTILLO</t>
  </si>
  <si>
    <t>PA P194252FF</t>
  </si>
  <si>
    <t>SERGE SONILLE</t>
  </si>
  <si>
    <t>CC 1000568230</t>
  </si>
  <si>
    <t>CC 1036640623</t>
  </si>
  <si>
    <t>LEIDY YULIANA MORALES MUÑOZ</t>
  </si>
  <si>
    <t>N00001</t>
  </si>
  <si>
    <t>NANOPORE CARA + PEELING (PROTOCOLO COMPLETO)</t>
  </si>
  <si>
    <t>TI 1026141713</t>
  </si>
  <si>
    <t>MARIA CELESTE TANGARIFE ALVAREZ</t>
  </si>
  <si>
    <t>CC 1037524873</t>
  </si>
  <si>
    <t>SARA ISABEL ARROYAVE TABORDA</t>
  </si>
  <si>
    <t>2026-01-24 11:14:00</t>
  </si>
  <si>
    <t>FE909</t>
  </si>
  <si>
    <t>CC 21995000</t>
  </si>
  <si>
    <t>ANA LUCIA CHAVARRIA MUÑOZ</t>
  </si>
  <si>
    <t>TI 1033191452</t>
  </si>
  <si>
    <t>SIMON FLOREZ</t>
  </si>
  <si>
    <t>CC 1017166615</t>
  </si>
  <si>
    <t>CAROL PULGARIN</t>
  </si>
  <si>
    <t>CC 1020485415</t>
  </si>
  <si>
    <t>YULISA GONZALEZ GONZALEZ</t>
  </si>
  <si>
    <t>PD0014</t>
  </si>
  <si>
    <t>ALOPECIA ENTRADAS - PRODEEP</t>
  </si>
  <si>
    <t>TIKTOK</t>
  </si>
  <si>
    <t>CC 1128269024</t>
  </si>
  <si>
    <t>SANDRA CRISTINA TORRES MORENO</t>
  </si>
  <si>
    <t>CC 1036678700</t>
  </si>
  <si>
    <t>CC 1037604128</t>
  </si>
  <si>
    <t>DANIELA MORENO MUÑOZ</t>
  </si>
  <si>
    <t>CC 1059092034</t>
  </si>
  <si>
    <t>JIMENA ARBELAEZ LOAIZA</t>
  </si>
  <si>
    <t>CC 1046275504</t>
  </si>
  <si>
    <t>ERICK ROBERTO HERNANDEZ JULIO</t>
  </si>
  <si>
    <t>CC 1038358497</t>
  </si>
  <si>
    <t>VIVIANA MARIA PINEDA HERNANDEZ</t>
  </si>
  <si>
    <t>TI 1013460553</t>
  </si>
  <si>
    <t>ISABELA DUQUE CARDONA</t>
  </si>
  <si>
    <t>CC 42730184</t>
  </si>
  <si>
    <t>ADRIANA MARIA CARDONA ZAPATA</t>
  </si>
  <si>
    <t>CC 39288916</t>
  </si>
  <si>
    <t>HEIDY PULIDO BARON</t>
  </si>
  <si>
    <t>TI 1036451704</t>
  </si>
  <si>
    <t>SAMUEL VILLADA JARAMILLO</t>
  </si>
  <si>
    <t>CC 71722202</t>
  </si>
  <si>
    <t>JOSE FERNANDO VELEZ ARBOLEDA</t>
  </si>
  <si>
    <t>CC 43157831</t>
  </si>
  <si>
    <t>GLADYS PAREJA CORREA</t>
  </si>
  <si>
    <t>TI 1034998241</t>
  </si>
  <si>
    <t>CC 1017181777</t>
  </si>
  <si>
    <t>MARIA FERNANDA CANO SALINAS</t>
  </si>
  <si>
    <t>CE 7657659</t>
  </si>
  <si>
    <t>RONALDO HUMMEL</t>
  </si>
  <si>
    <t>CC 21402117</t>
  </si>
  <si>
    <t>LUZ MARINA MUNERA</t>
  </si>
  <si>
    <t>CC 35406371</t>
  </si>
  <si>
    <t>DIANA LUCIA TORRES BONILIA</t>
  </si>
  <si>
    <t>CC 1000548136</t>
  </si>
  <si>
    <t>ANA MARIA GOMEZ MORENO</t>
  </si>
  <si>
    <t>CC 1000205150</t>
  </si>
  <si>
    <t>MARIA CAMILA ACOSTA PRESIGA</t>
  </si>
  <si>
    <t>CC 1128386036</t>
  </si>
  <si>
    <t>NATALIA ANDREA VERA CANO</t>
  </si>
  <si>
    <t>CC 43169611</t>
  </si>
  <si>
    <t>MARIA MONTOYA</t>
  </si>
  <si>
    <t>CC 1040746157</t>
  </si>
  <si>
    <t>CATHERINE ARRUBLA MEJIA</t>
  </si>
  <si>
    <t>CC 1025649828</t>
  </si>
  <si>
    <t>VALERIE SILVA MEJIA</t>
  </si>
  <si>
    <t>CC 19096996</t>
  </si>
  <si>
    <t>INOCENCIO BOADA</t>
  </si>
  <si>
    <t>CC 1047972186</t>
  </si>
  <si>
    <t>LEIDY YULIETH TORRES GARZON</t>
  </si>
  <si>
    <t>CC 1128392010</t>
  </si>
  <si>
    <t>EIDER ALEXANDER MONA CASTRILLON</t>
  </si>
  <si>
    <t>TI 1020118206</t>
  </si>
  <si>
    <t>SUSANA RUIZ VILLA</t>
  </si>
  <si>
    <t>CC 43578995</t>
  </si>
  <si>
    <t>SOL ANGEL VILLA TORRES</t>
  </si>
  <si>
    <t>CC 1128434592</t>
  </si>
  <si>
    <t>MARIA ALEJANDRA BOHORQUEZ</t>
  </si>
  <si>
    <t>CC 1040735276</t>
  </si>
  <si>
    <t>CC 1152701659</t>
  </si>
  <si>
    <t>ANGIE CRISTINA PEREZ OSORIO</t>
  </si>
  <si>
    <t>CC 1000413796</t>
  </si>
  <si>
    <t>SAMUEL RODRIGUEZ SEGURA</t>
  </si>
  <si>
    <t>CC 1017204937</t>
  </si>
  <si>
    <t>MARIA CAMILA SANCHEZ ISAZA</t>
  </si>
  <si>
    <t>CC 32182874</t>
  </si>
  <si>
    <t>LINA JANETH RAMIREZ BETANCUR</t>
  </si>
  <si>
    <t>2026-01-28 10:58:00</t>
  </si>
  <si>
    <t>FE964</t>
  </si>
  <si>
    <t>CC 43633700</t>
  </si>
  <si>
    <t>BIBIANA PATRICIA LOPERA</t>
  </si>
  <si>
    <t>CC 1020829755</t>
  </si>
  <si>
    <t>SANTIAGO GOMEZ</t>
  </si>
  <si>
    <t>P00007</t>
  </si>
  <si>
    <t>PEELING AREA GRANDE</t>
  </si>
  <si>
    <t>CC 42870891</t>
  </si>
  <si>
    <t>OLGA PATRICIA CAÑAS MESA</t>
  </si>
  <si>
    <t>CC 1017922482</t>
  </si>
  <si>
    <t>JUAN PABLO GIRALDO SIERRA</t>
  </si>
  <si>
    <t>TI 1023593508</t>
  </si>
  <si>
    <t>HAROLD HENAO CARMONA</t>
  </si>
  <si>
    <t>CC 1020421846</t>
  </si>
  <si>
    <t>JON SMITH BLANDON VELEZ</t>
  </si>
  <si>
    <t>PPT 4536068</t>
  </si>
  <si>
    <t>NICOLE MILAGRO DE LA COROMOTA ZULETA GUERRERO</t>
  </si>
  <si>
    <t>CC 1144054789</t>
  </si>
  <si>
    <t>JULIANA PINEDA ARCILA</t>
  </si>
  <si>
    <t>CC 6482892</t>
  </si>
  <si>
    <t>CE 735291</t>
  </si>
  <si>
    <t>ENRIQUE SEGURA</t>
  </si>
  <si>
    <t>CC 1022144584</t>
  </si>
  <si>
    <t>MARIANA CASTRO VARGAS</t>
  </si>
  <si>
    <t>CC 9730333</t>
  </si>
  <si>
    <t>BLADIMIR JURADO GALLEGO</t>
  </si>
  <si>
    <t>CC 43019470</t>
  </si>
  <si>
    <t>ANA TERESA VANEGAS GOMEZ</t>
  </si>
  <si>
    <t>CC 1088276321</t>
  </si>
  <si>
    <t>LEIDY PAOLA BERMUDEZ CARVAJAL</t>
  </si>
  <si>
    <t>TI 1036453174</t>
  </si>
  <si>
    <t>MARIAPAULA VALENCIA MUÑOZ</t>
  </si>
  <si>
    <t>TI 1031941970</t>
  </si>
  <si>
    <t>SIMON PALACIOS RICO</t>
  </si>
  <si>
    <t>CC 1235243501</t>
  </si>
  <si>
    <t>VIDALUZ CHIRINO FONTALVO</t>
  </si>
  <si>
    <t>CC 1214721490</t>
  </si>
  <si>
    <t>CARLOS MEJIA MEDINA</t>
  </si>
  <si>
    <t>PA A8140886</t>
  </si>
  <si>
    <t>KYLE ALVORD PINNOCK</t>
  </si>
  <si>
    <t>CC 98696802</t>
  </si>
  <si>
    <t>CC 32494275</t>
  </si>
  <si>
    <t>GLORIA MARIA SALINAS</t>
  </si>
  <si>
    <t>PA FD1880500</t>
  </si>
  <si>
    <t>DAVID KARSENTY</t>
  </si>
  <si>
    <t>CC 1000453493</t>
  </si>
  <si>
    <t>JOHN ESTEBAN GARCIA NAVARRO</t>
  </si>
  <si>
    <t>CC 1146437519</t>
  </si>
  <si>
    <t>ESTEFANY RODRIGUEZ BEDOYA</t>
  </si>
  <si>
    <t>PA A67119199</t>
  </si>
  <si>
    <t>ENRIQUE OSKAR ALEGRIA ROBLES</t>
  </si>
  <si>
    <t>CC 71314102</t>
  </si>
  <si>
    <t>GUILLERMO AICARDO MESA MARTINEZ</t>
  </si>
  <si>
    <t>CC 43782549</t>
  </si>
  <si>
    <t>FRANCY GRACIANO</t>
  </si>
  <si>
    <t>CC 1036667662</t>
  </si>
  <si>
    <t>YULIANA MONSALVE DURANGO</t>
  </si>
  <si>
    <t>CC 1128276945</t>
  </si>
  <si>
    <t>MELISSA LONDOÑO MAZO</t>
  </si>
  <si>
    <t>LP0005</t>
  </si>
  <si>
    <t>NEVUS RUBI 1-5 - LONGPULSE</t>
  </si>
  <si>
    <t>CC 1090507684</t>
  </si>
  <si>
    <t>YAIRA MARCELA SEPULVEDA SARAVIA</t>
  </si>
  <si>
    <t>PA 0919957670</t>
  </si>
  <si>
    <t>MARIA WILLIAMS</t>
  </si>
  <si>
    <t>CC 1015276352</t>
  </si>
  <si>
    <t>JULIANA OCHOA SALDARRIAGA</t>
  </si>
  <si>
    <t>TI 1067605571</t>
  </si>
  <si>
    <t>VALENTINA ZULETA PACHECO</t>
  </si>
  <si>
    <t>TI 1011401929</t>
  </si>
  <si>
    <t>SANTIAGO RESTREPO GARCIA</t>
  </si>
  <si>
    <t>CC 32258612</t>
  </si>
  <si>
    <t>YARA MAYA URIBE</t>
  </si>
  <si>
    <t>CC 1001368316</t>
  </si>
  <si>
    <t>ELOISA MADRID MESA</t>
  </si>
  <si>
    <t>CC 43280114</t>
  </si>
  <si>
    <t>CAROLINA OCAMPO HERNANDEZ</t>
  </si>
  <si>
    <t>CM0007</t>
  </si>
  <si>
    <t>COLOR MAX TATUAJE MEDIANO 5-10 CM</t>
  </si>
  <si>
    <t>2026-01-31 17:00:00</t>
  </si>
  <si>
    <t>FE13836</t>
  </si>
  <si>
    <t>CC 1025643749</t>
  </si>
  <si>
    <t>LAURA AMORTEGUI PUERTA</t>
  </si>
  <si>
    <t>CC 1152449088</t>
  </si>
  <si>
    <t>MARIA ANGELICA RODRIGUEZ ZAPATA</t>
  </si>
  <si>
    <t>TI 1023529735</t>
  </si>
  <si>
    <t>PABLO CARDONA MATIZ</t>
  </si>
  <si>
    <t>CC 43801943</t>
  </si>
  <si>
    <t>CLAUDIA PATRICIA MORENO ARANGO</t>
  </si>
  <si>
    <t>TI 1050429645</t>
  </si>
  <si>
    <t>SHAIRA PAOLA MARIN ESTRADA</t>
  </si>
  <si>
    <t>CC 1016032570</t>
  </si>
  <si>
    <t>JESSICA ALEXANDRA GUTIERREZ JARA</t>
  </si>
  <si>
    <t>CC 1152204060</t>
  </si>
  <si>
    <t>KARINA ANDREA YUMOTO GUTIERREZ</t>
  </si>
  <si>
    <t>CC 1020416292</t>
  </si>
  <si>
    <t>LAURA VEGA USUGA</t>
  </si>
  <si>
    <t>CC 1128447376</t>
  </si>
  <si>
    <t>ANA MARIA PUERTA MONTOYA</t>
  </si>
  <si>
    <t>DERMOABRASIÓN MECÁNICADE UÑA</t>
  </si>
  <si>
    <t>CC 1020476535</t>
  </si>
  <si>
    <t>VALENTINA BOLIVAR</t>
  </si>
  <si>
    <t>CC 43204758</t>
  </si>
  <si>
    <t>BARBARA MELISA BELTRAN GIRALDO</t>
  </si>
  <si>
    <t>CC 32543190</t>
  </si>
  <si>
    <t>LIGIA ESTHER SALDARRIAGA ZULUAGA</t>
  </si>
  <si>
    <t>CC 1214723660</t>
  </si>
  <si>
    <t>JOHAN DIOSA ECHEVERRY</t>
  </si>
  <si>
    <t>CC 1214738258</t>
  </si>
  <si>
    <t>VALERIA MALDONADO LEON</t>
  </si>
  <si>
    <t>CC 1152455748</t>
  </si>
  <si>
    <t>JULIANA VALLEJO JIMENEZ</t>
  </si>
  <si>
    <t>CC 1004012437</t>
  </si>
  <si>
    <t>MARIANA VALENCIA DURAN</t>
  </si>
  <si>
    <t>CC 52430253</t>
  </si>
  <si>
    <t>GLADIS DEL CARMEN MARIN AMAYA</t>
  </si>
  <si>
    <t>DOCTORALIA</t>
  </si>
  <si>
    <t>TI 1027810626</t>
  </si>
  <si>
    <t>JERONIMO MUÑOZ TORO</t>
  </si>
  <si>
    <t>CC 1003308616</t>
  </si>
  <si>
    <t>JIMENA FUENTES</t>
  </si>
  <si>
    <t>CC 1026151776</t>
  </si>
  <si>
    <t>MARIA ALEJANDRA BOLIVAR GIRALDO</t>
  </si>
  <si>
    <t>PA A29749720</t>
  </si>
  <si>
    <t>TANIA AYALA MONTALVO</t>
  </si>
  <si>
    <t>CC 41686251</t>
  </si>
  <si>
    <t>LUZ STELLA CONTRERAS JAIMES</t>
  </si>
  <si>
    <t>CC 1062958823</t>
  </si>
  <si>
    <t>ISA KATHERINE MUÑOZ MARQUEZ</t>
  </si>
  <si>
    <t>LP0002</t>
  </si>
  <si>
    <t>TELANGIECTASIAS FACIALES 1-5 - LONGPULSE</t>
  </si>
  <si>
    <t>TI 1036690461</t>
  </si>
  <si>
    <t>ALISMAR SARAI CASTRO NORIEGA</t>
  </si>
  <si>
    <t>CC 1125799026</t>
  </si>
  <si>
    <t>HP0009</t>
  </si>
  <si>
    <t>HANDPICO - TATUAJE MEDIANO HASTA 3.1 A 7 CM</t>
  </si>
  <si>
    <t>PA A00817909</t>
  </si>
  <si>
    <t>LUIS GABRIEL RIVERA MENDOZA</t>
  </si>
  <si>
    <t>CC 79054647</t>
  </si>
  <si>
    <t>MAURICIO TORRES RINCON</t>
  </si>
  <si>
    <t>CC 1037973105</t>
  </si>
  <si>
    <t>JOHANA ANDREA QUENGUAN MARIN</t>
  </si>
  <si>
    <t>CC 1036943258</t>
  </si>
  <si>
    <t>CRISTIAN CAMILO BARRERA ARIAS</t>
  </si>
  <si>
    <t>PPT 4904753</t>
  </si>
  <si>
    <t>MARIA VERONICA HERNANDEZ VARGAS</t>
  </si>
  <si>
    <t>CC 1000634395</t>
  </si>
  <si>
    <t>EDUIN ALBERTO DAVID RUEDA</t>
  </si>
  <si>
    <t>RC 1035023712</t>
  </si>
  <si>
    <t>JUAN ANTONIO ZAPATA HINCAPIE</t>
  </si>
  <si>
    <t>CC 32143498</t>
  </si>
  <si>
    <t>SHIRLEY CATALINA ZAPATA ECHAVARRIA</t>
  </si>
  <si>
    <t>CC 1039465131</t>
  </si>
  <si>
    <t>SARA DE DIOS CARDONA MUÑOZ</t>
  </si>
  <si>
    <t>CC 1036952566</t>
  </si>
  <si>
    <t>DANIEL AVILA JIMENEZ</t>
  </si>
  <si>
    <t>TI 1020452087</t>
  </si>
  <si>
    <t>EMMANUEL LOPEZ CASTAÑEDA</t>
  </si>
  <si>
    <t>CC 1037633301</t>
  </si>
  <si>
    <t>CC 1025760190</t>
  </si>
  <si>
    <t>TI 1035979001</t>
  </si>
  <si>
    <t>MARIANA GALVIS AGUDELO</t>
  </si>
  <si>
    <t>CC 1144181235</t>
  </si>
  <si>
    <t>CC 71353256</t>
  </si>
  <si>
    <t>CC 1152219099</t>
  </si>
  <si>
    <t>VALENTINA TORRES ANGEL</t>
  </si>
  <si>
    <t>CC 1036678944</t>
  </si>
  <si>
    <t>DANIELA CANTILLO BEDOYA</t>
  </si>
  <si>
    <t>TI 1020117027</t>
  </si>
  <si>
    <t>SAMANTHA CORREA ORTIZ</t>
  </si>
  <si>
    <t>CC 1017141495</t>
  </si>
  <si>
    <t>LUZ ADRIANA HOYOS VERGARA</t>
  </si>
  <si>
    <t>CC 1036624264</t>
  </si>
  <si>
    <t>ANA SOFIA VELEZ SUAZA</t>
  </si>
  <si>
    <t>VALORACION MEDICINA ESTETICA</t>
  </si>
  <si>
    <t>CC 43556977</t>
  </si>
  <si>
    <t>CC 42872262</t>
  </si>
  <si>
    <t>DORA OLIVIA LONDOÑO AGUDELO</t>
  </si>
  <si>
    <t>PA A27561299</t>
  </si>
  <si>
    <t>AUSTIN MERRILL PRADO</t>
  </si>
  <si>
    <t>PA US528364347</t>
  </si>
  <si>
    <t>YANELLYS ROMAN DIAZ</t>
  </si>
  <si>
    <t>TI 1022155186</t>
  </si>
  <si>
    <t>SALOME BOLIVAR VIDALES</t>
  </si>
  <si>
    <t>M00013</t>
  </si>
  <si>
    <t>TERAPIA FOTODINÁMICA</t>
  </si>
  <si>
    <t>CC 1047034927</t>
  </si>
  <si>
    <t>MARIANGEL MOLANO</t>
  </si>
  <si>
    <t>CC 1133689029</t>
  </si>
  <si>
    <t>YESICA CORDOBA ASPRILLA</t>
  </si>
  <si>
    <t>CC 1017927343</t>
  </si>
  <si>
    <t>MIGUEL ANGEL PRIETO PATIÑO</t>
  </si>
  <si>
    <t>M00015</t>
  </si>
  <si>
    <t>TERAPIA FOTODINAMICA</t>
  </si>
  <si>
    <t>CC 43053602</t>
  </si>
  <si>
    <t>DORA ELENA TOBON CASTRO</t>
  </si>
  <si>
    <t>TM0003</t>
  </si>
  <si>
    <t>TENSAMAX ZONA GRANDE</t>
  </si>
  <si>
    <t>TENSAMAX - COSMETOLOGÍA</t>
  </si>
  <si>
    <t>1036 TENSAMAX</t>
  </si>
  <si>
    <t>CC 1152186335</t>
  </si>
  <si>
    <t>DANIEL ANDRES VELASQUEZ USME</t>
  </si>
  <si>
    <t>CC 1100895660</t>
  </si>
  <si>
    <t>DUBAN ORLANDO GALVIS PEREZ</t>
  </si>
  <si>
    <t>CC 1036449647</t>
  </si>
  <si>
    <t>TOMAS GALEANO PINEDA</t>
  </si>
  <si>
    <t>DIEGO LUIS FELICIANO LOPEZ</t>
  </si>
  <si>
    <t>CC 32299015</t>
  </si>
  <si>
    <t>DIANA PATRICIA BETANCUR VARGAS</t>
  </si>
  <si>
    <t>RESECCION LESION BENIGNA &lt; 1 CM, AREA ESPECIAL + ESTUDIO DE PATOLOGÍA</t>
  </si>
  <si>
    <t>CC 1216721787</t>
  </si>
  <si>
    <t>CC 1085327585</t>
  </si>
  <si>
    <t>ASTRID CAROLINA CALVACHE VELASQUEZ</t>
  </si>
  <si>
    <t>CC 1039625059</t>
  </si>
  <si>
    <t>MABEL PINEDA FLOREZ</t>
  </si>
  <si>
    <t>MK0001</t>
  </si>
  <si>
    <t>MASAJE KOBIDO</t>
  </si>
  <si>
    <t>CC 1128269244</t>
  </si>
  <si>
    <t>DIEGO HERNANDEZ TEJADA</t>
  </si>
  <si>
    <t>CC 1152190647</t>
  </si>
  <si>
    <t>DANIELA ASTAROT SALAZAR</t>
  </si>
  <si>
    <t>CC 1036679311</t>
  </si>
  <si>
    <t>DAVID CHALARCA CAÑAS</t>
  </si>
  <si>
    <t>CC 1152688927</t>
  </si>
  <si>
    <t>JUAN PABLO SALAZAR URIBE</t>
  </si>
  <si>
    <t>CC 1152187976</t>
  </si>
  <si>
    <t>CC 1035854913</t>
  </si>
  <si>
    <t>CC 43565986</t>
  </si>
  <si>
    <t>MARGARITA MARIA VELASQUEZ LOPERA</t>
  </si>
  <si>
    <t>CC 1037598022</t>
  </si>
  <si>
    <t xml:space="preserve">JENNIFFER  FLOREZ DUQUE </t>
  </si>
  <si>
    <t>CC 21690208</t>
  </si>
  <si>
    <t>ROSA AMELIA LOPEZ</t>
  </si>
  <si>
    <t>CONSULTA PRIMERA VEZ</t>
  </si>
  <si>
    <t>2026-02-02 08:56:00</t>
  </si>
  <si>
    <t>FE13840</t>
  </si>
  <si>
    <t>COLOMBIA</t>
  </si>
  <si>
    <t>CC 1017200704</t>
  </si>
  <si>
    <t>ANA MARIA GAVIRIA LONDOÑO</t>
  </si>
  <si>
    <t>2026-02-02 08:57:00</t>
  </si>
  <si>
    <t>FE13841</t>
  </si>
  <si>
    <t>CC 1037620729</t>
  </si>
  <si>
    <t>ISMAEL ARROYAVE MARTINEZ</t>
  </si>
  <si>
    <t>BIOPSIA 1 LESION</t>
  </si>
  <si>
    <t>PROCE DERMA</t>
  </si>
  <si>
    <t>2026-02-02 08:41:00</t>
  </si>
  <si>
    <t>FE13839</t>
  </si>
  <si>
    <t>CC 1152435193</t>
  </si>
  <si>
    <t>LAURA PATRICIA JARAMILLO PEREIRA</t>
  </si>
  <si>
    <t>2026-02-02 09:20:00</t>
  </si>
  <si>
    <t>FE13842</t>
  </si>
  <si>
    <t>317 5735491</t>
  </si>
  <si>
    <t>CC 43111978</t>
  </si>
  <si>
    <t>MARIA EDINIA VILLA QUINTERO</t>
  </si>
  <si>
    <t>2026-02-02 09:42:00</t>
  </si>
  <si>
    <t>FE13843</t>
  </si>
  <si>
    <t>CC 1020738142</t>
  </si>
  <si>
    <t>CAROLINA AYALA JARAMILLO</t>
  </si>
  <si>
    <t>2026-02-02 09:56:00</t>
  </si>
  <si>
    <t>FE13844</t>
  </si>
  <si>
    <t>CC 32354027</t>
  </si>
  <si>
    <t>LINA MARIA PELAEZ</t>
  </si>
  <si>
    <t>2026-02-02 10:28:00</t>
  </si>
  <si>
    <t>FE13846</t>
  </si>
  <si>
    <t>PA A36782304</t>
  </si>
  <si>
    <t>ARMONTE EVERETT BUTLER</t>
  </si>
  <si>
    <t>2026-02-02 14:03:00</t>
  </si>
  <si>
    <t>FE13859</t>
  </si>
  <si>
    <t>ESTADOS UNIDOS</t>
  </si>
  <si>
    <t>2026-02-02 13:42:00</t>
  </si>
  <si>
    <t>FE13856</t>
  </si>
  <si>
    <t>CC 1025889338</t>
  </si>
  <si>
    <t>SAMANTHA LANIADO GARCIA</t>
  </si>
  <si>
    <t>CONSULTA CONTROL</t>
  </si>
  <si>
    <t>2026-02-02 13:22:00</t>
  </si>
  <si>
    <t>FE13851</t>
  </si>
  <si>
    <t>2026-02-02 13:33:00</t>
  </si>
  <si>
    <t>FE13854</t>
  </si>
  <si>
    <t>PA X7881648</t>
  </si>
  <si>
    <t>SHAYAN KHAJEHNOURI</t>
  </si>
  <si>
    <t>2026-02-02 14:08:00</t>
  </si>
  <si>
    <t>FE13860</t>
  </si>
  <si>
    <t>SUIZA</t>
  </si>
  <si>
    <t>CC 1128444869</t>
  </si>
  <si>
    <t>ADRIAN ANDRES RAMIREZ</t>
  </si>
  <si>
    <t>2026-02-02 11:28:00</t>
  </si>
  <si>
    <t>FE13847</t>
  </si>
  <si>
    <t>PPT 6859027</t>
  </si>
  <si>
    <t>YEMMIRET BEATRIZ CORTEZ GONZALEZ</t>
  </si>
  <si>
    <t>VENEZUELA</t>
  </si>
  <si>
    <t>2026-02-02 13:27:00</t>
  </si>
  <si>
    <t>FE13853</t>
  </si>
  <si>
    <t>LP0003</t>
  </si>
  <si>
    <t>TELANGIECTASIAS FACIALES 6-10 - LONGPULSE</t>
  </si>
  <si>
    <t>LONGPULSE</t>
  </si>
  <si>
    <t>2026-02-02 13:00:00</t>
  </si>
  <si>
    <t>FE13848</t>
  </si>
  <si>
    <t>2026-01-21 13:45:00</t>
  </si>
  <si>
    <t>FE13574</t>
  </si>
  <si>
    <t>PUERTO RICO</t>
  </si>
  <si>
    <t>CC 38234538</t>
  </si>
  <si>
    <t>BEATRIZ EUGENIA VALLEJO CADAVID</t>
  </si>
  <si>
    <t>2026-02-02 14:12:00</t>
  </si>
  <si>
    <t>FE13862</t>
  </si>
  <si>
    <t>TI 1026002032</t>
  </si>
  <si>
    <t>STIVEN RAMIREZ MARTINEZ</t>
  </si>
  <si>
    <t>2026-02-02 14:11:00</t>
  </si>
  <si>
    <t>FE13861</t>
  </si>
  <si>
    <t>LASER Co2</t>
  </si>
  <si>
    <t>LÁSER IBLAZE (CO2)</t>
  </si>
  <si>
    <t>2026-02-02 13:36:00</t>
  </si>
  <si>
    <t>FE13855</t>
  </si>
  <si>
    <t>PA 7615390</t>
  </si>
  <si>
    <t>DARIO FARINELLI</t>
  </si>
  <si>
    <t>AUSTRALIA</t>
  </si>
  <si>
    <t>CC 1036397369</t>
  </si>
  <si>
    <t>ESTEFANIA GARCIA OSORIO</t>
  </si>
  <si>
    <t>2026-02-02 13:15:00</t>
  </si>
  <si>
    <t>FE13849</t>
  </si>
  <si>
    <t>PRODEEP</t>
  </si>
  <si>
    <t>FE13850</t>
  </si>
  <si>
    <t>LP0009</t>
  </si>
  <si>
    <t>LAGO VENOSO - LONGPULSE</t>
  </si>
  <si>
    <t>PEELING</t>
  </si>
  <si>
    <t>2026-02-02 14:01:00</t>
  </si>
  <si>
    <t>FE13858</t>
  </si>
  <si>
    <t>MESOJECT</t>
  </si>
  <si>
    <t>DISPOSITIVO FOTOAGE</t>
  </si>
  <si>
    <t>CC 1090488619</t>
  </si>
  <si>
    <t>KAREN ANDREA PEREZ SARAVIA</t>
  </si>
  <si>
    <t>2026-02-02 14:35:00</t>
  </si>
  <si>
    <t>FE13865</t>
  </si>
  <si>
    <t>CC 1000644075</t>
  </si>
  <si>
    <t>2026-02-02 15:51:00</t>
  </si>
  <si>
    <t>FE13867</t>
  </si>
  <si>
    <t>CC 43021146</t>
  </si>
  <si>
    <t>MARIA EDITH GOMEZ PALACIO</t>
  </si>
  <si>
    <t>2026-02-02 17:59:00</t>
  </si>
  <si>
    <t>FE13874</t>
  </si>
  <si>
    <t>2026-02-02 17:03:00</t>
  </si>
  <si>
    <t>FE13870</t>
  </si>
  <si>
    <t>APLICACIÓN BIOESTIMULADOR HARMONYCA</t>
  </si>
  <si>
    <t>INYECTABLES</t>
  </si>
  <si>
    <t>2026-02-02 14:46:00</t>
  </si>
  <si>
    <t>FE13866</t>
  </si>
  <si>
    <t>CC 1007239177</t>
  </si>
  <si>
    <t>SARA OQUENDO TORRES</t>
  </si>
  <si>
    <t>ISABELLA GONZALEZ MEJIA</t>
  </si>
  <si>
    <t>TM0002</t>
  </si>
  <si>
    <t>TENSAMAX ZONA MEDIANA</t>
  </si>
  <si>
    <t>TENSAMAX</t>
  </si>
  <si>
    <t>TI 1035001139</t>
  </si>
  <si>
    <t>VALERIA DELGADO COUTIN</t>
  </si>
  <si>
    <t>2026-02-02 16:56:00</t>
  </si>
  <si>
    <t>FE13868</t>
  </si>
  <si>
    <t>CC 1001818423</t>
  </si>
  <si>
    <t>YULISA MICHEL MARRIAGA DURAN</t>
  </si>
  <si>
    <t>IPL</t>
  </si>
  <si>
    <t>IPL-SQ</t>
  </si>
  <si>
    <t>2026-02-02 17:08:00</t>
  </si>
  <si>
    <t>FE13871</t>
  </si>
  <si>
    <t>2026-02-02 13:45:00</t>
  </si>
  <si>
    <t>FE13857</t>
  </si>
  <si>
    <t>2026-02-02 13:26:00</t>
  </si>
  <si>
    <t>FE13852</t>
  </si>
  <si>
    <t>CC 66864649</t>
  </si>
  <si>
    <t>NORMA EUGENIA PELAEZ MUÑOZ</t>
  </si>
  <si>
    <t>2026-02-02 14:25:00</t>
  </si>
  <si>
    <t>FE13863</t>
  </si>
  <si>
    <t>JL1050</t>
  </si>
  <si>
    <t>JALUPRO 2 EN 1 (PROTOCOLO)</t>
  </si>
  <si>
    <t>2026-02-02 14:28:00</t>
  </si>
  <si>
    <t>FE13864</t>
  </si>
  <si>
    <t>2026-02-02 10:19:00</t>
  </si>
  <si>
    <t>FE13845</t>
  </si>
  <si>
    <t>CC 1003431299</t>
  </si>
  <si>
    <t>ANGIE RAMOS HERNANDEZ</t>
  </si>
  <si>
    <t>2026-02-02 17:02:00</t>
  </si>
  <si>
    <t>FE13869</t>
  </si>
  <si>
    <t>CC 19313440</t>
  </si>
  <si>
    <t>JOSE OSWALDO CARDONA RODRIGUEZ</t>
  </si>
  <si>
    <t>2026-02-02 17:57:00</t>
  </si>
  <si>
    <t>FE13873</t>
  </si>
  <si>
    <t>2026-02-02 17:49:00</t>
  </si>
  <si>
    <t>FE13872</t>
  </si>
  <si>
    <t>CC 1037663200</t>
  </si>
  <si>
    <t>COLOR MAX</t>
  </si>
  <si>
    <t>LÁSER COLOR MAX</t>
  </si>
  <si>
    <t>CC 66678223</t>
  </si>
  <si>
    <t>JHENNY LANCHEROS HERNANDEZ</t>
  </si>
  <si>
    <t>2026-02-03 12:01:00</t>
  </si>
  <si>
    <t>FE13881</t>
  </si>
  <si>
    <t>CC 1041177249</t>
  </si>
  <si>
    <t>SONIA IDALID URREGO USUGA</t>
  </si>
  <si>
    <t>2026-02-03 10:23:00</t>
  </si>
  <si>
    <t>FE13876</t>
  </si>
  <si>
    <t>CC 1070975009</t>
  </si>
  <si>
    <t>MARIA ALEJANDRA GARCIA GUTIERREZ</t>
  </si>
  <si>
    <t>2026-02-03 10:50:00</t>
  </si>
  <si>
    <t>FE13877</t>
  </si>
  <si>
    <t>319 3226280</t>
  </si>
  <si>
    <t>2026-02-03 12:03:00</t>
  </si>
  <si>
    <t>FE13882</t>
  </si>
  <si>
    <t>CC 1032250032</t>
  </si>
  <si>
    <t>DEIBIN DAVID PATERNINA MONTOYA</t>
  </si>
  <si>
    <t>2026-02-03 11:30:00</t>
  </si>
  <si>
    <t>FE13878</t>
  </si>
  <si>
    <t>CC 1152219225</t>
  </si>
  <si>
    <t>VICTOR MANUEL VANEGAS BUITRAGO</t>
  </si>
  <si>
    <t>2026-02-03 13:21:00</t>
  </si>
  <si>
    <t>FE13884</t>
  </si>
  <si>
    <t>CC 1015070195</t>
  </si>
  <si>
    <t>SANTIAGO MURILLO FORONDA</t>
  </si>
  <si>
    <t>2026-02-03 13:42:00</t>
  </si>
  <si>
    <t>FE13885</t>
  </si>
  <si>
    <t>CC 80768857</t>
  </si>
  <si>
    <t>NILSON YAIR MURILLO RENTERIA</t>
  </si>
  <si>
    <t>2026-02-03 13:49:00</t>
  </si>
  <si>
    <t>FE13886</t>
  </si>
  <si>
    <t>2026-01-29 09:10:00</t>
  </si>
  <si>
    <t>FE13750</t>
  </si>
  <si>
    <t>2026-02-03 11:52:00</t>
  </si>
  <si>
    <t>FE13879</t>
  </si>
  <si>
    <t>1 787-955-4621</t>
  </si>
  <si>
    <t>CC 1095817711</t>
  </si>
  <si>
    <t>MEYNE JULIETTE PEREIRA AYALA</t>
  </si>
  <si>
    <t>2026-02-03 14:50:00</t>
  </si>
  <si>
    <t>FE13887</t>
  </si>
  <si>
    <t>CC 30083289</t>
  </si>
  <si>
    <t>ANA DELIA GARZON</t>
  </si>
  <si>
    <t>2026-02-03 14:53:00</t>
  </si>
  <si>
    <t>FE13888</t>
  </si>
  <si>
    <t>310 3286950</t>
  </si>
  <si>
    <t>CE 64903773</t>
  </si>
  <si>
    <t>GLADYS GERALDINE MANTILLA MENDOZA</t>
  </si>
  <si>
    <t>2026-02-03 16:06:00</t>
  </si>
  <si>
    <t>FE13892</t>
  </si>
  <si>
    <t>CC 41909480</t>
  </si>
  <si>
    <t>OLGA LUCIA URREA MONCALEANO</t>
  </si>
  <si>
    <t>TI 1040576099</t>
  </si>
  <si>
    <t>DEVI VILLA CARDONA</t>
  </si>
  <si>
    <t>2026-02-03 16:39:00</t>
  </si>
  <si>
    <t>FE13896</t>
  </si>
  <si>
    <t>PA 644888214</t>
  </si>
  <si>
    <t>HECTOR SANTA</t>
  </si>
  <si>
    <t>2026-02-03 16:41:00</t>
  </si>
  <si>
    <t>FE13897</t>
  </si>
  <si>
    <t>CC 1001596699</t>
  </si>
  <si>
    <t>PAULA ANDREA FORTICH HERRERA</t>
  </si>
  <si>
    <t>2026-02-03 16:38:00</t>
  </si>
  <si>
    <t>FE13895</t>
  </si>
  <si>
    <t>CC 43816936</t>
  </si>
  <si>
    <t>LINA MARIA ALVAREZ OCHOA</t>
  </si>
  <si>
    <t>CC 1037587168</t>
  </si>
  <si>
    <t>JENIFER VANEGAS VELEZ</t>
  </si>
  <si>
    <t>2026-02-03 17:24:00</t>
  </si>
  <si>
    <t>FE13899</t>
  </si>
  <si>
    <t>CC 41475573</t>
  </si>
  <si>
    <t>ELSA BELTRAN</t>
  </si>
  <si>
    <t>FE13891</t>
  </si>
  <si>
    <t>2026-02-03 16:52:00</t>
  </si>
  <si>
    <t>FE13898</t>
  </si>
  <si>
    <t>CC 1037623487</t>
  </si>
  <si>
    <t>VANESA JARAMILLO</t>
  </si>
  <si>
    <t>2026-02-03 15:51:00</t>
  </si>
  <si>
    <t>FE13890</t>
  </si>
  <si>
    <t>CC 1037613226</t>
  </si>
  <si>
    <t>CRISTINA ALCARAZ</t>
  </si>
  <si>
    <t>CC 1152207559</t>
  </si>
  <si>
    <t>DANIELA SALAZAR IZASA</t>
  </si>
  <si>
    <t>HANDPICO</t>
  </si>
  <si>
    <t>2026-02-03 09:15:00</t>
  </si>
  <si>
    <t>FE13875</t>
  </si>
  <si>
    <t>2026-02-03 14:58:00</t>
  </si>
  <si>
    <t>FE13889</t>
  </si>
  <si>
    <t>CC 70042856</t>
  </si>
  <si>
    <t>JORGE  LEON PANIAGUA BLANDON</t>
  </si>
  <si>
    <t>2026-02-03 16:18:00</t>
  </si>
  <si>
    <t>FE13893</t>
  </si>
  <si>
    <t>2026-02-03 16:28:00</t>
  </si>
  <si>
    <t>FE13894</t>
  </si>
  <si>
    <t>2026-02-03 11:56:00</t>
  </si>
  <si>
    <t>FE13880</t>
  </si>
  <si>
    <t>CC 1005241103</t>
  </si>
  <si>
    <t>KATHERINE LINARES JIMENEZ</t>
  </si>
  <si>
    <t>2026-02-03 13:09:00</t>
  </si>
  <si>
    <t>FE13883</t>
  </si>
  <si>
    <t>CC 1017218612</t>
  </si>
  <si>
    <t>DIANA CAROLINA DOMINGUEZ OLAYA</t>
  </si>
  <si>
    <t>2026-02-01 17:39:00</t>
  </si>
  <si>
    <t>FE1004</t>
  </si>
  <si>
    <t>ESTÉTICA</t>
  </si>
  <si>
    <t>NEWKRYSTHAL</t>
  </si>
  <si>
    <t>2026-02-02 13:47:00</t>
  </si>
  <si>
    <t>FE1006</t>
  </si>
  <si>
    <t>PA BF103171</t>
  </si>
  <si>
    <t>LEONIE LE BACCON SOLLIER</t>
  </si>
  <si>
    <t>DEPILACION</t>
  </si>
  <si>
    <t>DEPILACIÓN REMOVALL</t>
  </si>
  <si>
    <t>2026-02-02 18:03:00</t>
  </si>
  <si>
    <t>FE1012</t>
  </si>
  <si>
    <t>2026-02-02 16:01:00</t>
  </si>
  <si>
    <t>FE1009</t>
  </si>
  <si>
    <t>PA A7828611</t>
  </si>
  <si>
    <t>DARRYN CLEON FORBES</t>
  </si>
  <si>
    <t>2026-02-03 12:27:00</t>
  </si>
  <si>
    <t>FE1019</t>
  </si>
  <si>
    <t>JAMAICA</t>
  </si>
  <si>
    <t>PA A7987854</t>
  </si>
  <si>
    <t>JAVEL DAVEL DAVIS</t>
  </si>
  <si>
    <t>2026-02-03 10:45:00</t>
  </si>
  <si>
    <t>FE1016</t>
  </si>
  <si>
    <t>PA A7523169</t>
  </si>
  <si>
    <t>DAMIAN WINFORD FORBES</t>
  </si>
  <si>
    <t>2026-02-03 10:42:00</t>
  </si>
  <si>
    <t>FE1015</t>
  </si>
  <si>
    <t>HF0005</t>
  </si>
  <si>
    <t>HYDRAFACIAL GLOW THERAPY</t>
  </si>
  <si>
    <t>HYDRAFACIAL</t>
  </si>
  <si>
    <t>HYDRAFACIAL ELITE</t>
  </si>
  <si>
    <t>2026-02-03 12:05:00</t>
  </si>
  <si>
    <t>FE1017</t>
  </si>
  <si>
    <t>2026-02-03 12:54:00</t>
  </si>
  <si>
    <t>FE1020</t>
  </si>
  <si>
    <t>CC 1152217208</t>
  </si>
  <si>
    <t>LAURA VICTORIA OROZCO BELTRAN</t>
  </si>
  <si>
    <t>2026-02-03 14:19:00</t>
  </si>
  <si>
    <t>FE1023</t>
  </si>
  <si>
    <t>CC 1017259478</t>
  </si>
  <si>
    <t>SOFIA HERNANDEZ</t>
  </si>
  <si>
    <t>2025-05-25 13:31:00</t>
  </si>
  <si>
    <t>FE7731</t>
  </si>
  <si>
    <t>Meta Febrero</t>
  </si>
  <si>
    <t>Vendidos</t>
  </si>
  <si>
    <t>Faltan</t>
  </si>
  <si>
    <t>CC 1001015601</t>
  </si>
  <si>
    <t>SOPHIA CORREA</t>
  </si>
  <si>
    <t>CC 22173840</t>
  </si>
  <si>
    <t>MARY GOMEZ MORENO</t>
  </si>
  <si>
    <t>PA 561445205</t>
  </si>
  <si>
    <t>JUAN ROSADO</t>
  </si>
  <si>
    <t>CC 54252595</t>
  </si>
  <si>
    <t>MIRIAN ZORA GARCIA</t>
  </si>
  <si>
    <t>CE 8178920</t>
  </si>
  <si>
    <t>PEDRO NICODEMUS HERRERA PARRA</t>
  </si>
  <si>
    <t>IP0009</t>
  </si>
  <si>
    <t>ROSÁCEA -IPL</t>
  </si>
  <si>
    <t>TM0001</t>
  </si>
  <si>
    <t>TENSAMAX ZONA PEQUEÑA</t>
  </si>
  <si>
    <t>2025-12-22 15:30:00</t>
  </si>
  <si>
    <t>FE550</t>
  </si>
  <si>
    <t>CC 1017124347</t>
  </si>
  <si>
    <t>SANDRA LILIANA SANCHEZ GONZALEZ</t>
  </si>
  <si>
    <t>CC 1001386220</t>
  </si>
  <si>
    <t>CAMILA ANDREA GUISAO AGUIRRE</t>
  </si>
  <si>
    <t>MARTHA LUCIA ANGEL GARCIA</t>
  </si>
  <si>
    <t>CC 1037627694</t>
  </si>
  <si>
    <t>JULIETH VIVIANA SOTO GARCIA</t>
  </si>
  <si>
    <t>CC 1017210418</t>
  </si>
  <si>
    <t>IRENE RINCON CARDONA</t>
  </si>
  <si>
    <t>CC 1037624692</t>
  </si>
  <si>
    <t>ANA MERCEDES CARDONA</t>
  </si>
  <si>
    <t>TI 1045141158</t>
  </si>
  <si>
    <t>MARIANGEL ECHAVARRYA HIGINIO</t>
  </si>
  <si>
    <t>CC 1007240358</t>
  </si>
  <si>
    <t>LUISA FERNANDA BETANCUR VANEGAS</t>
  </si>
  <si>
    <t>CC 1094279408</t>
  </si>
  <si>
    <t>CC 1193552728</t>
  </si>
  <si>
    <t>MANUELA GARCIA CHAVERRA</t>
  </si>
  <si>
    <t>P00006</t>
  </si>
  <si>
    <t>PEELING MELANOSTOP ÁREA MEDIANA</t>
  </si>
  <si>
    <t>CC 43581425</t>
  </si>
  <si>
    <t>ANA MARIA MEJIA MEJIA</t>
  </si>
  <si>
    <t>CC 1007209684</t>
  </si>
  <si>
    <t>JAVIER JOSE FIERRO MARTINEZ</t>
  </si>
  <si>
    <t>CC 1017135725</t>
  </si>
  <si>
    <t>CC 671131242</t>
  </si>
  <si>
    <t>JOSE LUIS GUERRERO</t>
  </si>
  <si>
    <t>CC 1088325583</t>
  </si>
  <si>
    <t>LAURA MARIA MESA TOBÓN</t>
  </si>
  <si>
    <t>CC 43808221</t>
  </si>
  <si>
    <t>LEDY AIDALI GALLEGO OSORIO</t>
  </si>
  <si>
    <t>CC 1001132050</t>
  </si>
  <si>
    <t>SARA VALENTINA SOTO PALACIOS</t>
  </si>
  <si>
    <t>CC 71710170</t>
  </si>
  <si>
    <t>CC 1018349570</t>
  </si>
  <si>
    <t>VANESA GOMEZ JARAMILLO</t>
  </si>
  <si>
    <t>CC 43533045</t>
  </si>
  <si>
    <t>CC 1017221019</t>
  </si>
  <si>
    <t>ADRIANA ALEJANDRA GUISAO MORENO</t>
  </si>
  <si>
    <t>CC 43107856</t>
  </si>
  <si>
    <t>SANDRA MILENA CANO</t>
  </si>
  <si>
    <t>CC 1033486597</t>
  </si>
  <si>
    <t>SARA ROMAN CANO</t>
  </si>
  <si>
    <t>CC 1018240910</t>
  </si>
  <si>
    <t>EMMANUEL MENESES MARIN</t>
  </si>
  <si>
    <t>CC 25776354</t>
  </si>
  <si>
    <t>LIA YANET MONTERROZA ENAMORADO</t>
  </si>
  <si>
    <t>TI 1023526509</t>
  </si>
  <si>
    <t>DANIEL MOSQUERA LOPEZ</t>
  </si>
  <si>
    <t>2026-02-09 09:06:00</t>
  </si>
  <si>
    <t>FE14007</t>
  </si>
  <si>
    <t>CC 1128405211</t>
  </si>
  <si>
    <t>VERONICA RESTREPO ARENAS</t>
  </si>
  <si>
    <t>CC 1142914972</t>
  </si>
  <si>
    <t>ALBA ANDREINA SALGADO PEREZ</t>
  </si>
  <si>
    <t>CC 1020451308</t>
  </si>
  <si>
    <t>ELIZABETH HENAO BUSTAMANTE</t>
  </si>
  <si>
    <t>PPT 1310570</t>
  </si>
  <si>
    <t>SOL GALLARDO</t>
  </si>
  <si>
    <t>CC 71226824</t>
  </si>
  <si>
    <t>UBEYMAR HERNANDEZ MEDINA</t>
  </si>
  <si>
    <t>CC 1000539306</t>
  </si>
  <si>
    <t>ARELLY MAYRENA GOMEZ BERRIO</t>
  </si>
  <si>
    <t>CC 1010134762</t>
  </si>
  <si>
    <t>ANGELA MARIA VIANA QUINTERO</t>
  </si>
  <si>
    <t>CC 1015067755</t>
  </si>
  <si>
    <t>CAROLINA PATIÑO ESPINAL</t>
  </si>
  <si>
    <t>CC 1033181332</t>
  </si>
  <si>
    <t>MARIANA ROLDAN DAZA</t>
  </si>
  <si>
    <t>CC 1023635518</t>
  </si>
  <si>
    <t>CC 21822743</t>
  </si>
  <si>
    <t>CARMEN AURELIA AGUDELO de OSORIO</t>
  </si>
  <si>
    <t>CC 1036948795</t>
  </si>
  <si>
    <t>MANUELA SALAZAR ARBELAEZ</t>
  </si>
  <si>
    <t>CC 24836778</t>
  </si>
  <si>
    <t>MARIA OMAIRA MARIN PATIÑO</t>
  </si>
  <si>
    <t>CC 1037625299</t>
  </si>
  <si>
    <t>CAROLINA AMAYA VASQUEZ</t>
  </si>
  <si>
    <t>CC 4381640</t>
  </si>
  <si>
    <t>LINA MARIA ALVAREZ OSORIO</t>
  </si>
  <si>
    <t>CC 1060266683</t>
  </si>
  <si>
    <t>JUAN JOSE CRUZ CORREA</t>
  </si>
  <si>
    <t>CC 1007243300</t>
  </si>
  <si>
    <t>DANIELA MIRA SERNA</t>
  </si>
  <si>
    <t>CC 1037660446</t>
  </si>
  <si>
    <t>MARIA ANTONIA JIMENEZ LONDOÑO</t>
  </si>
  <si>
    <t>RC 1033504349</t>
  </si>
  <si>
    <t>JOSE MIGUEL PATIÑO RIOS</t>
  </si>
  <si>
    <t>CC 1034991853</t>
  </si>
  <si>
    <t>JUAN MIGUEL MONTOYA PINEDA</t>
  </si>
  <si>
    <t>TI 1034995356</t>
  </si>
  <si>
    <t>SANTIAGO USUGA ARITIZABAL</t>
  </si>
  <si>
    <t>CC 42766859</t>
  </si>
  <si>
    <t>ELENA JANNEY</t>
  </si>
  <si>
    <t>RESECCION LESION BENIGNA 1-3 CM, AREA ESPECIAL + ESTUDIO DE PATOLOGIA</t>
  </si>
  <si>
    <t>CC 1003058964</t>
  </si>
  <si>
    <t>KELLY JOHANA MUÑOZ BORJA</t>
  </si>
  <si>
    <t>CC 1152223672</t>
  </si>
  <si>
    <t>IVANA ISABELA HUERTAS AREIZA</t>
  </si>
  <si>
    <t>CC 1037657403</t>
  </si>
  <si>
    <t>VANESSA GOMEZ JIMENEZ</t>
  </si>
  <si>
    <t>CC 39321073</t>
  </si>
  <si>
    <t>LUZ ENITH MORALES TAMAYO</t>
  </si>
  <si>
    <t>CC 1000548414</t>
  </si>
  <si>
    <t>SALOME JIMENEZ GALEANO</t>
  </si>
  <si>
    <t>CC 1152454941</t>
  </si>
  <si>
    <t>CC 1090534876</t>
  </si>
  <si>
    <t>YAZNAYA OROZCO FLOREZ</t>
  </si>
  <si>
    <t>CC 71116189</t>
  </si>
  <si>
    <t>JAIRO ALBERTO ALZATE RENDON</t>
  </si>
  <si>
    <t>TI 1034663513</t>
  </si>
  <si>
    <t>HADLEY JAIR QUINTERO GIRALDO</t>
  </si>
  <si>
    <t>CC 1152192738</t>
  </si>
  <si>
    <t>ALEJANDRO RICO ZAPATA</t>
  </si>
  <si>
    <t>CC 1007242142</t>
  </si>
  <si>
    <t>MANUELA PINZON VILLORINA</t>
  </si>
  <si>
    <t>CC 1126319032</t>
  </si>
  <si>
    <t>ALEJANDRA RAMIREZ POSSO</t>
  </si>
  <si>
    <t>2026-02-09 09:09:00</t>
  </si>
  <si>
    <t>FE14008</t>
  </si>
  <si>
    <t>CC 1007497271</t>
  </si>
  <si>
    <t>OSCAR IVAN BERNAL CARDONA</t>
  </si>
  <si>
    <t>CC 1000883668</t>
  </si>
  <si>
    <t>CAREN BRIYIDT HOYOS ESTRADA</t>
  </si>
  <si>
    <t>CE 2556297</t>
  </si>
  <si>
    <t>JESSICA CONTRERAS SANTOS</t>
  </si>
  <si>
    <t>CC 1152434526</t>
  </si>
  <si>
    <t>DAVID CORREA VANEGAS</t>
  </si>
  <si>
    <t>CC 1000405553</t>
  </si>
  <si>
    <t>CRISTIAN BARRERA BETANCUR</t>
  </si>
  <si>
    <t>2026-02-09 09:13:00</t>
  </si>
  <si>
    <t>FE14009</t>
  </si>
  <si>
    <t>CC 1037618703</t>
  </si>
  <si>
    <t>IRIS TATIANA BURITICA MONTOYA</t>
  </si>
  <si>
    <t>CC 1001404255</t>
  </si>
  <si>
    <t>DENIS MARCELA MORENO LONDOÑO</t>
  </si>
  <si>
    <t>2026-02-04 09:22:00</t>
  </si>
  <si>
    <t>FE13900</t>
  </si>
  <si>
    <t>2026-02-04 12:51:00</t>
  </si>
  <si>
    <t>FE13903</t>
  </si>
  <si>
    <t>CC 20275652</t>
  </si>
  <si>
    <t>ZULMA FERRER GARCIA</t>
  </si>
  <si>
    <t>2026-02-04 12:24:00</t>
  </si>
  <si>
    <t>FE13902</t>
  </si>
  <si>
    <t>CC 32016558</t>
  </si>
  <si>
    <t>MARIA OMAIRA TEJADA BARRIENTOS</t>
  </si>
  <si>
    <t>CC 70090631</t>
  </si>
  <si>
    <t>SERGIO ARTURO HERNANDEZ VELASQUEZ</t>
  </si>
  <si>
    <t>CC 1052984328</t>
  </si>
  <si>
    <t>YULIETH PAOLA ROMERO GOMEZ</t>
  </si>
  <si>
    <t>2026-02-04 13:36:00</t>
  </si>
  <si>
    <t>FE13904</t>
  </si>
  <si>
    <t>2026-02-04 15:51:00</t>
  </si>
  <si>
    <t>FE13908</t>
  </si>
  <si>
    <t>2026-02-04 15:36:00</t>
  </si>
  <si>
    <t>FE13906</t>
  </si>
  <si>
    <t>CC 127360414</t>
  </si>
  <si>
    <t>RUSMARY RUTBEIS BECERRA MEDINA</t>
  </si>
  <si>
    <t>2026-02-04 15:12:00</t>
  </si>
  <si>
    <t>FE13905</t>
  </si>
  <si>
    <t>CC 1007448662</t>
  </si>
  <si>
    <t>SARA ROTAVISTA ISAZA</t>
  </si>
  <si>
    <t>2026-02-04 17:10:00</t>
  </si>
  <si>
    <t>FE13911</t>
  </si>
  <si>
    <t>TI 1028010658</t>
  </si>
  <si>
    <t>JUAN JOSE LLANO ARAGON</t>
  </si>
  <si>
    <t>2026-02-04 17:02:00</t>
  </si>
  <si>
    <t>FE13909</t>
  </si>
  <si>
    <t>CC 42824053</t>
  </si>
  <si>
    <t>CARMEN EDITH CASTAÑEDA MONTOYA</t>
  </si>
  <si>
    <t>APLICACIÓN BIOESTIMULADOR RADIESSE</t>
  </si>
  <si>
    <t>2026-02-04 15:46:00</t>
  </si>
  <si>
    <t>FE13907</t>
  </si>
  <si>
    <t>2026-02-04 17:07:00</t>
  </si>
  <si>
    <t>FE13910</t>
  </si>
  <si>
    <t>2026-02-05 08:52:00</t>
  </si>
  <si>
    <t>FE13914</t>
  </si>
  <si>
    <t>CC 1038337752</t>
  </si>
  <si>
    <t>VERONICA ALEJANDRA BENITEZ ARENAS</t>
  </si>
  <si>
    <t>2026-02-05 09:40:00</t>
  </si>
  <si>
    <t>FE13915</t>
  </si>
  <si>
    <t>TI 1038928194</t>
  </si>
  <si>
    <t>SIRLY HADBLEY HOYOS ARENAS</t>
  </si>
  <si>
    <t>2026-02-05 09:41:00</t>
  </si>
  <si>
    <t>FE13916</t>
  </si>
  <si>
    <t>2026-02-05 10:06:00</t>
  </si>
  <si>
    <t>FE13918</t>
  </si>
  <si>
    <t>CC 1017277092</t>
  </si>
  <si>
    <t>MELISSA GARCIA RESTREPO</t>
  </si>
  <si>
    <t>2026-02-05 10:05:00</t>
  </si>
  <si>
    <t>FE13917</t>
  </si>
  <si>
    <t>305 429 38 62</t>
  </si>
  <si>
    <t>2026-02-05 10:10:00</t>
  </si>
  <si>
    <t>FE13919</t>
  </si>
  <si>
    <t>LESLY ESTEFANIA SALDARRIAGA MORENO</t>
  </si>
  <si>
    <t>2026-02-05 10:54:00</t>
  </si>
  <si>
    <t>FE13920</t>
  </si>
  <si>
    <t>2026-02-05 13:25:00</t>
  </si>
  <si>
    <t>FE13924</t>
  </si>
  <si>
    <t>CC 1118389711</t>
  </si>
  <si>
    <t>JELYNER ANDREA RUIZ ECHEVERRI</t>
  </si>
  <si>
    <t>2026-02-05 13:27:00</t>
  </si>
  <si>
    <t>FE13925</t>
  </si>
  <si>
    <t>CC 43722321</t>
  </si>
  <si>
    <t>MARIA VICTORIA CARDENAS SIERRA</t>
  </si>
  <si>
    <t>2026-02-05 13:36:00</t>
  </si>
  <si>
    <t>FE13926</t>
  </si>
  <si>
    <t>CC 1053871965</t>
  </si>
  <si>
    <t>VANESSA RAMOS VALENCIA</t>
  </si>
  <si>
    <t>2026-02-05 13:42:00</t>
  </si>
  <si>
    <t>FE13927</t>
  </si>
  <si>
    <t>CC 51797790</t>
  </si>
  <si>
    <t>CAROLINA SATIZABAL POLANIA</t>
  </si>
  <si>
    <t>2026-02-05 14:10:00</t>
  </si>
  <si>
    <t>FE13928</t>
  </si>
  <si>
    <t>CC 1040744518</t>
  </si>
  <si>
    <t>LUISA FERNANDA ZAPATA ROJAS</t>
  </si>
  <si>
    <t>2026-02-05 08:47:00</t>
  </si>
  <si>
    <t>FE13913</t>
  </si>
  <si>
    <t>2026-02-05 17:08:00</t>
  </si>
  <si>
    <t>FE13933</t>
  </si>
  <si>
    <t>GLORIA ANDREA ESCOBAR SIERRA</t>
  </si>
  <si>
    <t>2026-02-05 15:38:00</t>
  </si>
  <si>
    <t>FE13930</t>
  </si>
  <si>
    <t>2026-02-05 16:04:00</t>
  </si>
  <si>
    <t>FE13931</t>
  </si>
  <si>
    <t>311 417 6837</t>
  </si>
  <si>
    <t>2026-02-05 17:36:00</t>
  </si>
  <si>
    <t>FE13935</t>
  </si>
  <si>
    <t>2026-02-05 17:16:00</t>
  </si>
  <si>
    <t>FE13934</t>
  </si>
  <si>
    <t>2026-02-05 18:24:00</t>
  </si>
  <si>
    <t>FE13938</t>
  </si>
  <si>
    <t>314 8931000</t>
  </si>
  <si>
    <t>CC 32307297</t>
  </si>
  <si>
    <t>DOLLY DE LAS MISERICORDIAS MEDINA DE HERNANDEZ</t>
  </si>
  <si>
    <t>2026-02-05 18:02:00</t>
  </si>
  <si>
    <t>FE13936</t>
  </si>
  <si>
    <t>316 2575180</t>
  </si>
  <si>
    <t>2026-02-05 18:05:00</t>
  </si>
  <si>
    <t>FE13937</t>
  </si>
  <si>
    <t>2026-02-05 17:05:00</t>
  </si>
  <si>
    <t>FE13932</t>
  </si>
  <si>
    <t>CC 1083914356</t>
  </si>
  <si>
    <t>NATALIA RODRIGUEZ</t>
  </si>
  <si>
    <t>LP0006</t>
  </si>
  <si>
    <t>NEVUS RUBI 6-10 - LONGPULSE</t>
  </si>
  <si>
    <t>2026-02-05 14:15:00</t>
  </si>
  <si>
    <t>FE13929</t>
  </si>
  <si>
    <t>CC 1152435792</t>
  </si>
  <si>
    <t>VANESSA SIERRA ARANGO</t>
  </si>
  <si>
    <t>2026-02-05 12:32:00</t>
  </si>
  <si>
    <t>FE13922</t>
  </si>
  <si>
    <t>CC 1037071901</t>
  </si>
  <si>
    <t>YOHARA ALVENIS GARCIA HENAO</t>
  </si>
  <si>
    <t>CC 42991297</t>
  </si>
  <si>
    <t>MARIA ELENA ARANGO LONDOÑO</t>
  </si>
  <si>
    <t>2026-02-05 13:18:00</t>
  </si>
  <si>
    <t>FE13923</t>
  </si>
  <si>
    <t>2026-02-05 12:12:00</t>
  </si>
  <si>
    <t>FE13921</t>
  </si>
  <si>
    <t>CC 1036680642</t>
  </si>
  <si>
    <t>MELISSA VELEZ LONDOÑO</t>
  </si>
  <si>
    <t>IP0008</t>
  </si>
  <si>
    <t>ACNÉ ACTIVO - IPL</t>
  </si>
  <si>
    <t>2026-02-04 11:20:00</t>
  </si>
  <si>
    <t>FE13901</t>
  </si>
  <si>
    <t>2026-02-06 09:00:00</t>
  </si>
  <si>
    <t>FE13939</t>
  </si>
  <si>
    <t>2026-02-06 09:43:00</t>
  </si>
  <si>
    <t>FE13941</t>
  </si>
  <si>
    <t>CC 8164803</t>
  </si>
  <si>
    <t>ANDRES ARTEAGA VASQUEZ</t>
  </si>
  <si>
    <t>2026-02-06 10:16:00</t>
  </si>
  <si>
    <t>FE13943</t>
  </si>
  <si>
    <t>2026-02-06 10:13:00</t>
  </si>
  <si>
    <t>FE13942</t>
  </si>
  <si>
    <t>CC 1152696885</t>
  </si>
  <si>
    <t>DAHIANA ALEJANDRA ESTRADA DELGADO</t>
  </si>
  <si>
    <t>2026-02-06 10:45:00</t>
  </si>
  <si>
    <t>FE13944</t>
  </si>
  <si>
    <t>CC 1040874458</t>
  </si>
  <si>
    <t>JULIETA CIRO ORTIZ</t>
  </si>
  <si>
    <t>2026-02-06 12:17:00</t>
  </si>
  <si>
    <t>FE13951</t>
  </si>
  <si>
    <t>SHERLY MANUELA CARMONA LONDOÑO</t>
  </si>
  <si>
    <t>2026-02-06 11:40:00</t>
  </si>
  <si>
    <t>FE13946</t>
  </si>
  <si>
    <t>LORENA MERLANO MONTENEGRO</t>
  </si>
  <si>
    <t>2026-02-06 11:19:00</t>
  </si>
  <si>
    <t>FE13945</t>
  </si>
  <si>
    <t>2026-02-06 11:42:00</t>
  </si>
  <si>
    <t>FE13947</t>
  </si>
  <si>
    <t>CC 43794895</t>
  </si>
  <si>
    <t>ALIRIA ROSA LOPEZ DUQUE</t>
  </si>
  <si>
    <t>2026-02-06 14:11:00</t>
  </si>
  <si>
    <t>FE13955</t>
  </si>
  <si>
    <t>2026-02-06 13:33:00</t>
  </si>
  <si>
    <t>FE13953</t>
  </si>
  <si>
    <t>2026-02-06 16:45:00</t>
  </si>
  <si>
    <t>FE13961</t>
  </si>
  <si>
    <t>2026-02-06 13:55:00</t>
  </si>
  <si>
    <t>FE13954</t>
  </si>
  <si>
    <t>305 2325008</t>
  </si>
  <si>
    <t>2026-02-06 09:16:00</t>
  </si>
  <si>
    <t>FE13940</t>
  </si>
  <si>
    <t>2026-02-06 15:47:00</t>
  </si>
  <si>
    <t>FE13957</t>
  </si>
  <si>
    <t>2026-02-06 17:07:00</t>
  </si>
  <si>
    <t>FE13963</t>
  </si>
  <si>
    <t>SANTIAGO QUIROGA SANCHEZ</t>
  </si>
  <si>
    <t>2026-02-06 17:21:00</t>
  </si>
  <si>
    <t>FE13965</t>
  </si>
  <si>
    <t>CC 43873082</t>
  </si>
  <si>
    <t>ADYLE ASSIS RESTREPO</t>
  </si>
  <si>
    <t>CC 1040742086</t>
  </si>
  <si>
    <t>YESICA YURLEY SEPULVEDA PALACIO</t>
  </si>
  <si>
    <t>2026-02-06 15:59:00</t>
  </si>
  <si>
    <t>FE13958</t>
  </si>
  <si>
    <t>LUIS EDUARDO SUAZA JIMENEZ</t>
  </si>
  <si>
    <t>2026-02-06 16:16:00</t>
  </si>
  <si>
    <t>FE13959</t>
  </si>
  <si>
    <t>2026-02-06 17:04:00</t>
  </si>
  <si>
    <t>FE13962</t>
  </si>
  <si>
    <t>2026-02-06 13:13:00</t>
  </si>
  <si>
    <t>FE13952</t>
  </si>
  <si>
    <t>CC 1039087901</t>
  </si>
  <si>
    <t>PATRICIA BRAVO BARRERA</t>
  </si>
  <si>
    <t>2026-02-06 18:16:00</t>
  </si>
  <si>
    <t>FE13966</t>
  </si>
  <si>
    <t>TATIANA ANDREA FERNANDEZ PULGARIN</t>
  </si>
  <si>
    <t>2026-02-06 18:57:00</t>
  </si>
  <si>
    <t>FE13970</t>
  </si>
  <si>
    <t>2026-02-06 16:19:00</t>
  </si>
  <si>
    <t>FE13960</t>
  </si>
  <si>
    <t>CC 21481839</t>
  </si>
  <si>
    <t>FRANCY ORTIZ GOMEZ</t>
  </si>
  <si>
    <t>2026-02-06 12:16:00</t>
  </si>
  <si>
    <t>FE13950</t>
  </si>
  <si>
    <t>2026-02-06 14:14:00</t>
  </si>
  <si>
    <t>FE13956</t>
  </si>
  <si>
    <t>CC 1143850025</t>
  </si>
  <si>
    <t>LAURA XIMENA GOMEZ RAMOS</t>
  </si>
  <si>
    <t>2026-02-06 19:32:00</t>
  </si>
  <si>
    <t>FE13976</t>
  </si>
  <si>
    <t>2026-02-06 19:17:00</t>
  </si>
  <si>
    <t>FE13973</t>
  </si>
  <si>
    <t>2026-02-06 11:52:00</t>
  </si>
  <si>
    <t>FE13948</t>
  </si>
  <si>
    <t>2026-02-06 17:09:00</t>
  </si>
  <si>
    <t>FE13964</t>
  </si>
  <si>
    <t>2026-02-06 19:14:00</t>
  </si>
  <si>
    <t>FE13971</t>
  </si>
  <si>
    <t>2026-02-06 18:18:00</t>
  </si>
  <si>
    <t>FE13967</t>
  </si>
  <si>
    <t>310 2030827</t>
  </si>
  <si>
    <t>2026-02-06 19:16:00</t>
  </si>
  <si>
    <t>FE13972</t>
  </si>
  <si>
    <t>LP0007</t>
  </si>
  <si>
    <t>NEVUS RUBI +10 - LONGPULSE</t>
  </si>
  <si>
    <t>2026-02-06 12:15:00</t>
  </si>
  <si>
    <t>FE13949</t>
  </si>
  <si>
    <t>CC 1097722407</t>
  </si>
  <si>
    <t>YANED FAYSURI RESTREPO POSSO</t>
  </si>
  <si>
    <t>2026-02-06 19:27:00</t>
  </si>
  <si>
    <t>FE13975</t>
  </si>
  <si>
    <t>310 7075780</t>
  </si>
  <si>
    <t>2026-02-06 18:25:00</t>
  </si>
  <si>
    <t>FE13968</t>
  </si>
  <si>
    <t>CC 1042764295</t>
  </si>
  <si>
    <t>MERY CAROLINA ESPINAL JARAMILLO</t>
  </si>
  <si>
    <t>2026-02-06 18:55:00</t>
  </si>
  <si>
    <t>FE13969</t>
  </si>
  <si>
    <t>2026-02-06 19:25:00</t>
  </si>
  <si>
    <t>FE13974</t>
  </si>
  <si>
    <t>CANADÁ</t>
  </si>
  <si>
    <t>CC 1193139868</t>
  </si>
  <si>
    <t>CARLOS ARBEY GARCIA LOAIZA</t>
  </si>
  <si>
    <t>2026-02-07 08:13:00</t>
  </si>
  <si>
    <t>FE13977</t>
  </si>
  <si>
    <t>2026-02-07 09:15:00</t>
  </si>
  <si>
    <t>FE13982</t>
  </si>
  <si>
    <t>2026-02-07 09:29:00</t>
  </si>
  <si>
    <t>FE13984</t>
  </si>
  <si>
    <t>2026-02-07 09:07:00</t>
  </si>
  <si>
    <t>FE13981</t>
  </si>
  <si>
    <t>2026-02-07 08:31:00</t>
  </si>
  <si>
    <t>FE13978</t>
  </si>
  <si>
    <t>2026-02-07 09:27:00</t>
  </si>
  <si>
    <t>FE13983</t>
  </si>
  <si>
    <t>2026-02-07 10:43:00</t>
  </si>
  <si>
    <t>FE13986</t>
  </si>
  <si>
    <t>CC 1037642796</t>
  </si>
  <si>
    <t>MARIA CAMILA RIOS TORRES</t>
  </si>
  <si>
    <t>2026-02-07 11:05:00</t>
  </si>
  <si>
    <t>FE13988</t>
  </si>
  <si>
    <t>2026-02-07 10:02:00</t>
  </si>
  <si>
    <t>FE13985</t>
  </si>
  <si>
    <t>2026-02-07 08:39:00</t>
  </si>
  <si>
    <t>FE13980</t>
  </si>
  <si>
    <t>2026-02-07 11:38:00</t>
  </si>
  <si>
    <t>FE13989</t>
  </si>
  <si>
    <t>2026-02-07 08:35:00</t>
  </si>
  <si>
    <t>FE13979</t>
  </si>
  <si>
    <t>2026-02-07 10:49:00</t>
  </si>
  <si>
    <t>FE13987</t>
  </si>
  <si>
    <t>2026-02-07 13:11:00</t>
  </si>
  <si>
    <t>FE13991</t>
  </si>
  <si>
    <t>2026-02-07 13:46:00</t>
  </si>
  <si>
    <t>FE13994</t>
  </si>
  <si>
    <t>CC 43991381</t>
  </si>
  <si>
    <t>TATIANA PEREZ ALZATE</t>
  </si>
  <si>
    <t>2026-02-07 14:00:00</t>
  </si>
  <si>
    <t>FE13995</t>
  </si>
  <si>
    <t>2026-02-07 17:48:00</t>
  </si>
  <si>
    <t>FE14000</t>
  </si>
  <si>
    <t>2026-02-07 17:59:00</t>
  </si>
  <si>
    <t>FE14001</t>
  </si>
  <si>
    <t>2026-02-07 18:10:00</t>
  </si>
  <si>
    <t>FE14002</t>
  </si>
  <si>
    <t>2026-02-07 16:09:00</t>
  </si>
  <si>
    <t>FE13996</t>
  </si>
  <si>
    <t>2026-02-07 12:46:00</t>
  </si>
  <si>
    <t>FE13990</t>
  </si>
  <si>
    <t>2026-02-07 13:19:00</t>
  </si>
  <si>
    <t>FE13992</t>
  </si>
  <si>
    <t>2026-02-07 13:20:00</t>
  </si>
  <si>
    <t>FE13993</t>
  </si>
  <si>
    <t>2026-02-07 18:17:00</t>
  </si>
  <si>
    <t>FE14003</t>
  </si>
  <si>
    <t>CC 42731753</t>
  </si>
  <si>
    <t>MARTA ISABEL CALDERON ANGEL</t>
  </si>
  <si>
    <t>2026-02-07 16:24:00</t>
  </si>
  <si>
    <t>FE13998</t>
  </si>
  <si>
    <t>CC 7921766</t>
  </si>
  <si>
    <t>CARLOS MARIO NUÑEZ PEREZ</t>
  </si>
  <si>
    <t>2026-02-07 18:26:00</t>
  </si>
  <si>
    <t>FE14004</t>
  </si>
  <si>
    <t>CC 1027886786</t>
  </si>
  <si>
    <t>MARINELLA BERMUDEZ POSADA</t>
  </si>
  <si>
    <t>CRIOTERAPIA 6-10 LESIONES</t>
  </si>
  <si>
    <t>2026-02-07 16:49:00</t>
  </si>
  <si>
    <t>FE13999</t>
  </si>
  <si>
    <t>2026-02-07 18:33:00</t>
  </si>
  <si>
    <t>FE14005</t>
  </si>
  <si>
    <t>CC 1035852794</t>
  </si>
  <si>
    <t>JULIAN CAMILO GOMEZ URREA</t>
  </si>
  <si>
    <t>2026-02-08 11:49:00</t>
  </si>
  <si>
    <t>FE1092</t>
  </si>
  <si>
    <t>2026-02-05 14:08:00</t>
  </si>
  <si>
    <t>FE1050</t>
  </si>
  <si>
    <t>CC 1034997566</t>
  </si>
  <si>
    <t>MARIANGEL JURADO VASQUEZ</t>
  </si>
  <si>
    <t>2026-02-05 19:12:00</t>
  </si>
  <si>
    <t>FE1056</t>
  </si>
  <si>
    <t>2026-02-08 11:44:00</t>
  </si>
  <si>
    <t>FE1091</t>
  </si>
  <si>
    <t>TERAPIA RESPIRATORIA</t>
  </si>
  <si>
    <t>Terapia Respiratoria</t>
  </si>
  <si>
    <t xml:space="preserve">Medicina Alternativa </t>
  </si>
  <si>
    <t>CE 468211922</t>
  </si>
  <si>
    <t>MARIE DJALLEH</t>
  </si>
  <si>
    <t>2026-02-06 17:17:00</t>
  </si>
  <si>
    <t>FE1071</t>
  </si>
  <si>
    <t>CC 23913083</t>
  </si>
  <si>
    <t>BARBARA ESTEFANIA PARRA PARRA</t>
  </si>
  <si>
    <t>2026-02-04 17:29:00</t>
  </si>
  <si>
    <t>FE1040</t>
  </si>
  <si>
    <t>2025-08-29 19:48:00</t>
  </si>
  <si>
    <t>FE10058</t>
  </si>
  <si>
    <t>CC 1036655990</t>
  </si>
  <si>
    <t>LESLEY PELAEZ DIAZ</t>
  </si>
  <si>
    <t>2026-02-04 13:57:00</t>
  </si>
  <si>
    <t>FE1035</t>
  </si>
  <si>
    <t>2026-02-06 08:09:00</t>
  </si>
  <si>
    <t>FE1057</t>
  </si>
  <si>
    <t>2026-02-05 12:30:00</t>
  </si>
  <si>
    <t>FE1049</t>
  </si>
  <si>
    <t>CC 1028140231</t>
  </si>
  <si>
    <t>STEPHANIE BEDOYA CORTES</t>
  </si>
  <si>
    <t>2026-02-06 16:03:00</t>
  </si>
  <si>
    <t>FE1068</t>
  </si>
  <si>
    <t>2026-02-05 11:13:00</t>
  </si>
  <si>
    <t>FE1046</t>
  </si>
  <si>
    <t>SUEROTERAPIA ESPECIALIZADA</t>
  </si>
  <si>
    <t>SUEROS</t>
  </si>
  <si>
    <t>2026-02-04 18:23:00</t>
  </si>
  <si>
    <t>FE1042</t>
  </si>
  <si>
    <t>2026-02-06 11:56:00</t>
  </si>
  <si>
    <t>FE1061</t>
  </si>
  <si>
    <t>2026-02-06 13:50:00</t>
  </si>
  <si>
    <t>FE1065</t>
  </si>
  <si>
    <t>2026-02-08 15:46:00</t>
  </si>
  <si>
    <t>FE1093</t>
  </si>
  <si>
    <t>CC 1007729929</t>
  </si>
  <si>
    <t>KELLY JOHANNA CANDIDO CRUZ</t>
  </si>
  <si>
    <t>2026-02-03 17:40:00</t>
  </si>
  <si>
    <t>FE1028</t>
  </si>
  <si>
    <t>SUEROTERAPIA MEGADOSIS</t>
  </si>
  <si>
    <t>2026-02-03 17:42:00</t>
  </si>
  <si>
    <t>FE1029</t>
  </si>
  <si>
    <t>CC 8417992</t>
  </si>
  <si>
    <t>DAIRO ANTONIO GUARIN SERNA</t>
  </si>
  <si>
    <t>2026-02-04 11:58:00</t>
  </si>
  <si>
    <t>FE1031</t>
  </si>
  <si>
    <t>2026-02-09 09:40:00</t>
  </si>
  <si>
    <t>FE14011</t>
  </si>
  <si>
    <t>2026-02-09 09:46:00</t>
  </si>
  <si>
    <t>FE14012</t>
  </si>
  <si>
    <t>2026-02-09 10:04:00</t>
  </si>
  <si>
    <t>FE14016</t>
  </si>
  <si>
    <t>DAYANA CAROLINA MAZO RESTREPO</t>
  </si>
  <si>
    <t>2026-02-09 09:50:00</t>
  </si>
  <si>
    <t>FE14015</t>
  </si>
  <si>
    <t>2026-02-08 17:06:00</t>
  </si>
  <si>
    <t>FE14006</t>
  </si>
  <si>
    <t>PA C23347887</t>
  </si>
  <si>
    <t>2026-02-09 10:44:00</t>
  </si>
  <si>
    <t>FE14019</t>
  </si>
  <si>
    <t>2026-02-09 10:34:00</t>
  </si>
  <si>
    <t>FE14018</t>
  </si>
  <si>
    <t>CE 4074743</t>
  </si>
  <si>
    <t>CAMILLE SOLER BATISTA</t>
  </si>
  <si>
    <t>2026-02-09 12:10:00</t>
  </si>
  <si>
    <t>FE14022</t>
  </si>
  <si>
    <t>2026-02-09 12:04:00</t>
  </si>
  <si>
    <t>FE14021</t>
  </si>
  <si>
    <t>2026-02-09 12:11:00</t>
  </si>
  <si>
    <t>FE14023</t>
  </si>
  <si>
    <t>2026-02-09 11:19:00</t>
  </si>
  <si>
    <t>FE14020</t>
  </si>
  <si>
    <t>2026-02-09 10:12:00</t>
  </si>
  <si>
    <t>FE14017</t>
  </si>
  <si>
    <t>2026-02-09 12:49:00</t>
  </si>
  <si>
    <t>FE14024</t>
  </si>
  <si>
    <t>2026-02-09 13:20:00</t>
  </si>
  <si>
    <t>FE14025</t>
  </si>
  <si>
    <t>2026-02-09 14:34:00</t>
  </si>
  <si>
    <t>FE14027</t>
  </si>
  <si>
    <t>CHILE</t>
  </si>
  <si>
    <t>2026-02-09 14:27:00</t>
  </si>
  <si>
    <t>FE14026</t>
  </si>
  <si>
    <t>CC 43222282</t>
  </si>
  <si>
    <t>VERONICA VASQUEZ ECHEVERRI</t>
  </si>
  <si>
    <t>2026-02-09 14:50:00</t>
  </si>
  <si>
    <t>FE14029</t>
  </si>
  <si>
    <t>2026-02-09 16:03:00</t>
  </si>
  <si>
    <t>FE14030</t>
  </si>
  <si>
    <t>2026-02-09 16:42:00</t>
  </si>
  <si>
    <t>FE14032</t>
  </si>
  <si>
    <t>CE 038593653</t>
  </si>
  <si>
    <t>TOMER SHAHAMOROF</t>
  </si>
  <si>
    <t>2026-02-09 16:34:00</t>
  </si>
  <si>
    <t>FE14031</t>
  </si>
  <si>
    <t>ISRAEL</t>
  </si>
  <si>
    <t>2026-02-09 17:00:00</t>
  </si>
  <si>
    <t>FE14034</t>
  </si>
  <si>
    <t>2026-02-09 09:31:00</t>
  </si>
  <si>
    <t>FE14010</t>
  </si>
  <si>
    <t>2026-02-09 14:48:00</t>
  </si>
  <si>
    <t>FE14028</t>
  </si>
  <si>
    <t>2026-02-09 09:47:00</t>
  </si>
  <si>
    <t>FE14014</t>
  </si>
  <si>
    <t>FE14013</t>
  </si>
  <si>
    <t>2026-02-09 18:57:00</t>
  </si>
  <si>
    <t>FE14035</t>
  </si>
  <si>
    <t>CC 1152695050</t>
  </si>
  <si>
    <t>DIEGO LEON MESA HINCAPIE</t>
  </si>
  <si>
    <t>CC 42691757</t>
  </si>
  <si>
    <t>YAZMIN AVENDAÑO OSPINA</t>
  </si>
  <si>
    <t>2026-02-07 16:12:00</t>
  </si>
  <si>
    <t>FE13997</t>
  </si>
  <si>
    <t>NELSON DE JESUS HINCAPIE VERGARA</t>
  </si>
  <si>
    <t>2026-02-10 08:26:00</t>
  </si>
  <si>
    <t>FE14036</t>
  </si>
  <si>
    <t>2026-02-10 08:51:00</t>
  </si>
  <si>
    <t>FE14037</t>
  </si>
  <si>
    <t>PA A518952</t>
  </si>
  <si>
    <t>TANYA SUZZETTE BENABE REYES</t>
  </si>
  <si>
    <t>2026-02-10 14:03:00</t>
  </si>
  <si>
    <t>FE14049</t>
  </si>
  <si>
    <t>CC 21944141</t>
  </si>
  <si>
    <t>GLORIA DEL SOCORRO ALVAREZ DE PEREZ</t>
  </si>
  <si>
    <t>2026-02-10 12:38:00</t>
  </si>
  <si>
    <t>FE14043</t>
  </si>
  <si>
    <t>2026-02-10 10:42:00</t>
  </si>
  <si>
    <t>FE14040</t>
  </si>
  <si>
    <t>2026-02-10 12:44:00</t>
  </si>
  <si>
    <t>FE14044</t>
  </si>
  <si>
    <t>CC 1214736812</t>
  </si>
  <si>
    <t>CARLOS DARIO MENDIVIL SEJIN</t>
  </si>
  <si>
    <t>2026-02-10 11:21:00</t>
  </si>
  <si>
    <t>FE14042</t>
  </si>
  <si>
    <t>CC 1018230599</t>
  </si>
  <si>
    <t>VALENTINA MAZO MORALES</t>
  </si>
  <si>
    <t>2026-02-10 11:17:00</t>
  </si>
  <si>
    <t>FE14041</t>
  </si>
  <si>
    <t>2026-02-10 14:17:00</t>
  </si>
  <si>
    <t>FE14054</t>
  </si>
  <si>
    <t>2026-02-10 13:40:00</t>
  </si>
  <si>
    <t>FE14046</t>
  </si>
  <si>
    <t>PA 655292688</t>
  </si>
  <si>
    <t>ERIC J DENIS</t>
  </si>
  <si>
    <t>2026-02-10 13:54:00</t>
  </si>
  <si>
    <t>FE14047</t>
  </si>
  <si>
    <t>2026-02-10 13:10:00</t>
  </si>
  <si>
    <t>FE14045</t>
  </si>
  <si>
    <t>CC 1017249797</t>
  </si>
  <si>
    <t>JUAN SEBASTIAN MALDONADO MELO</t>
  </si>
  <si>
    <t>2026-02-10 14:05:00</t>
  </si>
  <si>
    <t>FE14050</t>
  </si>
  <si>
    <t>2026-02-10 14:25:00</t>
  </si>
  <si>
    <t>FE14059</t>
  </si>
  <si>
    <t>ERIKA JISSEL GUTIERREZ BELTRAN</t>
  </si>
  <si>
    <t>2026-02-10 14:27:00</t>
  </si>
  <si>
    <t>FE14060</t>
  </si>
  <si>
    <t>2026-02-10 14:18:00</t>
  </si>
  <si>
    <t>FE14055</t>
  </si>
  <si>
    <t>2026-02-10 14:16:00</t>
  </si>
  <si>
    <t>FE14053</t>
  </si>
  <si>
    <t>HONDURAS</t>
  </si>
  <si>
    <t>2026-02-10 14:20:00</t>
  </si>
  <si>
    <t>FE14056</t>
  </si>
  <si>
    <t>2026-02-10 14:35:00</t>
  </si>
  <si>
    <t>FE14061</t>
  </si>
  <si>
    <t>2026-02-10 16:03:00</t>
  </si>
  <si>
    <t>FE14064</t>
  </si>
  <si>
    <t>CC 1096253120</t>
  </si>
  <si>
    <t>NAYBEHD AGUILAR JEREZ</t>
  </si>
  <si>
    <t>2026-01-06 19:15:00</t>
  </si>
  <si>
    <t>FE13231</t>
  </si>
  <si>
    <t>2026-02-10 14:23:00</t>
  </si>
  <si>
    <t>FE14058</t>
  </si>
  <si>
    <t>2026-02-10 16:09:00</t>
  </si>
  <si>
    <t>FE14065</t>
  </si>
  <si>
    <t>2026-02-10 15:59:00</t>
  </si>
  <si>
    <t>FE14062</t>
  </si>
  <si>
    <t>2026-02-10 14:10:00</t>
  </si>
  <si>
    <t>FE14051</t>
  </si>
  <si>
    <t>2026-02-10 17:21:00</t>
  </si>
  <si>
    <t>FE14067</t>
  </si>
  <si>
    <t>CC 1088025251</t>
  </si>
  <si>
    <t>ISABELA HOLGUIN OCAMPO</t>
  </si>
  <si>
    <t>2026-02-10 16:01:00</t>
  </si>
  <si>
    <t>FE14063</t>
  </si>
  <si>
    <t>2026-02-10 17:00:00</t>
  </si>
  <si>
    <t>FE14066</t>
  </si>
  <si>
    <t>CC 1020437313</t>
  </si>
  <si>
    <t>JULIANA MURILLO</t>
  </si>
  <si>
    <t>2026-02-10 17:28:00</t>
  </si>
  <si>
    <t>FE14069</t>
  </si>
  <si>
    <t>NATALIA QUINTERO GOMEZ</t>
  </si>
  <si>
    <t>2026-02-10 14:00:00</t>
  </si>
  <si>
    <t>FE14048</t>
  </si>
  <si>
    <t>CC 1007622320</t>
  </si>
  <si>
    <t>CAMILA ORREGO</t>
  </si>
  <si>
    <t>CC 43273573</t>
  </si>
  <si>
    <t>ELIANA JIMENEZ MUNERA</t>
  </si>
  <si>
    <t>2026-02-10 10:03:00</t>
  </si>
  <si>
    <t>FE14038</t>
  </si>
  <si>
    <t>CC 1025640491</t>
  </si>
  <si>
    <t>MARIA PAZ FIGUEROA JIMENEZ</t>
  </si>
  <si>
    <t>2026-02-10 10:15:00</t>
  </si>
  <si>
    <t>FE14039</t>
  </si>
  <si>
    <t>2026-02-10 14:22:00</t>
  </si>
  <si>
    <t>FE14057</t>
  </si>
  <si>
    <t>CC P05653957</t>
  </si>
  <si>
    <t>NAWAF DH E DH ALHARBI</t>
  </si>
  <si>
    <t>2026-02-10 14:12:00</t>
  </si>
  <si>
    <t>FE14052</t>
  </si>
  <si>
    <t>ARABIA SAUDITA</t>
  </si>
  <si>
    <t>HF0007</t>
  </si>
  <si>
    <t>HYDRAFACIAL HYDRA LUXE II</t>
  </si>
  <si>
    <t>2026-02-09 14:51:00</t>
  </si>
  <si>
    <t>FE1102</t>
  </si>
  <si>
    <t>CC 1128280246</t>
  </si>
  <si>
    <t>MARIA CAMILA ZULUAGA</t>
  </si>
  <si>
    <t>2026-02-09 13:38:00</t>
  </si>
  <si>
    <t>FE1101</t>
  </si>
  <si>
    <t>2026-02-10 09:19:00</t>
  </si>
  <si>
    <t>FE1107</t>
  </si>
  <si>
    <t>2026-02-09 13:23:00</t>
  </si>
  <si>
    <t>FE1100</t>
  </si>
  <si>
    <t>2026-02-10 14:37:00</t>
  </si>
  <si>
    <t>FE1118</t>
  </si>
  <si>
    <t>1 305 562 0697</t>
  </si>
  <si>
    <t>CC 1042770634</t>
  </si>
  <si>
    <t>ANGELA MARIA CUADRADO HINCAPIE</t>
  </si>
  <si>
    <t>CC 43607323</t>
  </si>
  <si>
    <t>FELIZA ZUNIGA</t>
  </si>
  <si>
    <t>CC 43601629</t>
  </si>
  <si>
    <t>CLAUDIA CRISTINA PENAGOS QUINTERO</t>
  </si>
  <si>
    <t>CC 629162</t>
  </si>
  <si>
    <t>PEDRO JOSE ARREDONDO PARRA</t>
  </si>
  <si>
    <t>CRIOTERAPIA &gt;10 LESIONES</t>
  </si>
  <si>
    <t>CC 32350854</t>
  </si>
  <si>
    <t>DIANA ISABEL PIZARRO</t>
  </si>
  <si>
    <t>2026-02-12 10:40:00</t>
  </si>
  <si>
    <t>2026-02-11 10:48:00</t>
  </si>
  <si>
    <t>FE14072</t>
  </si>
  <si>
    <t>2026-02-11 11:08:00</t>
  </si>
  <si>
    <t>FE1127</t>
  </si>
  <si>
    <t>TI 1037130699</t>
  </si>
  <si>
    <t>MARIA ANTONIA RUIZ DIAZ</t>
  </si>
  <si>
    <t>CE 856134</t>
  </si>
  <si>
    <t>SUSETT DEL VALLE BOADA DIAZ</t>
  </si>
  <si>
    <t>P00003</t>
  </si>
  <si>
    <t>PEELING SESDERMA</t>
  </si>
  <si>
    <t>APLICACIÓN PROFHILO</t>
  </si>
  <si>
    <t>CC 1017264443</t>
  </si>
  <si>
    <t>LINDA ELIANA AROCA</t>
  </si>
  <si>
    <t>2026-02-09 16:55:00</t>
  </si>
  <si>
    <t>FE14033</t>
  </si>
  <si>
    <t>KEVIN LONDOÑO BENJUMEA</t>
  </si>
  <si>
    <t>2026-02-11 11:11:00</t>
  </si>
  <si>
    <t>FE14073</t>
  </si>
  <si>
    <t>2026-02-10 12:54:00</t>
  </si>
  <si>
    <t>FE1110</t>
  </si>
  <si>
    <t>CC 1039474888</t>
  </si>
  <si>
    <t>MARIA FERNANDA ALVAREZ SERNA</t>
  </si>
  <si>
    <t>CC 1036967225</t>
  </si>
  <si>
    <t>PAULA ANDREA LARA LARA</t>
  </si>
  <si>
    <t>M00001</t>
  </si>
  <si>
    <t>APLICACIÓN DE ENZIMAS DE PRIMERA GENERACIÓN</t>
  </si>
  <si>
    <t>CC 1128279817</t>
  </si>
  <si>
    <t>CC 1000086961</t>
  </si>
  <si>
    <t>CAMILO VARGAS POSADA</t>
  </si>
  <si>
    <t>CC 1025647694</t>
  </si>
  <si>
    <t>PABLO RESTREPO CASTAÑEDA</t>
  </si>
  <si>
    <t>CC 1042061863</t>
  </si>
  <si>
    <t>GUILLERMO ALONSO ACEVEDO CANO</t>
  </si>
  <si>
    <t>CC 3507730</t>
  </si>
  <si>
    <t>CC 1067404635</t>
  </si>
  <si>
    <t>CC 1036362466</t>
  </si>
  <si>
    <t>SARA CAROLINA GALEANO BOTERO</t>
  </si>
  <si>
    <t>CC 1216721272</t>
  </si>
  <si>
    <t>WOLFGANG PATIÑO ROMAN</t>
  </si>
  <si>
    <t>CC 70382551</t>
  </si>
  <si>
    <t>OSBALDO ELEAZAR ARISTIZABAL GOMEZ</t>
  </si>
  <si>
    <t>CC 1040750968</t>
  </si>
  <si>
    <t>YESICA ZAPATA TORO</t>
  </si>
  <si>
    <t>CC 1027984958</t>
  </si>
  <si>
    <t>CC 1007441967</t>
  </si>
  <si>
    <t>ANGGIE PAOLA GRACIANO ZAPATA</t>
  </si>
  <si>
    <t>CC 1036670502</t>
  </si>
  <si>
    <t>ANGIE JULIETH MINA QUINTERO</t>
  </si>
  <si>
    <t>CC 43081998</t>
  </si>
  <si>
    <t>MARTA LUZ OCAMPO GAVIRIA</t>
  </si>
  <si>
    <t>CC 1022002950</t>
  </si>
  <si>
    <t>SALOME PELAEZ PINEDA</t>
  </si>
  <si>
    <t>CC 1035878672</t>
  </si>
  <si>
    <t>JUAN GUILLERMO CASTRILLON ZULETA</t>
  </si>
  <si>
    <t>CC 43616699</t>
  </si>
  <si>
    <t>ELIZABETH VASQUEZ LOPERA</t>
  </si>
  <si>
    <t>CC 3891775</t>
  </si>
  <si>
    <t>DAVIS OSWALDO CARMONA MESIA</t>
  </si>
  <si>
    <t>CC 70756721</t>
  </si>
  <si>
    <t>JULIAN OSORNO CARDONA</t>
  </si>
  <si>
    <t>CC 1037661938</t>
  </si>
  <si>
    <t>ANDREA FORONDA OBANDO</t>
  </si>
  <si>
    <t>CC 43616170</t>
  </si>
  <si>
    <t>ALBA RUTH PUERTA MEJIA</t>
  </si>
  <si>
    <t>CC 100401154</t>
  </si>
  <si>
    <t>WILMER PALACIOS MURILLO</t>
  </si>
  <si>
    <t>CC 43614864</t>
  </si>
  <si>
    <t>ADRIANA UPEGUI ECHEVERRI</t>
  </si>
  <si>
    <t>MESOTERAPIA CAPILAR + LUZ FOTOAGE</t>
  </si>
  <si>
    <t>CC 32296273</t>
  </si>
  <si>
    <t>YOHANA ISABEL CARDONA TORO</t>
  </si>
  <si>
    <t>CC 1040736986</t>
  </si>
  <si>
    <t>LAURA MARITZA GALEANO VASQUEZ</t>
  </si>
  <si>
    <t>CC 1152468287</t>
  </si>
  <si>
    <t>CRISTIAN TAMAYO ARANGO</t>
  </si>
  <si>
    <t>2026-02-10 17:24:00</t>
  </si>
  <si>
    <t>FE14068</t>
  </si>
  <si>
    <t>TI 1018244069</t>
  </si>
  <si>
    <t>JULIANA AGUIRRE</t>
  </si>
  <si>
    <t>CC 1000660637</t>
  </si>
  <si>
    <t>SARAH KATERIN GIRALDO TASCON</t>
  </si>
  <si>
    <t>CC 42889720</t>
  </si>
  <si>
    <t>CC 43835014</t>
  </si>
  <si>
    <t>LILIANA MARCELA VALENCIA</t>
  </si>
  <si>
    <t>2026-02-10 19:00:00</t>
  </si>
  <si>
    <t>FE14070</t>
  </si>
  <si>
    <t>2026-02-10 19:03:00</t>
  </si>
  <si>
    <t>FE14071</t>
  </si>
  <si>
    <t>PA C5HNZ4F91</t>
  </si>
  <si>
    <t>CC 1035880355</t>
  </si>
  <si>
    <t>VALERIA BUSTAMANTE CASTRILLON</t>
  </si>
  <si>
    <t>CC 1035863562</t>
  </si>
  <si>
    <t>YULIANA BUSTAMANTE CASTRILLON</t>
  </si>
  <si>
    <t>TI 1034998431</t>
  </si>
  <si>
    <t>SIMON JARAMILLO BOTERO</t>
  </si>
  <si>
    <t>CC 1036663782</t>
  </si>
  <si>
    <t>CC 1117518550</t>
  </si>
  <si>
    <t>JENNIFER MUÑOZ CHAUX</t>
  </si>
  <si>
    <t>CC 22211248</t>
  </si>
  <si>
    <t>CC 1039688366</t>
  </si>
  <si>
    <t>SAMANTHA QUINTERO RUIZ</t>
  </si>
  <si>
    <t>2026-02-12 12:10:00</t>
  </si>
  <si>
    <t>FE14092</t>
  </si>
  <si>
    <t>CC 1037663674</t>
  </si>
  <si>
    <t>MICHAEL GIRALDO</t>
  </si>
  <si>
    <t>RESECCION CA DE PIEL &lt; 1 CM, AREA ESPECIAL + ESTUDIO PATOLOGÍA</t>
  </si>
  <si>
    <t>CLAUDIA VALLEJO LOPEZ</t>
  </si>
  <si>
    <t>YESICA PAOLA CONDE PADILLA</t>
  </si>
  <si>
    <t>2026-02-13 09:26:00</t>
  </si>
  <si>
    <t>FE1150</t>
  </si>
  <si>
    <t>2026-02-13 10:31:00</t>
  </si>
  <si>
    <t>FE14117</t>
  </si>
  <si>
    <t>PD0003</t>
  </si>
  <si>
    <t>REJUVENECIMIENTO CUELLO Y PAPADA - PRODEEP</t>
  </si>
  <si>
    <t>ALEJANDRA MARIA RAMIREZ ANGEL</t>
  </si>
  <si>
    <t>CC 1088287731</t>
  </si>
  <si>
    <t>DAVID ARCILA PARRA</t>
  </si>
  <si>
    <t>CC 98465319</t>
  </si>
  <si>
    <t>FRANCISCO EDUARDO DUQUE OSORIO</t>
  </si>
  <si>
    <t>CC 71334099</t>
  </si>
  <si>
    <t>JUAN CARLOS GOMEZ GONZALEZ</t>
  </si>
  <si>
    <t>CC 1035641319</t>
  </si>
  <si>
    <t>JHON LUIS CLETO MAZA</t>
  </si>
  <si>
    <t>CC 1116801464</t>
  </si>
  <si>
    <t>ANA MARIA MUNEVAR DIAZ</t>
  </si>
  <si>
    <t>CC 1023702067</t>
  </si>
  <si>
    <t>DIANA CORREA QUIROZ</t>
  </si>
  <si>
    <t>CC 1036633721</t>
  </si>
  <si>
    <t>ANA MARIA CASTRILLON</t>
  </si>
  <si>
    <t>CC 1035388069</t>
  </si>
  <si>
    <t>WILSON DANIEL BENAVIDES GOMEZ</t>
  </si>
  <si>
    <t>CC 1020474107</t>
  </si>
  <si>
    <t>ANDRES SERNA MUÑOZ</t>
  </si>
  <si>
    <t>CC 43867999</t>
  </si>
  <si>
    <t>DAMARIS FLOREZ GOMEZ</t>
  </si>
  <si>
    <t>CC 1106394560</t>
  </si>
  <si>
    <t>JENIFER SOTO</t>
  </si>
  <si>
    <t>CC 1214734628</t>
  </si>
  <si>
    <t>YENIFER CARDONA CARO</t>
  </si>
  <si>
    <t>CC 15378056</t>
  </si>
  <si>
    <t>HECTOR ORLANDO MUÑOZ OSORIO</t>
  </si>
  <si>
    <t>CC 1128273871</t>
  </si>
  <si>
    <t>SANDRA MILENA HOYOS LOPEZ</t>
  </si>
  <si>
    <t>CC 43824551</t>
  </si>
  <si>
    <t>MARTA LILIANA PULGARIN MUÑOZ</t>
  </si>
  <si>
    <t>CC 1041233970</t>
  </si>
  <si>
    <t>SANDRA MILENA ESPINOSA ALZATE</t>
  </si>
  <si>
    <t>CC 1033337102</t>
  </si>
  <si>
    <t>ANA CAROLINA ACEVEDO MONSALVE</t>
  </si>
  <si>
    <t>CC 1128432689</t>
  </si>
  <si>
    <t>KAROL OMAIRA VIANA ATEHORTUA</t>
  </si>
  <si>
    <t>TI 1078459653</t>
  </si>
  <si>
    <t>YASLISA LORENA YURGAQUI PORTOCARRERO</t>
  </si>
  <si>
    <t>CC 1000885519</t>
  </si>
  <si>
    <t>MIGUEL ANGEL MARTINEZ ZAPATA</t>
  </si>
  <si>
    <t>CC 1036611562</t>
  </si>
  <si>
    <t>CAROLINA MUÑOZ</t>
  </si>
  <si>
    <t>CC 1000188886</t>
  </si>
  <si>
    <t>VALENTINA RIOS DURANGO</t>
  </si>
  <si>
    <t>CC 98572747</t>
  </si>
  <si>
    <t>CC 63302520</t>
  </si>
  <si>
    <t>CLAUDIA RUGELES LOPEZ</t>
  </si>
  <si>
    <t>CC 32494182</t>
  </si>
  <si>
    <t>ELVIA GOMEZ MARIN</t>
  </si>
  <si>
    <t>2026-02-12 16:50:00</t>
  </si>
  <si>
    <t>FE14107</t>
  </si>
  <si>
    <t>2026-02-13 10:28:00</t>
  </si>
  <si>
    <t>FE14116</t>
  </si>
  <si>
    <t>CC 1128478628</t>
  </si>
  <si>
    <t>CC 1043195595</t>
  </si>
  <si>
    <t>LUCIANA JARAMILLO RESTREPO</t>
  </si>
  <si>
    <t>CC 22193673</t>
  </si>
  <si>
    <t>PA A03627682</t>
  </si>
  <si>
    <t>MASSIMILANO BATISTA</t>
  </si>
  <si>
    <t>CC 43094580</t>
  </si>
  <si>
    <t>MARIA CONSUELO MORENO ORREGO</t>
  </si>
  <si>
    <t>300 3493662</t>
  </si>
  <si>
    <t>2026-02-11 12:21:00</t>
  </si>
  <si>
    <t>FE14074</t>
  </si>
  <si>
    <t>DANIELA RONDON RENDON</t>
  </si>
  <si>
    <t>2026-02-11 13:05:00</t>
  </si>
  <si>
    <t>FE14075</t>
  </si>
  <si>
    <t>BARBARA FRANZISKA FRISCHHOLZ</t>
  </si>
  <si>
    <t>2026-02-11 13:41:00</t>
  </si>
  <si>
    <t>FE14076</t>
  </si>
  <si>
    <t>REINO UNIDO</t>
  </si>
  <si>
    <t>2026-02-11 13:49:00</t>
  </si>
  <si>
    <t>FE14077</t>
  </si>
  <si>
    <t>MARIA ESTHER MUNERA RUIZ</t>
  </si>
  <si>
    <t>2026-02-11 15:12:00</t>
  </si>
  <si>
    <t>FE14080</t>
  </si>
  <si>
    <t>2026-02-11 14:45:00</t>
  </si>
  <si>
    <t>FE14079</t>
  </si>
  <si>
    <t>2026-02-11 15:33:00</t>
  </si>
  <si>
    <t>FE14081</t>
  </si>
  <si>
    <t>2026-02-11 15:42:00</t>
  </si>
  <si>
    <t>FE14082</t>
  </si>
  <si>
    <t>2026-02-11 14:39:00</t>
  </si>
  <si>
    <t>FE14078</t>
  </si>
  <si>
    <t>2026-02-11 15:53:00</t>
  </si>
  <si>
    <t>FE14083</t>
  </si>
  <si>
    <t>2026-02-11 16:51:00</t>
  </si>
  <si>
    <t>FE14086</t>
  </si>
  <si>
    <t>CC 1041204290</t>
  </si>
  <si>
    <t>MARIA ISABEL SALAZAR GIRALDO</t>
  </si>
  <si>
    <t>2026-02-11 16:49:00</t>
  </si>
  <si>
    <t>FE14085</t>
  </si>
  <si>
    <t>NANOPORE</t>
  </si>
  <si>
    <t>2026-02-11 16:33:00</t>
  </si>
  <si>
    <t>FE14084</t>
  </si>
  <si>
    <t>CC 1002542145</t>
  </si>
  <si>
    <t>PAULA ANDREA BETANCUR</t>
  </si>
  <si>
    <t>2026-02-12 10:46:00</t>
  </si>
  <si>
    <t>FE14089</t>
  </si>
  <si>
    <t>TI 1059119759</t>
  </si>
  <si>
    <t>NICOLAS SALDARRIAGA BETANCUR</t>
  </si>
  <si>
    <t>2026-02-12 10:45:00</t>
  </si>
  <si>
    <t>FE14088</t>
  </si>
  <si>
    <t>2026-02-12 11:36:00</t>
  </si>
  <si>
    <t>FE14090</t>
  </si>
  <si>
    <t>2026-02-12 11:42:00</t>
  </si>
  <si>
    <t>FE14091</t>
  </si>
  <si>
    <t>FE14087</t>
  </si>
  <si>
    <t>YOSELIN DANEL ALVAREZ PEREZ</t>
  </si>
  <si>
    <t>2026-02-12 12:08:00</t>
  </si>
  <si>
    <t>FE14093</t>
  </si>
  <si>
    <t>2026-02-12 13:58:00</t>
  </si>
  <si>
    <t>FE14097</t>
  </si>
  <si>
    <t>2026-02-12 12:52:00</t>
  </si>
  <si>
    <t>FE14096</t>
  </si>
  <si>
    <t>CC 98529051</t>
  </si>
  <si>
    <t>WILSON DE JESUS ZAPATA BEDOYA</t>
  </si>
  <si>
    <t>2026-02-12 15:35:00</t>
  </si>
  <si>
    <t>FE14100</t>
  </si>
  <si>
    <t>OLGA LILIANA SANCHEZ CALLE</t>
  </si>
  <si>
    <t>2026-02-12 16:04:00</t>
  </si>
  <si>
    <t>FE14101</t>
  </si>
  <si>
    <t>2026-02-12 17:14:00</t>
  </si>
  <si>
    <t>FE14108</t>
  </si>
  <si>
    <t>CC 1152440024</t>
  </si>
  <si>
    <t>JUAN CAMILO HERNANDEZ VALENCIA</t>
  </si>
  <si>
    <t>2026-02-12 12:14:00</t>
  </si>
  <si>
    <t>FE14094</t>
  </si>
  <si>
    <t>CAROLINA VELASQUEZ YEPES</t>
  </si>
  <si>
    <t>CC 1152438830</t>
  </si>
  <si>
    <t>MATEO SANCHEZ GARCIA</t>
  </si>
  <si>
    <t>CC 1020491685</t>
  </si>
  <si>
    <t>LUISA MARIA CACHAYA ECHEVERRY</t>
  </si>
  <si>
    <t>M00012</t>
  </si>
  <si>
    <t>MESOTERAPIA DESPIGMENTANTE OJERAS</t>
  </si>
  <si>
    <t>2026-02-12 15:19:00</t>
  </si>
  <si>
    <t>FE14099</t>
  </si>
  <si>
    <t>2026-02-12 16:09:00</t>
  </si>
  <si>
    <t>FE14102</t>
  </si>
  <si>
    <t>2026-02-12 16:39:00</t>
  </si>
  <si>
    <t>FE14106</t>
  </si>
  <si>
    <t>PA 456328</t>
  </si>
  <si>
    <t>MICHAEL STEVEN LOWERY</t>
  </si>
  <si>
    <t>2026-02-12 17:29:00</t>
  </si>
  <si>
    <t>FE14113</t>
  </si>
  <si>
    <t>CC 43996621</t>
  </si>
  <si>
    <t>XIOMARA MEJIA</t>
  </si>
  <si>
    <t>2026-02-12 16:34:00</t>
  </si>
  <si>
    <t>FE14105</t>
  </si>
  <si>
    <t>2026-02-12 16:31:00</t>
  </si>
  <si>
    <t>FE14104</t>
  </si>
  <si>
    <t>2026-02-12 17:19:00</t>
  </si>
  <si>
    <t>FE14109</t>
  </si>
  <si>
    <t>2026-02-12 16:20:00</t>
  </si>
  <si>
    <t>FE14103</t>
  </si>
  <si>
    <t>M00002</t>
  </si>
  <si>
    <t>APLICACIÓN DE ENZIMAS PB SERUM SEGUNDA GENERACION</t>
  </si>
  <si>
    <t>2026-02-12 17:56:00</t>
  </si>
  <si>
    <t>FE14115</t>
  </si>
  <si>
    <t>2026-02-12 15:16:00</t>
  </si>
  <si>
    <t>FE14098</t>
  </si>
  <si>
    <t>2026-02-12 17:26:00</t>
  </si>
  <si>
    <t>FE14111</t>
  </si>
  <si>
    <t>2026-02-12 17:27:00</t>
  </si>
  <si>
    <t>FE14112</t>
  </si>
  <si>
    <t>2026-02-12 17:40:00</t>
  </si>
  <si>
    <t>FE14114</t>
  </si>
  <si>
    <t>2026-02-12 17:12:00</t>
  </si>
  <si>
    <t>FE1143</t>
  </si>
  <si>
    <t>2026-02-12 12:55:00</t>
  </si>
  <si>
    <t>FE1139</t>
  </si>
  <si>
    <t>2026-02-12 13:42:00</t>
  </si>
  <si>
    <t>FE1140</t>
  </si>
  <si>
    <t>2026-02-12 17:21:00</t>
  </si>
  <si>
    <t>FE1144</t>
  </si>
  <si>
    <t>2026-02-16 11:33:00</t>
  </si>
  <si>
    <t>FE14186</t>
  </si>
  <si>
    <t>2025-11-08 13:59:00</t>
  </si>
  <si>
    <t>FE58</t>
  </si>
  <si>
    <t>TI 1013463311</t>
  </si>
  <si>
    <t>MARIANA RUIZ PEREIRA</t>
  </si>
  <si>
    <t>2026-02-16 11:43:00</t>
  </si>
  <si>
    <t>FE14188</t>
  </si>
  <si>
    <t>2026-02-16 08:36:00</t>
  </si>
  <si>
    <t>FE14182</t>
  </si>
  <si>
    <t>TI 1021808771</t>
  </si>
  <si>
    <t>SOFIA MONSALVE MONTOYA</t>
  </si>
  <si>
    <t>CC 1022978559</t>
  </si>
  <si>
    <t>CINDY JOHANNA MARIN REY</t>
  </si>
  <si>
    <t>CC 1007232960</t>
  </si>
  <si>
    <t>MARIA ALEJANDRA CARDONA RAMIREZ</t>
  </si>
  <si>
    <t>2026-02-16 10:32:00</t>
  </si>
  <si>
    <t>FE14183</t>
  </si>
  <si>
    <t>EDNA MILE CHAVERRA RESTREPO</t>
  </si>
  <si>
    <t>2026-02-16 11:46:00</t>
  </si>
  <si>
    <t>FE14189</t>
  </si>
  <si>
    <t>2026-02-16 10:43:00</t>
  </si>
  <si>
    <t>FE14184</t>
  </si>
  <si>
    <t>CC 1037661995</t>
  </si>
  <si>
    <t>JUAN DIEGO RESTREPO GARCIA</t>
  </si>
  <si>
    <t>2026-02-16 13:05:00</t>
  </si>
  <si>
    <t>FE14195</t>
  </si>
  <si>
    <t>2026-02-16 11:52:00</t>
  </si>
  <si>
    <t>FE14190</t>
  </si>
  <si>
    <t>2026-02-13 12:30:00</t>
  </si>
  <si>
    <t>FE14124</t>
  </si>
  <si>
    <t>CC 30080688</t>
  </si>
  <si>
    <t>MARTHA ORDOÑEZ</t>
  </si>
  <si>
    <t>2026-02-04 18:20:00</t>
  </si>
  <si>
    <t>FE13912</t>
  </si>
  <si>
    <t>2026-02-16 12:07:00</t>
  </si>
  <si>
    <t>FE14193</t>
  </si>
  <si>
    <t>2026-02-16 12:56:00</t>
  </si>
  <si>
    <t>FE1196</t>
  </si>
  <si>
    <t>RUTH MILADES TABORDA LONDOÑO</t>
  </si>
  <si>
    <t>2026-02-16 13:03:00</t>
  </si>
  <si>
    <t>FE14194</t>
  </si>
  <si>
    <t>CC 1000414305</t>
  </si>
  <si>
    <t>EMMANUEL DELGADO GONZALEZ</t>
  </si>
  <si>
    <t>CC 1037663696</t>
  </si>
  <si>
    <t>JUAN FELIPE AGUAS HERRERA</t>
  </si>
  <si>
    <t>CC 682566153</t>
  </si>
  <si>
    <t>CC 43996470</t>
  </si>
  <si>
    <t>ANGELA MARIA SANCHEZ CORREA</t>
  </si>
  <si>
    <t>CC 1036661565</t>
  </si>
  <si>
    <t>JOSE FERNANDO ZAPATA GUTIERREZ</t>
  </si>
  <si>
    <t>TI 1062972609</t>
  </si>
  <si>
    <t>ARIANA GARCIA CADAVIA</t>
  </si>
  <si>
    <t>2026-02-13 18:42:00</t>
  </si>
  <si>
    <t>FE14155</t>
  </si>
  <si>
    <t>CC 1193112330</t>
  </si>
  <si>
    <t>MARIA JOSE MUÑOZ HENAO</t>
  </si>
  <si>
    <t>HF0013</t>
  </si>
  <si>
    <t>HYDRAFACIAL GLOW THERAPY II</t>
  </si>
  <si>
    <t>PA 247886</t>
  </si>
  <si>
    <t>ALFREDO HERREMAN</t>
  </si>
  <si>
    <t>CC 1017250564</t>
  </si>
  <si>
    <t>PA BG459941</t>
  </si>
  <si>
    <t>EVELIN CUARTAS</t>
  </si>
  <si>
    <t>CC 32241421</t>
  </si>
  <si>
    <t>DARLYN MARIA MARTINEZ</t>
  </si>
  <si>
    <t>CC 1036928662</t>
  </si>
  <si>
    <t>NATALIA ANDREA GONZALEZ CARDONA</t>
  </si>
  <si>
    <t>CC 1036941885</t>
  </si>
  <si>
    <t>LUZ MERY MONTOYA OCAMPO</t>
  </si>
  <si>
    <t>CC 21742863</t>
  </si>
  <si>
    <t>TI 1034994818</t>
  </si>
  <si>
    <t>GABRIELA VELASQUEZ</t>
  </si>
  <si>
    <t>CC 1018441033</t>
  </si>
  <si>
    <t>NICOLÁS PAEZ MORTIGO</t>
  </si>
  <si>
    <t>2026-02-16 11:19:00</t>
  </si>
  <si>
    <t>FE1195</t>
  </si>
  <si>
    <t>CC 1003026525</t>
  </si>
  <si>
    <t>NATALIA REVELO ZABALETA</t>
  </si>
  <si>
    <t>2026-02-16 12:03:00</t>
  </si>
  <si>
    <t>FE14192</t>
  </si>
  <si>
    <t>2026-02-16 11:55:00</t>
  </si>
  <si>
    <t>FE14191</t>
  </si>
  <si>
    <t>2026-02-16 11:39:00</t>
  </si>
  <si>
    <t>FE14187</t>
  </si>
  <si>
    <t>2026-02-16 11:23:00</t>
  </si>
  <si>
    <t>FE14185</t>
  </si>
  <si>
    <t>PA 700980221</t>
  </si>
  <si>
    <t>ELVIRA PADILLA JIMENEZ</t>
  </si>
  <si>
    <t>PA 703800820</t>
  </si>
  <si>
    <t>DANNA GONZALEZ CARVAJAL</t>
  </si>
  <si>
    <t>CC 43276225</t>
  </si>
  <si>
    <t>DIANA MARIA ZULUAGA MONTOYA</t>
  </si>
  <si>
    <t>CC 53059669</t>
  </si>
  <si>
    <t>ELIZABETH RIOS ARBOLEDA</t>
  </si>
  <si>
    <t>2026-02-16 13:23:00</t>
  </si>
  <si>
    <t>FE14197</t>
  </si>
  <si>
    <t>2026-02-16 13:24:00</t>
  </si>
  <si>
    <t>FE14198</t>
  </si>
  <si>
    <t>CC 1000414936</t>
  </si>
  <si>
    <t>VALERIA PEREZ VELEZ</t>
  </si>
  <si>
    <t>CC 1036638604</t>
  </si>
  <si>
    <t>SOLANLLY BEDOYA RIOS</t>
  </si>
  <si>
    <t>CE 8129931</t>
  </si>
  <si>
    <t>PAMELA SUE CASTLE</t>
  </si>
  <si>
    <t>2026-02-16 13:16:00</t>
  </si>
  <si>
    <t>FE14196</t>
  </si>
  <si>
    <t>2026-02-13 12:19:00</t>
  </si>
  <si>
    <t>FE14120</t>
  </si>
  <si>
    <t>2026-02-13 13:08:00</t>
  </si>
  <si>
    <t>FE14130</t>
  </si>
  <si>
    <t>JORJANI PAOLA VARGAS LUGO</t>
  </si>
  <si>
    <t>2026-02-13 11:00:00</t>
  </si>
  <si>
    <t>FE14118</t>
  </si>
  <si>
    <t>2026-02-13 12:48:00</t>
  </si>
  <si>
    <t>FE14126</t>
  </si>
  <si>
    <t>2026-02-12 12:18:00</t>
  </si>
  <si>
    <t>FE14095</t>
  </si>
  <si>
    <t>2026-02-13 13:02:00</t>
  </si>
  <si>
    <t>FE14128</t>
  </si>
  <si>
    <t>2026-02-13 13:18:00</t>
  </si>
  <si>
    <t>FE14132</t>
  </si>
  <si>
    <t>2026-02-13 13:26:00</t>
  </si>
  <si>
    <t>FE14133</t>
  </si>
  <si>
    <t>2026-02-13 12:20:00</t>
  </si>
  <si>
    <t>FE14121</t>
  </si>
  <si>
    <t>ITALIA</t>
  </si>
  <si>
    <t>2026-02-13 12:25:00</t>
  </si>
  <si>
    <t>FE14122</t>
  </si>
  <si>
    <t>2026-02-13 12:51:00</t>
  </si>
  <si>
    <t>FE14127</t>
  </si>
  <si>
    <t>2026-02-13 11:29:00</t>
  </si>
  <si>
    <t>FE14119</t>
  </si>
  <si>
    <t>2026-02-13 13:04:00</t>
  </si>
  <si>
    <t>FE14129</t>
  </si>
  <si>
    <t>2026-02-13 15:22:00</t>
  </si>
  <si>
    <t>FE14139</t>
  </si>
  <si>
    <t>2026-02-13 14:02:00</t>
  </si>
  <si>
    <t>FE14134</t>
  </si>
  <si>
    <t>CE 7408344</t>
  </si>
  <si>
    <t>JAINETH LORENIS ROJO ROMERO</t>
  </si>
  <si>
    <t>2026-02-13 14:12:00</t>
  </si>
  <si>
    <t>FE14136</t>
  </si>
  <si>
    <t>2026-02-13 16:45:00</t>
  </si>
  <si>
    <t>FE14145</t>
  </si>
  <si>
    <t>STIVEN RUIZ HIGUITA</t>
  </si>
  <si>
    <t>2026-02-13 16:22:00</t>
  </si>
  <si>
    <t>FE14144</t>
  </si>
  <si>
    <t>2026-02-13 14:05:00</t>
  </si>
  <si>
    <t>FE14135</t>
  </si>
  <si>
    <t>2026-02-13 15:13:00</t>
  </si>
  <si>
    <t>FE14138</t>
  </si>
  <si>
    <t>2026-02-13 16:17:00</t>
  </si>
  <si>
    <t>FE14142</t>
  </si>
  <si>
    <t>2026-02-13 15:11:00</t>
  </si>
  <si>
    <t>FE14137</t>
  </si>
  <si>
    <t>2026-02-13 17:43:00</t>
  </si>
  <si>
    <t>FE14148</t>
  </si>
  <si>
    <t>2026-02-13 17:19:00</t>
  </si>
  <si>
    <t>FE14146</t>
  </si>
  <si>
    <t>2026-02-13 18:25:00</t>
  </si>
  <si>
    <t>FE14151</t>
  </si>
  <si>
    <t>2026-02-13 18:31:00</t>
  </si>
  <si>
    <t>FE14153</t>
  </si>
  <si>
    <t>2026-02-13 16:19:00</t>
  </si>
  <si>
    <t>FE14143</t>
  </si>
  <si>
    <t>SANDRA MILENA CASTAÑO</t>
  </si>
  <si>
    <t>2026-02-13 18:04:00</t>
  </si>
  <si>
    <t>FE14149</t>
  </si>
  <si>
    <t>TI 1034997889</t>
  </si>
  <si>
    <t>JERONIMO VASQUEZ SALAZAR</t>
  </si>
  <si>
    <t>2026-02-12 17:23:00</t>
  </si>
  <si>
    <t>FE14110</t>
  </si>
  <si>
    <t>2026-02-13 18:20:00</t>
  </si>
  <si>
    <t>FE14150</t>
  </si>
  <si>
    <t>2026-02-13 12:27:00</t>
  </si>
  <si>
    <t>FE14123</t>
  </si>
  <si>
    <t>2026-02-13 12:45:00</t>
  </si>
  <si>
    <t>FE14125</t>
  </si>
  <si>
    <t>2026-02-13 15:59:00</t>
  </si>
  <si>
    <t>FE14140</t>
  </si>
  <si>
    <t>2026-02-13 16:12:00</t>
  </si>
  <si>
    <t>FE14141</t>
  </si>
  <si>
    <t>2026-02-13 17:38:00</t>
  </si>
  <si>
    <t>FE14147</t>
  </si>
  <si>
    <t>314 8441965</t>
  </si>
  <si>
    <t>2026-02-13 13:10:00</t>
  </si>
  <si>
    <t>FE14131</t>
  </si>
  <si>
    <t>EDISON GIOVANNY ESTRADA MONTOYA</t>
  </si>
  <si>
    <t>2026-02-14 08:19:00</t>
  </si>
  <si>
    <t>FE14156</t>
  </si>
  <si>
    <t>2026-02-14 08:24:00</t>
  </si>
  <si>
    <t>FE14157</t>
  </si>
  <si>
    <t>2026-02-14 08:52:00</t>
  </si>
  <si>
    <t>FE14159</t>
  </si>
  <si>
    <t>2026-02-14 09:27:00</t>
  </si>
  <si>
    <t>FE14160</t>
  </si>
  <si>
    <t>IP0020</t>
  </si>
  <si>
    <t>IPL MALFORMACIONES VASCULARES (6-10) LESIONES</t>
  </si>
  <si>
    <t>2026-02-14 08:44:00</t>
  </si>
  <si>
    <t>FE14158</t>
  </si>
  <si>
    <t>CC 1037600694</t>
  </si>
  <si>
    <t>ANDRES FELIPE TANGARIFE DUQUE</t>
  </si>
  <si>
    <t>2026-02-14 10:02:00</t>
  </si>
  <si>
    <t>FE14162</t>
  </si>
  <si>
    <t>2026-02-14 11:16:00</t>
  </si>
  <si>
    <t>FE14166</t>
  </si>
  <si>
    <t>PA G24078258</t>
  </si>
  <si>
    <t>VIVIANA MANZANO RUSSO</t>
  </si>
  <si>
    <t>2026-02-14 11:48:00</t>
  </si>
  <si>
    <t>FE14169</t>
  </si>
  <si>
    <t>MÉXICO</t>
  </si>
  <si>
    <t>2026-02-14 10:24:00</t>
  </si>
  <si>
    <t>FE14165</t>
  </si>
  <si>
    <t>TI 1020445944</t>
  </si>
  <si>
    <t>JUAN MANUEL MEDINA CASTRILLON</t>
  </si>
  <si>
    <t>PPT 7126681</t>
  </si>
  <si>
    <t>BETZABETH GABRIELA ALFONZO DIAZ</t>
  </si>
  <si>
    <t>2026-02-14 11:42:00</t>
  </si>
  <si>
    <t>FE14168</t>
  </si>
  <si>
    <t>2026-02-14 10:19:00</t>
  </si>
  <si>
    <t>FE14164</t>
  </si>
  <si>
    <t>2026-02-14 11:58:00</t>
  </si>
  <si>
    <t>FE14170</t>
  </si>
  <si>
    <t>2026-02-14 12:37:00</t>
  </si>
  <si>
    <t>FE14171</t>
  </si>
  <si>
    <t>CC 43765380</t>
  </si>
  <si>
    <t>MARILUZ ECHEVERRY BOTERO</t>
  </si>
  <si>
    <t>2026-02-14 14:40:00</t>
  </si>
  <si>
    <t>FE14174</t>
  </si>
  <si>
    <t>CC 1001369918</t>
  </si>
  <si>
    <t>MARIA PAULA HINCAPIE CASTRILLON</t>
  </si>
  <si>
    <t>2026-02-14 14:27:00</t>
  </si>
  <si>
    <t>FE14172</t>
  </si>
  <si>
    <t>2026-02-14 15:20:00</t>
  </si>
  <si>
    <t>FE14175</t>
  </si>
  <si>
    <t>2026-02-14 14:36:00</t>
  </si>
  <si>
    <t>FE14173</t>
  </si>
  <si>
    <t>2026-02-14 15:34:00</t>
  </si>
  <si>
    <t>FE14178</t>
  </si>
  <si>
    <t>304 5938786</t>
  </si>
  <si>
    <t>2026-02-14 15:31:00</t>
  </si>
  <si>
    <t>FE14177</t>
  </si>
  <si>
    <t>2026-02-14 15:46:00</t>
  </si>
  <si>
    <t>FE14179</t>
  </si>
  <si>
    <t>2026-02-14 17:35:00</t>
  </si>
  <si>
    <t>FE14180</t>
  </si>
  <si>
    <t>2026-02-14 18:27:00</t>
  </si>
  <si>
    <t>FE14181</t>
  </si>
  <si>
    <t>301 7195194</t>
  </si>
  <si>
    <t>2026-02-14 09:42:00</t>
  </si>
  <si>
    <t>FE14161</t>
  </si>
  <si>
    <t>2026-02-14 10:16:00</t>
  </si>
  <si>
    <t>FE14163</t>
  </si>
  <si>
    <t>2026-02-14 11:32:00</t>
  </si>
  <si>
    <t>FE14167</t>
  </si>
  <si>
    <t>CC 1038812714</t>
  </si>
  <si>
    <t>DANIELA CARDENAS MAZO</t>
  </si>
  <si>
    <t>2026-02-14 17:23:00</t>
  </si>
  <si>
    <t>FE1186</t>
  </si>
  <si>
    <t>2026-02-13 15:28:00</t>
  </si>
  <si>
    <t>FE1158</t>
  </si>
  <si>
    <t>2026-02-14 14:24:00</t>
  </si>
  <si>
    <t>FE1173</t>
  </si>
  <si>
    <t>2026-02-14 09:25:00</t>
  </si>
  <si>
    <t>FE1168</t>
  </si>
  <si>
    <t>2026-02-13 12:37:00</t>
  </si>
  <si>
    <t>FE1152</t>
  </si>
  <si>
    <t>2026-02-14 14:31:00</t>
  </si>
  <si>
    <t>FE1174</t>
  </si>
  <si>
    <t>CC 74372533</t>
  </si>
  <si>
    <t>DANIELA GOMEZ VEITIA</t>
  </si>
  <si>
    <t>2026-02-09 15:14:00</t>
  </si>
  <si>
    <t>FE1103</t>
  </si>
  <si>
    <t>DL0007</t>
  </si>
  <si>
    <t>COMBO 4  ( &gt;2 ZONAS PEQUEÑAS)</t>
  </si>
  <si>
    <t>2026-02-14 14:35:00</t>
  </si>
  <si>
    <t>FE1175</t>
  </si>
  <si>
    <t>2026-02-13 12:26:00</t>
  </si>
  <si>
    <t>FE1151</t>
  </si>
  <si>
    <t>2026-02-15 11:38:00</t>
  </si>
  <si>
    <t>FE1193</t>
  </si>
  <si>
    <t>2026-02-13 18:33:00</t>
  </si>
  <si>
    <t>FE1164</t>
  </si>
  <si>
    <t>2026-02-13 18:36:00</t>
  </si>
  <si>
    <t>FE1165</t>
  </si>
  <si>
    <t>2026-02-14 11:28:00</t>
  </si>
  <si>
    <t>FE1170</t>
  </si>
  <si>
    <t>LASER IBLAZE (CO2)</t>
  </si>
  <si>
    <t>1 2675709128</t>
  </si>
  <si>
    <t>2026-02-16 13:29:00</t>
  </si>
  <si>
    <t>FE14199</t>
  </si>
  <si>
    <t>2026-02-16 13:31:00</t>
  </si>
  <si>
    <t>FE14200</t>
  </si>
  <si>
    <t>HUGO ALBEIRO QUINTERO RESTREPO</t>
  </si>
  <si>
    <t>2026-02-16 18:11:00</t>
  </si>
  <si>
    <t>FE14204</t>
  </si>
  <si>
    <t>MAURICIO VASQUEZ MARTINEZ</t>
  </si>
  <si>
    <t>2026-02-16 17:42:00</t>
  </si>
  <si>
    <t>FE14202</t>
  </si>
  <si>
    <t>ROSA MARGARITA SEPULVEDA DE LOPEZ</t>
  </si>
  <si>
    <t>2026-02-16 18:06:00</t>
  </si>
  <si>
    <t>FE14203</t>
  </si>
  <si>
    <t>2026-02-16 18:14:00</t>
  </si>
  <si>
    <t>FE14205</t>
  </si>
  <si>
    <t>2026-02-16 18:55:00</t>
  </si>
  <si>
    <t>FE14215</t>
  </si>
  <si>
    <t>2026-02-16 18:25:00</t>
  </si>
  <si>
    <t>FE14210</t>
  </si>
  <si>
    <t>2026-02-16 18:24:00</t>
  </si>
  <si>
    <t>FE14209</t>
  </si>
  <si>
    <t>2026-02-16 18:46:00</t>
  </si>
  <si>
    <t>FE14213</t>
  </si>
  <si>
    <t>CC 1040512760</t>
  </si>
  <si>
    <t>OMER JHOAN CIFUENTES SALGADO</t>
  </si>
  <si>
    <t>2026-02-16 17:37:00</t>
  </si>
  <si>
    <t>FE14201</t>
  </si>
  <si>
    <t>2026-02-16 18:49:00</t>
  </si>
  <si>
    <t>FE14214</t>
  </si>
  <si>
    <t>2026-02-16 19:03:00</t>
  </si>
  <si>
    <t>FE14217</t>
  </si>
  <si>
    <t>2026-02-16 18:23:00</t>
  </si>
  <si>
    <t>FE14208</t>
  </si>
  <si>
    <t>2026-02-16 18:21:00</t>
  </si>
  <si>
    <t>FE14207</t>
  </si>
  <si>
    <t>2026-02-16 19:04:00</t>
  </si>
  <si>
    <t>FE14218</t>
  </si>
  <si>
    <t>2026-02-16 18:29:00</t>
  </si>
  <si>
    <t>FE14211</t>
  </si>
  <si>
    <t>2026-02-16 18:31:00</t>
  </si>
  <si>
    <t>FE14212</t>
  </si>
  <si>
    <t>DIOCELINA MANCILLA GODOY</t>
  </si>
  <si>
    <t>2026-02-16 19:01:00</t>
  </si>
  <si>
    <t>FE14216</t>
  </si>
  <si>
    <t>2026-02-17 10:29:00</t>
  </si>
  <si>
    <t>FE14222</t>
  </si>
  <si>
    <t>CC 1152451056</t>
  </si>
  <si>
    <t>SIMON ESTEBAN RESTREPO URREA</t>
  </si>
  <si>
    <t>2026-02-17 11:32:00</t>
  </si>
  <si>
    <t>FE14225</t>
  </si>
  <si>
    <t>PA 586625619</t>
  </si>
  <si>
    <t>LAWRENCE JAMES CASTLE</t>
  </si>
  <si>
    <t>1210326 0067</t>
  </si>
  <si>
    <t>2026-02-17 10:41:00</t>
  </si>
  <si>
    <t>FE14224</t>
  </si>
  <si>
    <t>2026-02-17 09:46:00</t>
  </si>
  <si>
    <t>FE14220</t>
  </si>
  <si>
    <t>RESECCION LESION BENIGNA &lt; 1 CM, AREA GENERAL + ESTUDIO DE PATOLOGÍA</t>
  </si>
  <si>
    <t>2026-02-17 10:34:00</t>
  </si>
  <si>
    <t>FE14223</t>
  </si>
  <si>
    <t>VERONICA SALAZAR RUA</t>
  </si>
  <si>
    <t>2026-02-17 13:29:00</t>
  </si>
  <si>
    <t>FE14229</t>
  </si>
  <si>
    <t>2026-02-17 13:32:00</t>
  </si>
  <si>
    <t>FE14231</t>
  </si>
  <si>
    <t>2026-02-17 13:36:00</t>
  </si>
  <si>
    <t>FE14232</t>
  </si>
  <si>
    <t>2026-02-17 13:05:00</t>
  </si>
  <si>
    <t>FE14226</t>
  </si>
  <si>
    <t>GERALDYNE CARDONA JIMENEZ</t>
  </si>
  <si>
    <t>2026-02-17 15:11:00</t>
  </si>
  <si>
    <t>FE14236</t>
  </si>
  <si>
    <t>CC 16691409</t>
  </si>
  <si>
    <t>ARVEY MOTTA SADOVAL</t>
  </si>
  <si>
    <t>2026-02-17 15:14:00</t>
  </si>
  <si>
    <t>FE14237</t>
  </si>
  <si>
    <t>2026-02-17 15:23:00</t>
  </si>
  <si>
    <t>FE14238</t>
  </si>
  <si>
    <t>2026-02-17 15:28:00</t>
  </si>
  <si>
    <t>FE14239</t>
  </si>
  <si>
    <t>2026-02-17 15:07:00</t>
  </si>
  <si>
    <t>FE14235</t>
  </si>
  <si>
    <t>SUNNY BUSCH CLARCK</t>
  </si>
  <si>
    <t>2026-02-17 16:18:00</t>
  </si>
  <si>
    <t>FE14241</t>
  </si>
  <si>
    <t>2026-02-17 16:48:00</t>
  </si>
  <si>
    <t>FE14243</t>
  </si>
  <si>
    <t>2026-02-17 17:23:00</t>
  </si>
  <si>
    <t>FE14244</t>
  </si>
  <si>
    <t>2026-02-17 17:24:00</t>
  </si>
  <si>
    <t>FE14245</t>
  </si>
  <si>
    <t>2026-02-17 17:29:00</t>
  </si>
  <si>
    <t>FE14247</t>
  </si>
  <si>
    <t>2026-02-17 18:51:00</t>
  </si>
  <si>
    <t>FE14250</t>
  </si>
  <si>
    <t>2026-02-17 18:37:00</t>
  </si>
  <si>
    <t>FE14249</t>
  </si>
  <si>
    <t>2026-02-17 18:35:00</t>
  </si>
  <si>
    <t>FE14248</t>
  </si>
  <si>
    <t>CC 1035853410</t>
  </si>
  <si>
    <t>SINDY SLEID BUSTAMANTE VILLA</t>
  </si>
  <si>
    <t>2026-02-17 17:28:00</t>
  </si>
  <si>
    <t>FE14246</t>
  </si>
  <si>
    <t>2026-02-17 15:04:00</t>
  </si>
  <si>
    <t>FE14234</t>
  </si>
  <si>
    <t>2026-02-17 16:35:00</t>
  </si>
  <si>
    <t>FE14242</t>
  </si>
  <si>
    <t>2026-02-17 16:14:00</t>
  </si>
  <si>
    <t>FE14240</t>
  </si>
  <si>
    <t>2026-02-16 18:18:00</t>
  </si>
  <si>
    <t>FE14206</t>
  </si>
  <si>
    <t>2026-02-17 13:20:00</t>
  </si>
  <si>
    <t>FE14228</t>
  </si>
  <si>
    <t>2026-02-17 13:46:00</t>
  </si>
  <si>
    <t>FE14233</t>
  </si>
  <si>
    <t>2026-02-17 18:54:00</t>
  </si>
  <si>
    <t>FE14251</t>
  </si>
  <si>
    <t>2026-02-17 09:54:00</t>
  </si>
  <si>
    <t>FE14221</t>
  </si>
  <si>
    <t>2026-02-17 08:25:00</t>
  </si>
  <si>
    <t>FE14219</t>
  </si>
  <si>
    <t>2026-02-18 09:15:00</t>
  </si>
  <si>
    <t>FE14253</t>
  </si>
  <si>
    <t>2026-02-18 09:18:00</t>
  </si>
  <si>
    <t>FE14254</t>
  </si>
  <si>
    <t>2026-02-18 09:11:00</t>
  </si>
  <si>
    <t>FE14252</t>
  </si>
  <si>
    <t>CC 1036450316</t>
  </si>
  <si>
    <t>VALENTINA URIBE CASTAÑEDA</t>
  </si>
  <si>
    <t>2026-02-18 09:29:00</t>
  </si>
  <si>
    <t>FE14255</t>
  </si>
  <si>
    <t>PA N02799856</t>
  </si>
  <si>
    <t>GONZALO IMPERIAL LOPEZ</t>
  </si>
  <si>
    <t>2026-02-18 10:24:00</t>
  </si>
  <si>
    <t>FE14257</t>
  </si>
  <si>
    <t>PA 75458294</t>
  </si>
  <si>
    <t>JEYMARIE QUINONES</t>
  </si>
  <si>
    <t>2026-02-18 10:53:00</t>
  </si>
  <si>
    <t>FE14258</t>
  </si>
  <si>
    <t>CC 98530472</t>
  </si>
  <si>
    <t>JORGE CASTRILLON MONTOYA</t>
  </si>
  <si>
    <t>2026-02-18 10:57:00</t>
  </si>
  <si>
    <t>FE14259</t>
  </si>
  <si>
    <t>2026-02-18 11:39:00</t>
  </si>
  <si>
    <t>FE14261</t>
  </si>
  <si>
    <t>2026-02-18 11:49:00</t>
  </si>
  <si>
    <t>FE14262</t>
  </si>
  <si>
    <t>34 633 74 71 36</t>
  </si>
  <si>
    <t>PA PA1301482</t>
  </si>
  <si>
    <t>LINETH NIKELDA REYNA SANDOVAL</t>
  </si>
  <si>
    <t>2026-02-18 12:16:00</t>
  </si>
  <si>
    <t>FE14263</t>
  </si>
  <si>
    <t>PANAMÁ</t>
  </si>
  <si>
    <t>2026-02-18 09:37:00</t>
  </si>
  <si>
    <t>FE14256</t>
  </si>
  <si>
    <t>2026-02-18 13:37:00</t>
  </si>
  <si>
    <t>FE14266</t>
  </si>
  <si>
    <t>CC 1003376798</t>
  </si>
  <si>
    <t>CAMILO ANDRES HERNANDEZ GUERRERO</t>
  </si>
  <si>
    <t>2026-02-18 13:57:00</t>
  </si>
  <si>
    <t>FE14270</t>
  </si>
  <si>
    <t>2026-02-18 13:21:00</t>
  </si>
  <si>
    <t>FE14265</t>
  </si>
  <si>
    <t>2026-02-18 13:56:00</t>
  </si>
  <si>
    <t>FE14269</t>
  </si>
  <si>
    <t>2026-02-18 14:18:00</t>
  </si>
  <si>
    <t>FE14271</t>
  </si>
  <si>
    <t>CC 1032258178</t>
  </si>
  <si>
    <t>JHON EDIX MORENO GUTIERREZ</t>
  </si>
  <si>
    <t>2026-02-18 14:26:00</t>
  </si>
  <si>
    <t>FE14272</t>
  </si>
  <si>
    <t>2026-02-18 13:11:00</t>
  </si>
  <si>
    <t>FE14264</t>
  </si>
  <si>
    <t>CC 1003734306</t>
  </si>
  <si>
    <t>ADREYS DEL CARMEN BLANQUICET CARVAJAL</t>
  </si>
  <si>
    <t>2026-02-18 16:08:00</t>
  </si>
  <si>
    <t>FE14275</t>
  </si>
  <si>
    <t>324 4145172</t>
  </si>
  <si>
    <t>CC 1037663697</t>
  </si>
  <si>
    <t>NICOLAS CERON ZULUAGA</t>
  </si>
  <si>
    <t>2026-02-18 15:08:00</t>
  </si>
  <si>
    <t>FE14274</t>
  </si>
  <si>
    <t>2026-02-18 16:25:00</t>
  </si>
  <si>
    <t>FE14277</t>
  </si>
  <si>
    <t>2026-02-18 16:15:00</t>
  </si>
  <si>
    <t>FE14276</t>
  </si>
  <si>
    <t>2026-02-18 17:06:00</t>
  </si>
  <si>
    <t>FE14279</t>
  </si>
  <si>
    <t>2026-02-18 11:00:00</t>
  </si>
  <si>
    <t>FE14260</t>
  </si>
  <si>
    <t>2026-02-18 14:54:00</t>
  </si>
  <si>
    <t>FE14273</t>
  </si>
  <si>
    <t>CC 1128444691</t>
  </si>
  <si>
    <t>MARICELA GOMEZ BEDOYA</t>
  </si>
  <si>
    <t>2026-02-18 16:41:00</t>
  </si>
  <si>
    <t>FE14278</t>
  </si>
  <si>
    <t>CC 1001782660</t>
  </si>
  <si>
    <t>LAURA RODAS BETANCUR</t>
  </si>
  <si>
    <t>2026-02-19 09:03:00</t>
  </si>
  <si>
    <t>FE14280</t>
  </si>
  <si>
    <t>2026-02-19 09:10:00</t>
  </si>
  <si>
    <t>FE14281</t>
  </si>
  <si>
    <t>PA 18EH82234</t>
  </si>
  <si>
    <t>LAURE DUPONT</t>
  </si>
  <si>
    <t>2026-02-19 10:17:00</t>
  </si>
  <si>
    <t>FE14283</t>
  </si>
  <si>
    <t>FRANCIA</t>
  </si>
  <si>
    <t>+1 4157125245</t>
  </si>
  <si>
    <t>VANESSA MELAINE GURESSO GARCIA</t>
  </si>
  <si>
    <t>2026-02-19 11:05:00</t>
  </si>
  <si>
    <t>FE14286</t>
  </si>
  <si>
    <t>CC 43912214</t>
  </si>
  <si>
    <t>PAMELA FERNANDA BUSTAMANTE RIVERA</t>
  </si>
  <si>
    <t>2026-02-19 11:13:00</t>
  </si>
  <si>
    <t>FE14287</t>
  </si>
  <si>
    <t>PA 1989082901</t>
  </si>
  <si>
    <t>NURISON AQUELLIO LEONARA</t>
  </si>
  <si>
    <t>2026-02-19 09:54:00</t>
  </si>
  <si>
    <t>FE14282</t>
  </si>
  <si>
    <t>CURAZAO</t>
  </si>
  <si>
    <t>2026-02-19 10:48:00</t>
  </si>
  <si>
    <t>FE14284</t>
  </si>
  <si>
    <t>2026-02-19 11:00:00</t>
  </si>
  <si>
    <t>FE14285</t>
  </si>
  <si>
    <t>CC 1026152002</t>
  </si>
  <si>
    <t>YESSIKA LORENA RUIZ CASTRO</t>
  </si>
  <si>
    <t>2026-02-19 13:43:00</t>
  </si>
  <si>
    <t>FE14289</t>
  </si>
  <si>
    <t>2026-02-18 13:42:00</t>
  </si>
  <si>
    <t>FE14267</t>
  </si>
  <si>
    <t>2026-02-19 13:35:00</t>
  </si>
  <si>
    <t>FE14288</t>
  </si>
  <si>
    <t>PA 661176163</t>
  </si>
  <si>
    <t>ANDREA LETICIA PERAZZA</t>
  </si>
  <si>
    <t>2026-02-19 13:54:00</t>
  </si>
  <si>
    <t>FE14290</t>
  </si>
  <si>
    <t>CC 32141012</t>
  </si>
  <si>
    <t>ELIANA HOYOS GOMEZ</t>
  </si>
  <si>
    <t>2026-02-19 14:17:00</t>
  </si>
  <si>
    <t>FE14291</t>
  </si>
  <si>
    <t>CC 1075283307</t>
  </si>
  <si>
    <t>PABLO GIORDY SANCHEZ SANCHEZ</t>
  </si>
  <si>
    <t>2026-02-19 14:42:00</t>
  </si>
  <si>
    <t>FE14292</t>
  </si>
  <si>
    <t>TI 1034302723</t>
  </si>
  <si>
    <t>EMILIANA SALDARRIAGA ARROYAVE</t>
  </si>
  <si>
    <t>2026-02-19 17:31:00</t>
  </si>
  <si>
    <t>FE14302</t>
  </si>
  <si>
    <t>PPT 5848506</t>
  </si>
  <si>
    <t>LUIS JOSE URE URE</t>
  </si>
  <si>
    <t>2026-02-19 15:14:00</t>
  </si>
  <si>
    <t>FE14294</t>
  </si>
  <si>
    <t>TI 1032877756</t>
  </si>
  <si>
    <t>ZARA ARISTIZABAL VASQUEZ</t>
  </si>
  <si>
    <t>2026-02-19 15:11:00</t>
  </si>
  <si>
    <t>FE14293</t>
  </si>
  <si>
    <t>CC 32259679</t>
  </si>
  <si>
    <t>VERONICA LONDOÑO SIATOVA</t>
  </si>
  <si>
    <t>2026-02-19 17:08:00</t>
  </si>
  <si>
    <t>FE14299</t>
  </si>
  <si>
    <t>2026-02-19 17:36:00</t>
  </si>
  <si>
    <t>FE14303</t>
  </si>
  <si>
    <t>2026-02-19 16:43:00</t>
  </si>
  <si>
    <t>FE14296</t>
  </si>
  <si>
    <t>CC 21816487</t>
  </si>
  <si>
    <t>FLOR YAMILE VASQUEZ HENAO</t>
  </si>
  <si>
    <t>2026-02-19 15:48:00</t>
  </si>
  <si>
    <t>FE14295</t>
  </si>
  <si>
    <t>2026-02-19 17:18:00</t>
  </si>
  <si>
    <t>FE14301</t>
  </si>
  <si>
    <t>CC 1007111544</t>
  </si>
  <si>
    <t>ISABELLA PANIAGUA ARENAS</t>
  </si>
  <si>
    <t>2026-02-19 17:01:00</t>
  </si>
  <si>
    <t>FE14298</t>
  </si>
  <si>
    <t>2026-02-19 18:22:00</t>
  </si>
  <si>
    <t>FE14304</t>
  </si>
  <si>
    <t>CC 42825901</t>
  </si>
  <si>
    <t>ALEJANDRA CATALINA SARMIENTO QUIROZ</t>
  </si>
  <si>
    <t>LC0013</t>
  </si>
  <si>
    <t>CO2 FULGURACION 1- 5 LESIONES MAYORES 0.5 CM</t>
  </si>
  <si>
    <t>2026-02-19 16:54:00</t>
  </si>
  <si>
    <t>FE14297</t>
  </si>
  <si>
    <t>CC 1020449645</t>
  </si>
  <si>
    <t>IVONE LONDOÑO ECHAVARRIA</t>
  </si>
  <si>
    <t>2026-02-19 17:14:00</t>
  </si>
  <si>
    <t>FE14300</t>
  </si>
  <si>
    <t>2026-02-19 18:30:00</t>
  </si>
  <si>
    <t>FE14305</t>
  </si>
  <si>
    <t>2026-02-17 18:30:00</t>
  </si>
  <si>
    <t>FE1217</t>
  </si>
  <si>
    <t>JOSE RAFAEL MICHELEANA CAMPOS</t>
  </si>
  <si>
    <t>2026-02-18 10:46:00</t>
  </si>
  <si>
    <t>FE1222</t>
  </si>
  <si>
    <t>2026-02-16 19:11:00</t>
  </si>
  <si>
    <t>FE1203</t>
  </si>
  <si>
    <t>2026-02-16 18:44:00</t>
  </si>
  <si>
    <t>FE1202</t>
  </si>
  <si>
    <t>CC 1128390551</t>
  </si>
  <si>
    <t>HELENA GUERRA RUIZ</t>
  </si>
  <si>
    <t>2026-02-19 15:25:00</t>
  </si>
  <si>
    <t>FE1233</t>
  </si>
  <si>
    <t>2026-02-16 18:34:00</t>
  </si>
  <si>
    <t>FE1201</t>
  </si>
  <si>
    <t>2026-02-19 12:41:00</t>
  </si>
  <si>
    <t>FE1231</t>
  </si>
  <si>
    <t>2026-02-16 13:39:00</t>
  </si>
  <si>
    <t>FE1197</t>
  </si>
  <si>
    <t>2026-02-17 09:26:00</t>
  </si>
  <si>
    <t>FE1210</t>
  </si>
  <si>
    <t>2026-02-18 13:06:00</t>
  </si>
  <si>
    <t>FE1226</t>
  </si>
  <si>
    <t>2026-02-16 19:16:00</t>
  </si>
  <si>
    <t>FE1204</t>
  </si>
  <si>
    <t>CC 1078639452</t>
  </si>
  <si>
    <t>OSELITA ZAPATA PAREJA</t>
  </si>
  <si>
    <t>2026-02-17 16:37:00</t>
  </si>
  <si>
    <t>FE1215</t>
  </si>
  <si>
    <t>CC 1037593144</t>
  </si>
  <si>
    <t>ISABEL CRISTINA BOTERO ALZATE</t>
  </si>
  <si>
    <t>2026-02-17 16:40:00</t>
  </si>
  <si>
    <t>FE1216</t>
  </si>
  <si>
    <t>2026-02-18 13:52:00</t>
  </si>
  <si>
    <t>FE1227</t>
  </si>
  <si>
    <t>CC 1017206567</t>
  </si>
  <si>
    <t>MARIA ALEJANDRA RAMIREZ</t>
  </si>
  <si>
    <t>CC 1033489106</t>
  </si>
  <si>
    <t>JUAN JOSE ARBOLEDA GARCIA</t>
  </si>
  <si>
    <t>CC 1007053639</t>
  </si>
  <si>
    <t>SEBASTIAN VELEZ ZAPATA</t>
  </si>
  <si>
    <t>IPL-SQ - PROCEDIMIENTOS</t>
  </si>
  <si>
    <t>CC 1000762846</t>
  </si>
  <si>
    <t>RONALD DAVID MORELO GUARIN</t>
  </si>
  <si>
    <t>FOTOAGE - PROCEDIMIENTOS</t>
  </si>
  <si>
    <t>LASER IBLAZE (CO2) - PROCEDIMIENTOS</t>
  </si>
  <si>
    <t>2026-02-06 13:39:00</t>
  </si>
  <si>
    <t>FE1064</t>
  </si>
  <si>
    <t>CC 1128457083</t>
  </si>
  <si>
    <t>YUSEIDY HERNANDEZ</t>
  </si>
  <si>
    <t>CC 1036635539</t>
  </si>
  <si>
    <t>JULIANA RUA OROZCO</t>
  </si>
  <si>
    <t>CC 1001226711</t>
  </si>
  <si>
    <t>JUAN PABLO ALVAREZ PADIERNA</t>
  </si>
  <si>
    <t>CC 8433397</t>
  </si>
  <si>
    <t>MAURICIO EDUARDO VANEGAS QUIROZ</t>
  </si>
  <si>
    <t>CC 70074753</t>
  </si>
  <si>
    <t>LUIS HERNANDO YEPEZ HERAZO</t>
  </si>
  <si>
    <t>CC 1039224077</t>
  </si>
  <si>
    <t>JHOJAN ROJAS RIOS</t>
  </si>
  <si>
    <t>CC 78712789</t>
  </si>
  <si>
    <t>RAMIRO BENITEZ DIAZ</t>
  </si>
  <si>
    <t>CC 1193552821</t>
  </si>
  <si>
    <t>ALEJANDRA MUNERA MASSO</t>
  </si>
  <si>
    <t>CC 15336055</t>
  </si>
  <si>
    <t>LEON DARIO CASTAÑEDA RIVILLAS</t>
  </si>
  <si>
    <t>CC 39383577</t>
  </si>
  <si>
    <t>MARIA INES MORENO VALENCIA</t>
  </si>
  <si>
    <t>CC 71876946</t>
  </si>
  <si>
    <t>EDGAR AUGUSTO PELAEZ SUAREZ</t>
  </si>
  <si>
    <t>CC 1051185572</t>
  </si>
  <si>
    <t>DANIELA HERNANDEZ AGUILAR</t>
  </si>
  <si>
    <t>CC 1005235912</t>
  </si>
  <si>
    <t>PAULA ANDREA SANTA OTALVARO</t>
  </si>
  <si>
    <t>CC 43269899</t>
  </si>
  <si>
    <t>DIANA SALAZAR</t>
  </si>
  <si>
    <t>CC 1022449235</t>
  </si>
  <si>
    <t>AURA CRISTINA QUINTERO ARENAS</t>
  </si>
  <si>
    <t>CM0018</t>
  </si>
  <si>
    <t>COLOR MAX MANCHA CAFÉ CON LECHE</t>
  </si>
  <si>
    <t>CC 1017160363</t>
  </si>
  <si>
    <t>LUISA FERNANDA OSPINA PORRAS</t>
  </si>
  <si>
    <t>CC 1234093090</t>
  </si>
  <si>
    <t>CAMILA JIMENEZ DELGADO</t>
  </si>
  <si>
    <t>CC 1001234418</t>
  </si>
  <si>
    <t>DANIELA TABARES</t>
  </si>
  <si>
    <t>CC 35685334</t>
  </si>
  <si>
    <t>JHOHANA ZAPATA</t>
  </si>
  <si>
    <t>CC 1017925237</t>
  </si>
  <si>
    <t>MARIA JOSE VELEZ ROBLES</t>
  </si>
  <si>
    <t>CC 1037619530</t>
  </si>
  <si>
    <t>MARIA PAOLA MEJIA MUÑOZ</t>
  </si>
  <si>
    <t>CC 1036602337</t>
  </si>
  <si>
    <t>JULIETA PAEZ</t>
  </si>
  <si>
    <t>CC 43586547</t>
  </si>
  <si>
    <t>LUISA ARCILA GOMEZ</t>
  </si>
  <si>
    <t>CC 26039692</t>
  </si>
  <si>
    <t>DANIELA LUCIA RICARDO SIERRA</t>
  </si>
  <si>
    <t>CC 43827363</t>
  </si>
  <si>
    <t>MARTA CORREA</t>
  </si>
  <si>
    <t>P00011</t>
  </si>
  <si>
    <t>PEELING MELINE MELASMA - TRATAMIENTO</t>
  </si>
  <si>
    <t>CC 1020406413</t>
  </si>
  <si>
    <t>TATIANA LORENA MARIN DAVILA</t>
  </si>
  <si>
    <t>CC 1037625449</t>
  </si>
  <si>
    <t>FERNANDO BENITEZ</t>
  </si>
  <si>
    <t>JALUPRO HMW</t>
  </si>
  <si>
    <t>CC 10176685</t>
  </si>
  <si>
    <t>RUBEN DARIO IBARRA OSORIO</t>
  </si>
  <si>
    <t>CC 43114075</t>
  </si>
  <si>
    <t>DEISY MILENA CARO BOTERO</t>
  </si>
  <si>
    <t>2026-02-18 13:45:00</t>
  </si>
  <si>
    <t>FE14268</t>
  </si>
  <si>
    <t>TI 1030220214</t>
  </si>
  <si>
    <t>JENAIKA JEYLEEN CANTILLO BRITTON</t>
  </si>
  <si>
    <t>CC 1017273032</t>
  </si>
  <si>
    <t>KATLEEN FRAGOZO DAZA</t>
  </si>
  <si>
    <t>CC 30233464</t>
  </si>
  <si>
    <t>ANA MARIA RAMIREZ GOMEZ</t>
  </si>
  <si>
    <t>CC 1126905624</t>
  </si>
  <si>
    <t>ALEXANDER JOSUE MOSQUERA QUIICENO</t>
  </si>
  <si>
    <t>RC 1187466913</t>
  </si>
  <si>
    <t>GUADALUPE PETANO MENDOZA</t>
  </si>
  <si>
    <t>CC 1039461350</t>
  </si>
  <si>
    <t>MARIA CAMILA SALAZAR HENAO</t>
  </si>
  <si>
    <t>CC 1214715105</t>
  </si>
  <si>
    <t>PAOLA CHAVARRIAGA</t>
  </si>
  <si>
    <t>CC 1036687825</t>
  </si>
  <si>
    <t>MELISSA GARCES GRAJALES</t>
  </si>
  <si>
    <t>CC 1234990238</t>
  </si>
  <si>
    <t>GERALDINE GUZMAN ARDILA</t>
  </si>
  <si>
    <t>CC 1098796112</t>
  </si>
  <si>
    <t>EIMY JULIETH MENDEZ HERNANDEZ</t>
  </si>
  <si>
    <t>CC 80103324</t>
  </si>
  <si>
    <t>GILBERTO ROJAS FARFAN</t>
  </si>
  <si>
    <t>CC 1040759610</t>
  </si>
  <si>
    <t>SOFIA PATIÑO FRANCO</t>
  </si>
  <si>
    <t>CC 1017214064</t>
  </si>
  <si>
    <t>NATHALIE GIRALDO GIRALDO</t>
  </si>
  <si>
    <t>CC 1125982285</t>
  </si>
  <si>
    <t>ANDREA MICHELLE GARCES</t>
  </si>
  <si>
    <t>CC 1042765687</t>
  </si>
  <si>
    <t>MAURICIO VIDAL SOSA</t>
  </si>
  <si>
    <t>CC 1027958008</t>
  </si>
  <si>
    <t>KAREN YULIANA GARCIA CUADRADO</t>
  </si>
  <si>
    <t>HF0008</t>
  </si>
  <si>
    <t>HYDRAFACIAL ACNE (1+1)</t>
  </si>
  <si>
    <t>2026-02-19 16:00:00</t>
  </si>
  <si>
    <t>FE1234</t>
  </si>
  <si>
    <t>CC 39352085</t>
  </si>
  <si>
    <t>ROSA EMILIA ARIAS ALZATE</t>
  </si>
  <si>
    <t>CC 1007405353</t>
  </si>
  <si>
    <t>ESTIVEN ECHEVERRI COSME</t>
  </si>
  <si>
    <t>CC 7163603</t>
  </si>
  <si>
    <t>ROGER IVAN RESTREPO RESTREPO</t>
  </si>
  <si>
    <t xml:space="preserve">SUEROS - Medicina Alternativa </t>
  </si>
  <si>
    <t>PPT 5300850</t>
  </si>
  <si>
    <t>INDIANA VALENTINA MONTEZUMA GARCIA</t>
  </si>
  <si>
    <t>CC 32543316</t>
  </si>
  <si>
    <t>MARTHA LUCIA ALVAREZ CARDONA</t>
  </si>
  <si>
    <t>PA 9221020</t>
  </si>
  <si>
    <t>LORAINE MICHELLE ROSARIO</t>
  </si>
  <si>
    <t>CC 1216728672</t>
  </si>
  <si>
    <t>JAZMIN CLARISA CARVAJAL HENAO</t>
  </si>
  <si>
    <t>CC 1035874291</t>
  </si>
  <si>
    <t>LIZETH DAHIANA LOPERA AGUDELO</t>
  </si>
  <si>
    <t>RC 1023554697</t>
  </si>
  <si>
    <t>HIRALY BUITRAGO LOPEZ</t>
  </si>
  <si>
    <t>PPT 6402942</t>
  </si>
  <si>
    <t>DANIELYS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</si>
</sst>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/m/yyyy"/>
    <numFmt numFmtId="165" formatCode="&quot;$&quot;\ #,##0"/>
    <numFmt numFmtId="166" formatCode="[$-F800]dddd\,\ mmmm\ dd\,\ yyyy"/>
    <numFmt numFmtId="167" formatCode="_-&quot;$&quot;\ * #,##0_-;\-&quot;$&quot;\ * #,##0_-;_-&quot;$&quot;\ * &quot;-&quot;??_-;_-@_-"/>
  </numFmts>
  <fonts count="73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rgb="FF000000"/>
      <name val="Calibri"/>
      <family val="2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</font>
    <font>
      <sz val="11"/>
      <color rgb="FFFF0000"/>
      <name val="Aptos Narrow"/>
      <family val="2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ptos narrow"/>
    </font>
    <font>
      <b/>
      <sz val="14"/>
      <color theme="0"/>
      <name val="Aptos Narrow"/>
      <family val="2"/>
    </font>
    <font>
      <b/>
      <u/>
      <sz val="11"/>
      <color theme="1"/>
      <name val="aptos narrow"/>
    </font>
    <font>
      <b/>
      <sz val="11"/>
      <name val="Aptos Narrow"/>
      <family val="2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3" tint="-0.499984740745262"/>
      <name val="aptos narrow"/>
      <scheme val="minor"/>
    </font>
    <font>
      <sz val="12"/>
      <color theme="1"/>
      <name val="aptos narrow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12"/>
      <color theme="1"/>
      <name val="aptos narrow"/>
      <scheme val="minor"/>
    </font>
    <font>
      <b/>
      <sz val="10"/>
      <color rgb="FF4169E1"/>
      <name val="Verdana"/>
      <family val="2"/>
    </font>
    <font>
      <b/>
      <sz val="16"/>
      <name val="aptos narrow"/>
      <scheme val="minor"/>
    </font>
    <font>
      <sz val="11"/>
      <name val="aptos narrow"/>
    </font>
    <font>
      <sz val="11"/>
      <name val="aptos narrow"/>
      <scheme val="minor"/>
    </font>
    <font>
      <b/>
      <sz val="11"/>
      <name val="aptos narrow"/>
    </font>
    <font>
      <b/>
      <sz val="11"/>
      <name val="aptos narrow"/>
      <scheme val="minor"/>
    </font>
    <font>
      <b/>
      <u/>
      <sz val="11"/>
      <name val="aptos narrow"/>
    </font>
    <font>
      <b/>
      <sz val="10"/>
      <color rgb="FF4169E1"/>
      <name val="Verdana"/>
      <family val="2"/>
    </font>
    <font>
      <sz val="11"/>
      <color rgb="FFFF0000"/>
      <name val="aptos narrow"/>
      <scheme val="minor"/>
    </font>
    <font>
      <b/>
      <sz val="10"/>
      <color rgb="FF4169E1"/>
      <name val="Verdana"/>
    </font>
    <font>
      <sz val="11"/>
      <color theme="0"/>
      <name val="aptos narrow"/>
    </font>
    <font>
      <sz val="11"/>
      <color theme="0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7EF965"/>
        <bgColor indexed="64"/>
      </patternFill>
    </fill>
    <fill>
      <patternFill patternType="solid">
        <fgColor rgb="FFFFC7CE"/>
      </patternFill>
    </fill>
    <fill>
      <patternFill patternType="solid">
        <fgColor rgb="FFD6DB84"/>
        <bgColor rgb="FF000000"/>
      </patternFill>
    </fill>
    <fill>
      <patternFill patternType="solid">
        <fgColor rgb="FFFF6D6D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40" fillId="0" borderId="0"/>
    <xf numFmtId="0" fontId="8" fillId="0" borderId="0"/>
    <xf numFmtId="0" fontId="47" fillId="0" borderId="0"/>
    <xf numFmtId="0" fontId="4" fillId="0" borderId="0"/>
    <xf numFmtId="9" fontId="4" fillId="0" borderId="0" applyFont="0" applyFill="0" applyBorder="0" applyAlignment="0" applyProtection="0"/>
    <xf numFmtId="0" fontId="57" fillId="23" borderId="0" applyNumberFormat="0" applyBorder="0" applyAlignment="0" applyProtection="0"/>
  </cellStyleXfs>
  <cellXfs count="406">
    <xf numFmtId="0" fontId="0" fillId="0" borderId="0" xfId="0"/>
    <xf numFmtId="0" fontId="0" fillId="0" borderId="1" xfId="0" applyBorder="1"/>
    <xf numFmtId="44" fontId="0" fillId="0" borderId="1" xfId="0" applyNumberFormat="1" applyBorder="1"/>
    <xf numFmtId="10" fontId="0" fillId="0" borderId="1" xfId="0" applyNumberFormat="1" applyBorder="1"/>
    <xf numFmtId="0" fontId="0" fillId="2" borderId="1" xfId="0" applyFill="1" applyBorder="1"/>
    <xf numFmtId="44" fontId="0" fillId="2" borderId="1" xfId="0" applyNumberFormat="1" applyFill="1" applyBorder="1"/>
    <xf numFmtId="10" fontId="0" fillId="2" borderId="1" xfId="0" applyNumberFormat="1" applyFill="1" applyBorder="1"/>
    <xf numFmtId="10" fontId="26" fillId="3" borderId="0" xfId="0" applyNumberFormat="1" applyFont="1" applyFill="1" applyAlignment="1">
      <alignment horizontal="center" vertical="center" wrapText="1"/>
    </xf>
    <xf numFmtId="9" fontId="26" fillId="3" borderId="7" xfId="0" applyNumberFormat="1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165" fontId="26" fillId="3" borderId="7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7" fillId="4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 wrapText="1"/>
    </xf>
    <xf numFmtId="14" fontId="21" fillId="3" borderId="14" xfId="0" applyNumberFormat="1" applyFont="1" applyFill="1" applyBorder="1" applyAlignment="1">
      <alignment horizontal="center" vertical="center" wrapText="1"/>
    </xf>
    <xf numFmtId="165" fontId="21" fillId="3" borderId="14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3" borderId="0" xfId="0" applyFont="1" applyFill="1"/>
    <xf numFmtId="0" fontId="20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165" fontId="31" fillId="3" borderId="7" xfId="0" applyNumberFormat="1" applyFont="1" applyFill="1" applyBorder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14" fontId="33" fillId="9" borderId="2" xfId="1" applyNumberFormat="1" applyFont="1" applyFill="1" applyBorder="1" applyAlignment="1">
      <alignment horizontal="center" vertical="center" wrapText="1"/>
    </xf>
    <xf numFmtId="1" fontId="33" fillId="9" borderId="2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3" borderId="0" xfId="0" applyFont="1" applyFill="1" applyAlignment="1">
      <alignment horizontal="center" wrapText="1"/>
    </xf>
    <xf numFmtId="0" fontId="29" fillId="0" borderId="0" xfId="0" applyFont="1" applyAlignment="1">
      <alignment wrapText="1"/>
    </xf>
    <xf numFmtId="0" fontId="29" fillId="0" borderId="7" xfId="0" applyFont="1" applyBorder="1" applyAlignment="1">
      <alignment horizontal="center" wrapText="1"/>
    </xf>
    <xf numFmtId="167" fontId="20" fillId="3" borderId="0" xfId="1" applyNumberFormat="1" applyFont="1" applyFill="1" applyAlignment="1">
      <alignment horizontal="center"/>
    </xf>
    <xf numFmtId="165" fontId="29" fillId="3" borderId="7" xfId="1" applyNumberFormat="1" applyFont="1" applyFill="1" applyBorder="1" applyAlignment="1">
      <alignment horizontal="center" vertical="center" wrapText="1"/>
    </xf>
    <xf numFmtId="165" fontId="20" fillId="0" borderId="7" xfId="0" applyNumberFormat="1" applyFont="1" applyBorder="1" applyAlignment="1">
      <alignment horizontal="center"/>
    </xf>
    <xf numFmtId="165" fontId="20" fillId="0" borderId="9" xfId="0" applyNumberFormat="1" applyFont="1" applyBorder="1" applyAlignment="1">
      <alignment horizontal="center"/>
    </xf>
    <xf numFmtId="0" fontId="29" fillId="0" borderId="9" xfId="0" applyFont="1" applyBorder="1" applyAlignment="1">
      <alignment horizontal="center" wrapText="1"/>
    </xf>
    <xf numFmtId="0" fontId="29" fillId="0" borderId="8" xfId="0" applyFont="1" applyBorder="1" applyAlignment="1">
      <alignment horizontal="center" wrapText="1"/>
    </xf>
    <xf numFmtId="165" fontId="20" fillId="0" borderId="8" xfId="0" applyNumberFormat="1" applyFont="1" applyBorder="1" applyAlignment="1">
      <alignment horizontal="center"/>
    </xf>
    <xf numFmtId="0" fontId="19" fillId="3" borderId="0" xfId="0" applyFont="1" applyFill="1" applyAlignment="1">
      <alignment horizontal="center"/>
    </xf>
    <xf numFmtId="14" fontId="0" fillId="2" borderId="1" xfId="0" applyNumberFormat="1" applyFill="1" applyBorder="1"/>
    <xf numFmtId="0" fontId="34" fillId="10" borderId="0" xfId="0" applyFont="1" applyFill="1" applyAlignment="1">
      <alignment horizontal="center"/>
    </xf>
    <xf numFmtId="0" fontId="18" fillId="0" borderId="1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24" fillId="6" borderId="19" xfId="0" applyFont="1" applyFill="1" applyBorder="1" applyAlignment="1">
      <alignment horizontal="center" vertical="center" wrapText="1"/>
    </xf>
    <xf numFmtId="165" fontId="33" fillId="9" borderId="2" xfId="1" applyNumberFormat="1" applyFont="1" applyFill="1" applyBorder="1" applyAlignment="1">
      <alignment horizontal="center" vertical="center" wrapText="1"/>
    </xf>
    <xf numFmtId="0" fontId="34" fillId="11" borderId="0" xfId="0" applyFont="1" applyFill="1" applyAlignment="1">
      <alignment horizontal="center" wrapText="1"/>
    </xf>
    <xf numFmtId="0" fontId="36" fillId="0" borderId="0" xfId="0" applyFont="1" applyAlignment="1">
      <alignment horizontal="center"/>
    </xf>
    <xf numFmtId="0" fontId="36" fillId="3" borderId="0" xfId="0" applyFont="1" applyFill="1" applyAlignment="1">
      <alignment horizontal="center"/>
    </xf>
    <xf numFmtId="165" fontId="33" fillId="9" borderId="2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10" fontId="26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5" fillId="3" borderId="14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4" fontId="22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8" fontId="22" fillId="0" borderId="0" xfId="0" applyNumberFormat="1" applyFont="1" applyAlignment="1">
      <alignment horizontal="center" vertical="center" wrapText="1"/>
    </xf>
    <xf numFmtId="164" fontId="22" fillId="3" borderId="0" xfId="0" applyNumberFormat="1" applyFont="1" applyFill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65" fontId="31" fillId="3" borderId="7" xfId="0" applyNumberFormat="1" applyFont="1" applyFill="1" applyBorder="1" applyAlignment="1">
      <alignment horizontal="left" vertical="center" wrapText="1"/>
    </xf>
    <xf numFmtId="9" fontId="21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 wrapText="1"/>
    </xf>
    <xf numFmtId="10" fontId="21" fillId="0" borderId="2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left" vertical="center" wrapText="1"/>
    </xf>
    <xf numFmtId="165" fontId="38" fillId="0" borderId="14" xfId="0" applyNumberFormat="1" applyFont="1" applyBorder="1" applyAlignment="1">
      <alignment horizontal="center" vertical="center" wrapText="1"/>
    </xf>
    <xf numFmtId="9" fontId="27" fillId="7" borderId="6" xfId="0" applyNumberFormat="1" applyFont="1" applyFill="1" applyBorder="1" applyAlignment="1">
      <alignment horizontal="center" vertical="center" wrapText="1"/>
    </xf>
    <xf numFmtId="9" fontId="26" fillId="3" borderId="22" xfId="0" applyNumberFormat="1" applyFont="1" applyFill="1" applyBorder="1" applyAlignment="1">
      <alignment horizontal="center" vertical="center" wrapText="1"/>
    </xf>
    <xf numFmtId="9" fontId="26" fillId="8" borderId="22" xfId="0" applyNumberFormat="1" applyFont="1" applyFill="1" applyBorder="1" applyAlignment="1">
      <alignment horizontal="center" vertical="center" wrapText="1"/>
    </xf>
    <xf numFmtId="9" fontId="26" fillId="8" borderId="23" xfId="0" applyNumberFormat="1" applyFont="1" applyFill="1" applyBorder="1" applyAlignment="1">
      <alignment horizontal="center" vertical="center" wrapText="1"/>
    </xf>
    <xf numFmtId="1" fontId="21" fillId="3" borderId="14" xfId="0" applyNumberFormat="1" applyFont="1" applyFill="1" applyBorder="1" applyAlignment="1">
      <alignment horizontal="center" vertical="center" wrapText="1"/>
    </xf>
    <xf numFmtId="165" fontId="26" fillId="3" borderId="2" xfId="0" applyNumberFormat="1" applyFont="1" applyFill="1" applyBorder="1" applyAlignment="1">
      <alignment horizontal="center" vertical="center" wrapText="1"/>
    </xf>
    <xf numFmtId="167" fontId="32" fillId="12" borderId="2" xfId="1" applyNumberFormat="1" applyFont="1" applyFill="1" applyBorder="1" applyAlignment="1">
      <alignment horizontal="center" vertical="center" wrapText="1"/>
    </xf>
    <xf numFmtId="165" fontId="25" fillId="12" borderId="2" xfId="0" applyNumberFormat="1" applyFont="1" applyFill="1" applyBorder="1" applyAlignment="1">
      <alignment horizontal="center"/>
    </xf>
    <xf numFmtId="165" fontId="25" fillId="12" borderId="2" xfId="2" applyNumberFormat="1" applyFont="1" applyFill="1" applyBorder="1" applyAlignment="1">
      <alignment horizontal="center"/>
    </xf>
    <xf numFmtId="0" fontId="27" fillId="7" borderId="6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165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10" fontId="41" fillId="0" borderId="0" xfId="2" applyNumberFormat="1" applyFont="1" applyBorder="1" applyAlignment="1">
      <alignment horizontal="center" vertical="center"/>
    </xf>
    <xf numFmtId="16" fontId="13" fillId="0" borderId="18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65" fontId="0" fillId="0" borderId="14" xfId="1" applyNumberFormat="1" applyFont="1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 wrapText="1"/>
    </xf>
    <xf numFmtId="165" fontId="0" fillId="0" borderId="16" xfId="0" applyNumberFormat="1" applyBorder="1" applyAlignment="1">
      <alignment horizontal="center" vertical="center" wrapText="1"/>
    </xf>
    <xf numFmtId="14" fontId="0" fillId="0" borderId="0" xfId="0" applyNumberFormat="1"/>
    <xf numFmtId="8" fontId="29" fillId="0" borderId="0" xfId="0" applyNumberFormat="1" applyFont="1" applyAlignment="1">
      <alignment wrapText="1"/>
    </xf>
    <xf numFmtId="0" fontId="12" fillId="0" borderId="17" xfId="0" applyFont="1" applyBorder="1" applyAlignment="1">
      <alignment horizontal="center"/>
    </xf>
    <xf numFmtId="9" fontId="31" fillId="3" borderId="7" xfId="2" applyFont="1" applyFill="1" applyBorder="1" applyAlignment="1">
      <alignment horizontal="center" vertical="center" wrapText="1"/>
    </xf>
    <xf numFmtId="167" fontId="32" fillId="5" borderId="19" xfId="1" applyNumberFormat="1" applyFont="1" applyFill="1" applyBorder="1" applyAlignment="1">
      <alignment horizontal="center" vertical="center" wrapText="1"/>
    </xf>
    <xf numFmtId="167" fontId="32" fillId="5" borderId="3" xfId="1" applyNumberFormat="1" applyFont="1" applyFill="1" applyBorder="1" applyAlignment="1">
      <alignment horizontal="center" vertical="center" wrapText="1"/>
    </xf>
    <xf numFmtId="0" fontId="32" fillId="5" borderId="19" xfId="0" applyFont="1" applyFill="1" applyBorder="1" applyAlignment="1">
      <alignment horizontal="center" vertical="center" wrapText="1"/>
    </xf>
    <xf numFmtId="165" fontId="25" fillId="5" borderId="25" xfId="1" applyNumberFormat="1" applyFont="1" applyFill="1" applyBorder="1" applyAlignment="1">
      <alignment horizontal="center" vertical="center"/>
    </xf>
    <xf numFmtId="165" fontId="25" fillId="5" borderId="26" xfId="1" applyNumberFormat="1" applyFont="1" applyFill="1" applyBorder="1" applyAlignment="1">
      <alignment horizontal="center" vertical="center"/>
    </xf>
    <xf numFmtId="9" fontId="32" fillId="5" borderId="24" xfId="2" applyFont="1" applyFill="1" applyBorder="1" applyAlignment="1">
      <alignment horizontal="center" vertical="center" wrapText="1"/>
    </xf>
    <xf numFmtId="9" fontId="29" fillId="3" borderId="7" xfId="2" applyFont="1" applyFill="1" applyBorder="1" applyAlignment="1">
      <alignment horizontal="center" vertical="center" wrapText="1"/>
    </xf>
    <xf numFmtId="14" fontId="0" fillId="3" borderId="7" xfId="0" applyNumberFormat="1" applyFill="1" applyBorder="1" applyAlignment="1">
      <alignment horizontal="left"/>
    </xf>
    <xf numFmtId="165" fontId="0" fillId="3" borderId="7" xfId="0" applyNumberFormat="1" applyFill="1" applyBorder="1" applyAlignment="1">
      <alignment horizontal="center"/>
    </xf>
    <xf numFmtId="9" fontId="26" fillId="8" borderId="27" xfId="0" applyNumberFormat="1" applyFont="1" applyFill="1" applyBorder="1" applyAlignment="1">
      <alignment horizontal="center" vertical="center" wrapText="1"/>
    </xf>
    <xf numFmtId="1" fontId="26" fillId="3" borderId="7" xfId="1" applyNumberFormat="1" applyFont="1" applyFill="1" applyBorder="1" applyAlignment="1">
      <alignment horizontal="center" vertical="center" wrapText="1"/>
    </xf>
    <xf numFmtId="14" fontId="42" fillId="3" borderId="7" xfId="0" applyNumberFormat="1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left" vertical="center" wrapText="1"/>
    </xf>
    <xf numFmtId="10" fontId="42" fillId="3" borderId="0" xfId="0" applyNumberFormat="1" applyFon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165" fontId="42" fillId="0" borderId="0" xfId="0" applyNumberFormat="1" applyFont="1" applyAlignment="1">
      <alignment horizontal="center" vertical="center" wrapText="1"/>
    </xf>
    <xf numFmtId="14" fontId="0" fillId="0" borderId="1" xfId="0" applyNumberFormat="1" applyBorder="1"/>
    <xf numFmtId="0" fontId="10" fillId="0" borderId="0" xfId="0" applyFont="1" applyAlignment="1">
      <alignment horizontal="center" vertical="center" wrapText="1"/>
    </xf>
    <xf numFmtId="10" fontId="44" fillId="3" borderId="2" xfId="0" applyNumberFormat="1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165" fontId="44" fillId="0" borderId="24" xfId="0" applyNumberFormat="1" applyFont="1" applyBorder="1" applyAlignment="1">
      <alignment horizontal="center" vertical="center" wrapText="1"/>
    </xf>
    <xf numFmtId="10" fontId="27" fillId="3" borderId="2" xfId="0" applyNumberFormat="1" applyFont="1" applyFill="1" applyBorder="1" applyAlignment="1">
      <alignment horizontal="center" vertical="center" wrapText="1"/>
    </xf>
    <xf numFmtId="10" fontId="38" fillId="0" borderId="16" xfId="2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" fontId="26" fillId="3" borderId="0" xfId="1" applyNumberFormat="1" applyFont="1" applyFill="1" applyBorder="1" applyAlignment="1">
      <alignment horizontal="center" vertical="center" wrapText="1"/>
    </xf>
    <xf numFmtId="165" fontId="26" fillId="3" borderId="0" xfId="1" applyNumberFormat="1" applyFont="1" applyFill="1" applyBorder="1" applyAlignment="1">
      <alignment horizontal="center" vertical="center" wrapText="1"/>
    </xf>
    <xf numFmtId="9" fontId="26" fillId="3" borderId="0" xfId="0" applyNumberFormat="1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1" fontId="26" fillId="3" borderId="29" xfId="1" applyNumberFormat="1" applyFont="1" applyFill="1" applyBorder="1" applyAlignment="1">
      <alignment horizontal="center" vertical="center" wrapText="1"/>
    </xf>
    <xf numFmtId="165" fontId="26" fillId="3" borderId="29" xfId="1" applyNumberFormat="1" applyFont="1" applyFill="1" applyBorder="1" applyAlignment="1">
      <alignment horizontal="center" vertical="center" wrapText="1"/>
    </xf>
    <xf numFmtId="9" fontId="26" fillId="3" borderId="29" xfId="0" applyNumberFormat="1" applyFont="1" applyFill="1" applyBorder="1" applyAlignment="1">
      <alignment horizontal="center" vertical="center" wrapText="1"/>
    </xf>
    <xf numFmtId="0" fontId="22" fillId="3" borderId="30" xfId="0" applyFont="1" applyFill="1" applyBorder="1" applyAlignment="1">
      <alignment horizontal="center" vertical="center" wrapText="1"/>
    </xf>
    <xf numFmtId="1" fontId="26" fillId="3" borderId="30" xfId="1" applyNumberFormat="1" applyFont="1" applyFill="1" applyBorder="1" applyAlignment="1">
      <alignment horizontal="center" vertical="center" wrapText="1"/>
    </xf>
    <xf numFmtId="165" fontId="26" fillId="3" borderId="30" xfId="1" applyNumberFormat="1" applyFont="1" applyFill="1" applyBorder="1" applyAlignment="1">
      <alignment horizontal="center" vertical="center" wrapText="1"/>
    </xf>
    <xf numFmtId="9" fontId="26" fillId="3" borderId="30" xfId="0" applyNumberFormat="1" applyFont="1" applyFill="1" applyBorder="1" applyAlignment="1">
      <alignment horizontal="center" vertical="center" wrapText="1"/>
    </xf>
    <xf numFmtId="10" fontId="21" fillId="3" borderId="14" xfId="0" applyNumberFormat="1" applyFont="1" applyFill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0" fontId="27" fillId="3" borderId="16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165" fontId="45" fillId="0" borderId="21" xfId="0" applyNumberFormat="1" applyFont="1" applyBorder="1" applyAlignment="1">
      <alignment horizontal="center" vertical="center" wrapText="1"/>
    </xf>
    <xf numFmtId="165" fontId="21" fillId="0" borderId="31" xfId="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165" fontId="46" fillId="3" borderId="21" xfId="0" applyNumberFormat="1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165" fontId="21" fillId="0" borderId="31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165" fontId="35" fillId="0" borderId="14" xfId="0" applyNumberFormat="1" applyFont="1" applyBorder="1" applyAlignment="1">
      <alignment horizontal="center" vertical="center" wrapText="1"/>
    </xf>
    <xf numFmtId="165" fontId="26" fillId="3" borderId="29" xfId="0" applyNumberFormat="1" applyFont="1" applyFill="1" applyBorder="1" applyAlignment="1">
      <alignment horizontal="center" vertical="center" wrapText="1"/>
    </xf>
    <xf numFmtId="165" fontId="26" fillId="3" borderId="7" xfId="0" applyNumberFormat="1" applyFont="1" applyFill="1" applyBorder="1" applyAlignment="1">
      <alignment horizontal="center" vertical="center" wrapText="1"/>
    </xf>
    <xf numFmtId="9" fontId="27" fillId="3" borderId="7" xfId="2" applyFont="1" applyFill="1" applyBorder="1" applyAlignment="1">
      <alignment horizontal="center" vertical="center" wrapText="1"/>
    </xf>
    <xf numFmtId="165" fontId="26" fillId="3" borderId="12" xfId="0" applyNumberFormat="1" applyFont="1" applyFill="1" applyBorder="1" applyAlignment="1">
      <alignment horizontal="center" vertical="center" wrapText="1"/>
    </xf>
    <xf numFmtId="165" fontId="26" fillId="3" borderId="14" xfId="0" applyNumberFormat="1" applyFont="1" applyFill="1" applyBorder="1" applyAlignment="1">
      <alignment horizontal="center" vertical="center" wrapText="1"/>
    </xf>
    <xf numFmtId="165" fontId="26" fillId="3" borderId="30" xfId="0" applyNumberFormat="1" applyFont="1" applyFill="1" applyBorder="1" applyAlignment="1">
      <alignment horizontal="center" vertical="center" wrapText="1"/>
    </xf>
    <xf numFmtId="9" fontId="27" fillId="3" borderId="30" xfId="2" applyFont="1" applyFill="1" applyBorder="1" applyAlignment="1">
      <alignment horizontal="center" vertical="center" wrapText="1"/>
    </xf>
    <xf numFmtId="165" fontId="26" fillId="3" borderId="16" xfId="0" applyNumberFormat="1" applyFont="1" applyFill="1" applyBorder="1" applyAlignment="1">
      <alignment horizontal="center" vertical="center" wrapText="1"/>
    </xf>
    <xf numFmtId="10" fontId="22" fillId="3" borderId="0" xfId="0" applyNumberFormat="1" applyFont="1" applyFill="1" applyAlignment="1">
      <alignment horizontal="center" vertical="center" wrapText="1"/>
    </xf>
    <xf numFmtId="0" fontId="22" fillId="3" borderId="29" xfId="0" applyFont="1" applyFill="1" applyBorder="1" applyAlignment="1">
      <alignment horizontal="center" vertical="center" wrapText="1"/>
    </xf>
    <xf numFmtId="14" fontId="7" fillId="3" borderId="7" xfId="0" applyNumberFormat="1" applyFont="1" applyFill="1" applyBorder="1" applyAlignment="1">
      <alignment horizontal="center" vertical="center" wrapText="1"/>
    </xf>
    <xf numFmtId="165" fontId="25" fillId="0" borderId="0" xfId="0" applyNumberFormat="1" applyFont="1" applyAlignment="1">
      <alignment horizontal="center" vertical="center" wrapText="1"/>
    </xf>
    <xf numFmtId="0" fontId="39" fillId="14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65" fontId="26" fillId="3" borderId="8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1" fontId="22" fillId="3" borderId="0" xfId="1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2" fillId="3" borderId="0" xfId="0" applyFont="1" applyFill="1" applyBorder="1" applyAlignment="1">
      <alignment horizontal="center" vertical="center" wrapText="1"/>
    </xf>
    <xf numFmtId="9" fontId="26" fillId="3" borderId="0" xfId="0" applyNumberFormat="1" applyFont="1" applyFill="1" applyBorder="1" applyAlignment="1">
      <alignment horizontal="center" vertical="center" wrapText="1"/>
    </xf>
    <xf numFmtId="165" fontId="26" fillId="3" borderId="0" xfId="0" applyNumberFormat="1" applyFont="1" applyFill="1" applyBorder="1" applyAlignment="1">
      <alignment horizontal="center" vertical="center" wrapText="1"/>
    </xf>
    <xf numFmtId="14" fontId="39" fillId="3" borderId="0" xfId="0" applyNumberFormat="1" applyFont="1" applyFill="1" applyBorder="1" applyAlignment="1">
      <alignment horizontal="center" vertical="center" wrapText="1"/>
    </xf>
    <xf numFmtId="0" fontId="39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center" wrapText="1"/>
    </xf>
    <xf numFmtId="0" fontId="26" fillId="3" borderId="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49" fillId="3" borderId="0" xfId="0" applyFont="1" applyFill="1" applyBorder="1" applyAlignment="1">
      <alignment horizontal="center" vertical="center" wrapText="1"/>
    </xf>
    <xf numFmtId="1" fontId="49" fillId="3" borderId="0" xfId="1" applyNumberFormat="1" applyFont="1" applyFill="1" applyBorder="1" applyAlignment="1">
      <alignment horizontal="center" vertical="center" wrapText="1"/>
    </xf>
    <xf numFmtId="165" fontId="49" fillId="3" borderId="0" xfId="1" applyNumberFormat="1" applyFont="1" applyFill="1" applyBorder="1" applyAlignment="1">
      <alignment horizontal="center" vertical="center" wrapText="1"/>
    </xf>
    <xf numFmtId="9" fontId="49" fillId="3" borderId="0" xfId="0" applyNumberFormat="1" applyFont="1" applyFill="1" applyBorder="1" applyAlignment="1">
      <alignment horizontal="center" vertical="center" wrapText="1"/>
    </xf>
    <xf numFmtId="165" fontId="49" fillId="3" borderId="0" xfId="0" applyNumberFormat="1" applyFont="1" applyFill="1" applyBorder="1" applyAlignment="1">
      <alignment horizontal="center" vertical="center" wrapText="1"/>
    </xf>
    <xf numFmtId="1" fontId="51" fillId="3" borderId="0" xfId="1" applyNumberFormat="1" applyFont="1" applyFill="1" applyBorder="1" applyAlignment="1">
      <alignment horizontal="center" vertical="center" wrapText="1"/>
    </xf>
    <xf numFmtId="165" fontId="51" fillId="3" borderId="0" xfId="1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4" fontId="39" fillId="18" borderId="2" xfId="0" applyNumberFormat="1" applyFont="1" applyFill="1" applyBorder="1" applyAlignment="1">
      <alignment horizontal="center" vertical="center" wrapText="1"/>
    </xf>
    <xf numFmtId="0" fontId="39" fillId="18" borderId="2" xfId="0" applyFont="1" applyFill="1" applyBorder="1" applyAlignment="1">
      <alignment horizontal="center" vertical="center" wrapText="1"/>
    </xf>
    <xf numFmtId="9" fontId="27" fillId="3" borderId="29" xfId="2" applyFont="1" applyFill="1" applyBorder="1" applyAlignment="1">
      <alignment horizontal="center" vertical="center" wrapText="1"/>
    </xf>
    <xf numFmtId="165" fontId="26" fillId="3" borderId="35" xfId="1" applyNumberFormat="1" applyFont="1" applyFill="1" applyBorder="1" applyAlignment="1">
      <alignment horizontal="center" vertical="center" wrapText="1"/>
    </xf>
    <xf numFmtId="0" fontId="4" fillId="0" borderId="0" xfId="6"/>
    <xf numFmtId="0" fontId="25" fillId="0" borderId="0" xfId="6" applyFont="1" applyAlignment="1">
      <alignment horizontal="right"/>
    </xf>
    <xf numFmtId="14" fontId="25" fillId="0" borderId="0" xfId="6" applyNumberFormat="1" applyFont="1" applyAlignment="1">
      <alignment horizontal="left"/>
    </xf>
    <xf numFmtId="0" fontId="4" fillId="0" borderId="0" xfId="6" applyAlignment="1">
      <alignment horizontal="center"/>
    </xf>
    <xf numFmtId="0" fontId="39" fillId="3" borderId="0" xfId="6" applyFont="1" applyFill="1" applyAlignment="1">
      <alignment horizontal="center" vertical="center" wrapText="1"/>
    </xf>
    <xf numFmtId="0" fontId="4" fillId="0" borderId="18" xfId="6" applyBorder="1" applyAlignment="1">
      <alignment horizontal="center" vertical="center" wrapText="1"/>
    </xf>
    <xf numFmtId="0" fontId="4" fillId="3" borderId="31" xfId="6" applyFill="1" applyBorder="1" applyAlignment="1">
      <alignment horizontal="center" vertical="center" wrapText="1"/>
    </xf>
    <xf numFmtId="1" fontId="4" fillId="0" borderId="31" xfId="6" applyNumberFormat="1" applyBorder="1" applyAlignment="1">
      <alignment horizontal="center"/>
    </xf>
    <xf numFmtId="1" fontId="4" fillId="3" borderId="0" xfId="6" applyNumberFormat="1" applyFill="1" applyAlignment="1">
      <alignment horizontal="center"/>
    </xf>
    <xf numFmtId="0" fontId="4" fillId="0" borderId="18" xfId="6" applyBorder="1" applyAlignment="1">
      <alignment horizontal="left"/>
    </xf>
    <xf numFmtId="0" fontId="4" fillId="0" borderId="13" xfId="6" applyBorder="1" applyAlignment="1">
      <alignment horizontal="center" vertical="center" wrapText="1"/>
    </xf>
    <xf numFmtId="1" fontId="25" fillId="3" borderId="14" xfId="6" applyNumberFormat="1" applyFont="1" applyFill="1" applyBorder="1" applyAlignment="1">
      <alignment horizontal="center" vertical="center" wrapText="1"/>
    </xf>
    <xf numFmtId="0" fontId="4" fillId="0" borderId="13" xfId="6" applyBorder="1"/>
    <xf numFmtId="0" fontId="4" fillId="0" borderId="14" xfId="6" applyBorder="1" applyAlignment="1">
      <alignment horizontal="center"/>
    </xf>
    <xf numFmtId="0" fontId="4" fillId="3" borderId="0" xfId="6" applyFill="1" applyAlignment="1">
      <alignment horizontal="center"/>
    </xf>
    <xf numFmtId="0" fontId="4" fillId="0" borderId="13" xfId="6" applyBorder="1" applyAlignment="1">
      <alignment horizontal="left"/>
    </xf>
    <xf numFmtId="14" fontId="25" fillId="3" borderId="14" xfId="6" applyNumberFormat="1" applyFont="1" applyFill="1" applyBorder="1" applyAlignment="1">
      <alignment horizontal="center" vertical="center" wrapText="1"/>
    </xf>
    <xf numFmtId="0" fontId="54" fillId="0" borderId="17" xfId="6" applyFont="1" applyBorder="1"/>
    <xf numFmtId="1" fontId="4" fillId="0" borderId="32" xfId="6" applyNumberFormat="1" applyBorder="1" applyAlignment="1">
      <alignment horizontal="center"/>
    </xf>
    <xf numFmtId="0" fontId="54" fillId="0" borderId="17" xfId="6" applyFont="1" applyBorder="1" applyAlignment="1">
      <alignment horizontal="left"/>
    </xf>
    <xf numFmtId="165" fontId="4" fillId="3" borderId="14" xfId="6" applyNumberFormat="1" applyFill="1" applyBorder="1" applyAlignment="1">
      <alignment horizontal="center" vertical="center" wrapText="1"/>
    </xf>
    <xf numFmtId="0" fontId="27" fillId="3" borderId="0" xfId="6" applyFont="1" applyFill="1" applyAlignment="1">
      <alignment horizontal="center" vertical="center" wrapText="1"/>
    </xf>
    <xf numFmtId="6" fontId="4" fillId="0" borderId="14" xfId="6" applyNumberFormat="1" applyBorder="1" applyAlignment="1">
      <alignment horizontal="center"/>
    </xf>
    <xf numFmtId="0" fontId="4" fillId="0" borderId="31" xfId="6" applyBorder="1" applyAlignment="1">
      <alignment horizontal="center" vertical="center"/>
    </xf>
    <xf numFmtId="0" fontId="4" fillId="3" borderId="0" xfId="6" applyFill="1" applyAlignment="1">
      <alignment horizontal="center" vertical="center"/>
    </xf>
    <xf numFmtId="0" fontId="4" fillId="0" borderId="31" xfId="6" applyBorder="1" applyAlignment="1">
      <alignment horizontal="center"/>
    </xf>
    <xf numFmtId="165" fontId="4" fillId="0" borderId="14" xfId="6" applyNumberFormat="1" applyBorder="1" applyAlignment="1">
      <alignment horizontal="center" vertical="center" wrapText="1"/>
    </xf>
    <xf numFmtId="0" fontId="4" fillId="0" borderId="14" xfId="6" applyBorder="1" applyAlignment="1">
      <alignment horizontal="center" vertical="center"/>
    </xf>
    <xf numFmtId="6" fontId="38" fillId="0" borderId="14" xfId="6" applyNumberFormat="1" applyFont="1" applyBorder="1" applyAlignment="1">
      <alignment horizontal="center"/>
    </xf>
    <xf numFmtId="0" fontId="4" fillId="0" borderId="32" xfId="6" applyBorder="1" applyAlignment="1">
      <alignment horizontal="center" vertical="center"/>
    </xf>
    <xf numFmtId="0" fontId="4" fillId="3" borderId="13" xfId="6" applyFill="1" applyBorder="1" applyAlignment="1">
      <alignment horizontal="center" vertical="center" wrapText="1"/>
    </xf>
    <xf numFmtId="0" fontId="4" fillId="0" borderId="13" xfId="6" applyBorder="1" applyAlignment="1">
      <alignment horizontal="center"/>
    </xf>
    <xf numFmtId="10" fontId="4" fillId="0" borderId="14" xfId="7" applyNumberFormat="1" applyFont="1" applyBorder="1" applyAlignment="1">
      <alignment horizontal="center"/>
    </xf>
    <xf numFmtId="0" fontId="4" fillId="0" borderId="15" xfId="6" applyBorder="1" applyAlignment="1">
      <alignment horizontal="center" vertical="center" wrapText="1"/>
    </xf>
    <xf numFmtId="10" fontId="25" fillId="3" borderId="16" xfId="6" applyNumberFormat="1" applyFont="1" applyFill="1" applyBorder="1" applyAlignment="1">
      <alignment horizontal="center" vertical="center" wrapText="1"/>
    </xf>
    <xf numFmtId="0" fontId="54" fillId="0" borderId="15" xfId="6" applyFont="1" applyBorder="1"/>
    <xf numFmtId="0" fontId="4" fillId="0" borderId="16" xfId="6" applyBorder="1" applyAlignment="1">
      <alignment horizontal="center" vertical="center"/>
    </xf>
    <xf numFmtId="0" fontId="54" fillId="0" borderId="15" xfId="6" applyFont="1" applyBorder="1" applyAlignment="1">
      <alignment horizontal="left"/>
    </xf>
    <xf numFmtId="0" fontId="4" fillId="0" borderId="16" xfId="6" applyBorder="1" applyAlignment="1">
      <alignment horizontal="center"/>
    </xf>
    <xf numFmtId="0" fontId="4" fillId="0" borderId="0" xfId="6" applyAlignment="1">
      <alignment horizontal="left"/>
    </xf>
    <xf numFmtId="0" fontId="56" fillId="0" borderId="36" xfId="0" applyFont="1" applyBorder="1" applyAlignment="1">
      <alignment horizontal="center" vertical="center" wrapText="1"/>
    </xf>
    <xf numFmtId="165" fontId="56" fillId="0" borderId="36" xfId="0" applyNumberFormat="1" applyFont="1" applyBorder="1" applyAlignment="1">
      <alignment horizontal="center" vertical="center" wrapText="1"/>
    </xf>
    <xf numFmtId="0" fontId="55" fillId="0" borderId="36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6" fontId="0" fillId="0" borderId="0" xfId="0" applyNumberFormat="1" applyAlignment="1">
      <alignment horizontal="center" vertical="center" wrapText="1"/>
    </xf>
    <xf numFmtId="6" fontId="0" fillId="0" borderId="36" xfId="0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58" fillId="0" borderId="38" xfId="0" applyFont="1" applyBorder="1" applyAlignment="1">
      <alignment horizontal="center" vertical="center" wrapText="1"/>
    </xf>
    <xf numFmtId="6" fontId="58" fillId="0" borderId="36" xfId="0" applyNumberFormat="1" applyFont="1" applyBorder="1" applyAlignment="1">
      <alignment horizontal="center" vertical="center" wrapText="1"/>
    </xf>
    <xf numFmtId="6" fontId="0" fillId="0" borderId="0" xfId="0" applyNumberFormat="1" applyBorder="1" applyAlignment="1">
      <alignment horizontal="center" vertical="center" wrapText="1"/>
    </xf>
    <xf numFmtId="165" fontId="0" fillId="0" borderId="36" xfId="0" applyNumberFormat="1" applyBorder="1" applyAlignment="1">
      <alignment horizontal="center" vertical="center" wrapText="1"/>
    </xf>
    <xf numFmtId="6" fontId="59" fillId="3" borderId="39" xfId="0" applyNumberFormat="1" applyFont="1" applyFill="1" applyBorder="1" applyAlignment="1">
      <alignment horizontal="center" vertical="center" wrapText="1"/>
    </xf>
    <xf numFmtId="0" fontId="58" fillId="0" borderId="40" xfId="0" applyFont="1" applyBorder="1" applyAlignment="1">
      <alignment horizontal="center" vertical="center" wrapText="1"/>
    </xf>
    <xf numFmtId="6" fontId="58" fillId="0" borderId="39" xfId="0" applyNumberFormat="1" applyFont="1" applyBorder="1" applyAlignment="1">
      <alignment horizontal="center" vertical="center" wrapText="1"/>
    </xf>
    <xf numFmtId="0" fontId="58" fillId="0" borderId="39" xfId="0" applyFont="1" applyBorder="1" applyAlignment="1">
      <alignment horizontal="center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9" fillId="3" borderId="40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61" fillId="2" borderId="1" xfId="0" applyFont="1" applyFill="1" applyBorder="1"/>
    <xf numFmtId="0" fontId="61" fillId="0" borderId="1" xfId="0" applyFont="1" applyBorder="1"/>
    <xf numFmtId="9" fontId="63" fillId="8" borderId="27" xfId="0" applyNumberFormat="1" applyFont="1" applyFill="1" applyBorder="1" applyAlignment="1">
      <alignment horizontal="center" vertical="center" wrapText="1"/>
    </xf>
    <xf numFmtId="10" fontId="63" fillId="3" borderId="0" xfId="0" applyNumberFormat="1" applyFont="1" applyFill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9" fontId="65" fillId="7" borderId="6" xfId="0" applyNumberFormat="1" applyFont="1" applyFill="1" applyBorder="1" applyAlignment="1">
      <alignment horizontal="center" vertical="center" wrapText="1"/>
    </xf>
    <xf numFmtId="14" fontId="65" fillId="3" borderId="0" xfId="0" applyNumberFormat="1" applyFont="1" applyFill="1" applyBorder="1" applyAlignment="1">
      <alignment horizontal="center" vertical="center" wrapText="1"/>
    </xf>
    <xf numFmtId="0" fontId="65" fillId="3" borderId="0" xfId="0" applyFont="1" applyFill="1" applyBorder="1" applyAlignment="1">
      <alignment horizontal="center" vertical="center" wrapText="1"/>
    </xf>
    <xf numFmtId="0" fontId="64" fillId="3" borderId="0" xfId="0" applyFont="1" applyFill="1" applyAlignment="1">
      <alignment horizontal="center" vertical="center" wrapText="1"/>
    </xf>
    <xf numFmtId="0" fontId="64" fillId="0" borderId="11" xfId="0" applyFont="1" applyBorder="1" applyAlignment="1">
      <alignment horizontal="left" vertical="center" wrapText="1"/>
    </xf>
    <xf numFmtId="0" fontId="64" fillId="3" borderId="12" xfId="0" applyFont="1" applyFill="1" applyBorder="1" applyAlignment="1">
      <alignment horizontal="center" vertical="center" wrapText="1"/>
    </xf>
    <xf numFmtId="0" fontId="63" fillId="3" borderId="0" xfId="0" applyFont="1" applyFill="1" applyBorder="1" applyAlignment="1">
      <alignment horizontal="center" vertical="center" wrapText="1"/>
    </xf>
    <xf numFmtId="1" fontId="63" fillId="3" borderId="0" xfId="1" applyNumberFormat="1" applyFont="1" applyFill="1" applyBorder="1" applyAlignment="1">
      <alignment horizontal="center" vertical="center" wrapText="1"/>
    </xf>
    <xf numFmtId="165" fontId="63" fillId="3" borderId="0" xfId="1" applyNumberFormat="1" applyFont="1" applyFill="1" applyBorder="1" applyAlignment="1">
      <alignment horizontal="center" vertical="center" wrapText="1"/>
    </xf>
    <xf numFmtId="9" fontId="63" fillId="3" borderId="0" xfId="0" applyNumberFormat="1" applyFont="1" applyFill="1" applyBorder="1" applyAlignment="1">
      <alignment horizontal="center" vertical="center" wrapText="1"/>
    </xf>
    <xf numFmtId="165" fontId="63" fillId="3" borderId="0" xfId="0" applyNumberFormat="1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left" vertical="center" wrapText="1"/>
    </xf>
    <xf numFmtId="1" fontId="64" fillId="3" borderId="14" xfId="0" applyNumberFormat="1" applyFont="1" applyFill="1" applyBorder="1" applyAlignment="1">
      <alignment horizontal="center" vertical="center" wrapText="1"/>
    </xf>
    <xf numFmtId="0" fontId="64" fillId="3" borderId="0" xfId="0" applyFont="1" applyFill="1" applyBorder="1" applyAlignment="1">
      <alignment horizontal="center" vertical="center" wrapText="1"/>
    </xf>
    <xf numFmtId="14" fontId="64" fillId="3" borderId="14" xfId="0" applyNumberFormat="1" applyFont="1" applyFill="1" applyBorder="1" applyAlignment="1">
      <alignment horizontal="center" vertical="center" wrapText="1"/>
    </xf>
    <xf numFmtId="165" fontId="64" fillId="3" borderId="14" xfId="0" applyNumberFormat="1" applyFont="1" applyFill="1" applyBorder="1" applyAlignment="1">
      <alignment horizontal="center" vertical="center" wrapText="1"/>
    </xf>
    <xf numFmtId="165" fontId="64" fillId="0" borderId="14" xfId="0" applyNumberFormat="1" applyFont="1" applyBorder="1" applyAlignment="1">
      <alignment horizontal="center" vertical="center" wrapText="1"/>
    </xf>
    <xf numFmtId="165" fontId="66" fillId="3" borderId="14" xfId="0" applyNumberFormat="1" applyFont="1" applyFill="1" applyBorder="1" applyAlignment="1">
      <alignment horizontal="center" vertical="center" wrapText="1"/>
    </xf>
    <xf numFmtId="165" fontId="65" fillId="3" borderId="0" xfId="1" applyNumberFormat="1" applyFont="1" applyFill="1" applyBorder="1" applyAlignment="1">
      <alignment horizontal="center" vertical="center" wrapText="1"/>
    </xf>
    <xf numFmtId="0" fontId="64" fillId="3" borderId="13" xfId="0" applyFont="1" applyFill="1" applyBorder="1" applyAlignment="1">
      <alignment horizontal="left" vertical="center" wrapText="1"/>
    </xf>
    <xf numFmtId="0" fontId="52" fillId="17" borderId="19" xfId="0" applyFont="1" applyFill="1" applyBorder="1" applyAlignment="1">
      <alignment horizontal="center" vertical="center" wrapText="1"/>
    </xf>
    <xf numFmtId="165" fontId="64" fillId="3" borderId="0" xfId="8" applyNumberFormat="1" applyFont="1" applyFill="1" applyBorder="1" applyAlignment="1">
      <alignment horizontal="center" vertical="center" wrapText="1"/>
    </xf>
    <xf numFmtId="1" fontId="67" fillId="3" borderId="0" xfId="1" applyNumberFormat="1" applyFont="1" applyFill="1" applyBorder="1" applyAlignment="1">
      <alignment horizontal="center" vertical="center" wrapText="1"/>
    </xf>
    <xf numFmtId="165" fontId="67" fillId="3" borderId="0" xfId="1" applyNumberFormat="1" applyFont="1" applyFill="1" applyBorder="1" applyAlignment="1">
      <alignment horizontal="center" vertical="center" wrapText="1"/>
    </xf>
    <xf numFmtId="14" fontId="52" fillId="17" borderId="19" xfId="0" applyNumberFormat="1" applyFont="1" applyFill="1" applyBorder="1" applyAlignment="1">
      <alignment horizontal="center" vertical="center" wrapText="1"/>
    </xf>
    <xf numFmtId="9" fontId="65" fillId="3" borderId="7" xfId="2" applyFont="1" applyFill="1" applyBorder="1" applyAlignment="1">
      <alignment horizontal="center" vertical="center" wrapText="1"/>
    </xf>
    <xf numFmtId="165" fontId="63" fillId="3" borderId="14" xfId="0" applyNumberFormat="1" applyFont="1" applyFill="1" applyBorder="1" applyAlignment="1">
      <alignment horizontal="center" vertical="center" wrapText="1"/>
    </xf>
    <xf numFmtId="9" fontId="65" fillId="3" borderId="30" xfId="2" applyFont="1" applyFill="1" applyBorder="1" applyAlignment="1">
      <alignment horizontal="center" vertical="center" wrapText="1"/>
    </xf>
    <xf numFmtId="165" fontId="63" fillId="3" borderId="16" xfId="0" applyNumberFormat="1" applyFont="1" applyFill="1" applyBorder="1" applyAlignment="1">
      <alignment horizontal="center" vertical="center" wrapText="1"/>
    </xf>
    <xf numFmtId="0" fontId="3" fillId="0" borderId="13" xfId="6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4" fillId="3" borderId="29" xfId="8" applyFont="1" applyFill="1" applyBorder="1" applyAlignment="1">
      <alignment horizontal="center" vertical="center" wrapText="1"/>
    </xf>
    <xf numFmtId="1" fontId="64" fillId="3" borderId="29" xfId="8" applyNumberFormat="1" applyFont="1" applyFill="1" applyBorder="1" applyAlignment="1">
      <alignment horizontal="center" vertical="center" wrapText="1"/>
    </xf>
    <xf numFmtId="165" fontId="64" fillId="3" borderId="29" xfId="8" applyNumberFormat="1" applyFont="1" applyFill="1" applyBorder="1" applyAlignment="1">
      <alignment horizontal="center" vertical="center" wrapText="1"/>
    </xf>
    <xf numFmtId="9" fontId="64" fillId="3" borderId="29" xfId="8" applyNumberFormat="1" applyFont="1" applyFill="1" applyBorder="1" applyAlignment="1">
      <alignment horizontal="center" vertical="center" wrapText="1"/>
    </xf>
    <xf numFmtId="9" fontId="63" fillId="3" borderId="29" xfId="0" applyNumberFormat="1" applyFont="1" applyFill="1" applyBorder="1" applyAlignment="1">
      <alignment horizontal="center" vertical="center" wrapText="1"/>
    </xf>
    <xf numFmtId="165" fontId="63" fillId="3" borderId="29" xfId="1" applyNumberFormat="1" applyFont="1" applyFill="1" applyBorder="1" applyAlignment="1">
      <alignment horizontal="center" vertical="center" wrapText="1"/>
    </xf>
    <xf numFmtId="9" fontId="65" fillId="3" borderId="29" xfId="2" applyFont="1" applyFill="1" applyBorder="1" applyAlignment="1">
      <alignment horizontal="center" vertical="center" wrapText="1"/>
    </xf>
    <xf numFmtId="165" fontId="63" fillId="3" borderId="12" xfId="0" applyNumberFormat="1" applyFont="1" applyFill="1" applyBorder="1" applyAlignment="1">
      <alignment horizontal="center" vertical="center" wrapText="1"/>
    </xf>
    <xf numFmtId="0" fontId="68" fillId="0" borderId="1" xfId="0" applyFont="1" applyBorder="1"/>
    <xf numFmtId="14" fontId="0" fillId="24" borderId="1" xfId="0" applyNumberFormat="1" applyFill="1" applyBorder="1"/>
    <xf numFmtId="0" fontId="68" fillId="2" borderId="1" xfId="0" applyFont="1" applyFill="1" applyBorder="1"/>
    <xf numFmtId="0" fontId="2" fillId="0" borderId="18" xfId="6" applyFont="1" applyBorder="1"/>
    <xf numFmtId="0" fontId="2" fillId="0" borderId="0" xfId="6" applyFont="1"/>
    <xf numFmtId="0" fontId="2" fillId="0" borderId="13" xfId="6" applyFont="1" applyBorder="1"/>
    <xf numFmtId="0" fontId="2" fillId="0" borderId="13" xfId="6" applyFont="1" applyBorder="1" applyAlignment="1">
      <alignment horizontal="left"/>
    </xf>
    <xf numFmtId="1" fontId="4" fillId="0" borderId="14" xfId="6" applyNumberFormat="1" applyBorder="1" applyAlignment="1">
      <alignment horizontal="center"/>
    </xf>
    <xf numFmtId="0" fontId="64" fillId="25" borderId="7" xfId="8" applyFont="1" applyFill="1" applyBorder="1" applyAlignment="1">
      <alignment horizontal="center" vertical="center" wrapText="1"/>
    </xf>
    <xf numFmtId="1" fontId="64" fillId="25" borderId="7" xfId="8" applyNumberFormat="1" applyFont="1" applyFill="1" applyBorder="1" applyAlignment="1">
      <alignment horizontal="center" vertical="center" wrapText="1"/>
    </xf>
    <xf numFmtId="165" fontId="64" fillId="25" borderId="7" xfId="8" applyNumberFormat="1" applyFont="1" applyFill="1" applyBorder="1" applyAlignment="1">
      <alignment horizontal="center" vertical="center" wrapText="1"/>
    </xf>
    <xf numFmtId="9" fontId="64" fillId="25" borderId="7" xfId="8" applyNumberFormat="1" applyFont="1" applyFill="1" applyBorder="1" applyAlignment="1">
      <alignment horizontal="center" vertical="center" wrapText="1"/>
    </xf>
    <xf numFmtId="9" fontId="63" fillId="25" borderId="7" xfId="0" applyNumberFormat="1" applyFont="1" applyFill="1" applyBorder="1" applyAlignment="1">
      <alignment horizontal="center" vertical="center" wrapText="1"/>
    </xf>
    <xf numFmtId="165" fontId="63" fillId="25" borderId="7" xfId="1" applyNumberFormat="1" applyFont="1" applyFill="1" applyBorder="1" applyAlignment="1">
      <alignment horizontal="center" vertical="center" wrapText="1"/>
    </xf>
    <xf numFmtId="0" fontId="63" fillId="25" borderId="30" xfId="0" applyFont="1" applyFill="1" applyBorder="1" applyAlignment="1">
      <alignment horizontal="center" vertical="center" wrapText="1"/>
    </xf>
    <xf numFmtId="1" fontId="63" fillId="25" borderId="30" xfId="1" applyNumberFormat="1" applyFont="1" applyFill="1" applyBorder="1" applyAlignment="1">
      <alignment horizontal="center" vertical="center" wrapText="1"/>
    </xf>
    <xf numFmtId="165" fontId="63" fillId="25" borderId="30" xfId="1" applyNumberFormat="1" applyFont="1" applyFill="1" applyBorder="1" applyAlignment="1">
      <alignment horizontal="center" vertical="center" wrapText="1"/>
    </xf>
    <xf numFmtId="9" fontId="63" fillId="25" borderId="30" xfId="0" applyNumberFormat="1" applyFont="1" applyFill="1" applyBorder="1" applyAlignment="1">
      <alignment horizontal="center" vertical="center" wrapText="1"/>
    </xf>
    <xf numFmtId="165" fontId="64" fillId="25" borderId="30" xfId="8" applyNumberFormat="1" applyFont="1" applyFill="1" applyBorder="1" applyAlignment="1">
      <alignment horizontal="center" vertical="center" wrapText="1"/>
    </xf>
    <xf numFmtId="0" fontId="64" fillId="25" borderId="29" xfId="8" applyFont="1" applyFill="1" applyBorder="1" applyAlignment="1">
      <alignment horizontal="center" vertical="center" wrapText="1"/>
    </xf>
    <xf numFmtId="1" fontId="64" fillId="25" borderId="29" xfId="8" applyNumberFormat="1" applyFont="1" applyFill="1" applyBorder="1" applyAlignment="1">
      <alignment horizontal="center" vertical="center" wrapText="1"/>
    </xf>
    <xf numFmtId="165" fontId="64" fillId="25" borderId="29" xfId="8" applyNumberFormat="1" applyFont="1" applyFill="1" applyBorder="1" applyAlignment="1">
      <alignment horizontal="center" vertical="center" wrapText="1"/>
    </xf>
    <xf numFmtId="9" fontId="64" fillId="25" borderId="29" xfId="8" applyNumberFormat="1" applyFont="1" applyFill="1" applyBorder="1" applyAlignment="1">
      <alignment horizontal="center" vertical="center" wrapText="1"/>
    </xf>
    <xf numFmtId="9" fontId="63" fillId="25" borderId="29" xfId="0" applyNumberFormat="1" applyFont="1" applyFill="1" applyBorder="1" applyAlignment="1">
      <alignment horizontal="center" vertical="center" wrapText="1"/>
    </xf>
    <xf numFmtId="165" fontId="63" fillId="25" borderId="29" xfId="1" applyNumberFormat="1" applyFont="1" applyFill="1" applyBorder="1" applyAlignment="1">
      <alignment horizontal="center" vertical="center" wrapText="1"/>
    </xf>
    <xf numFmtId="0" fontId="69" fillId="0" borderId="37" xfId="0" applyFont="1" applyBorder="1" applyAlignment="1">
      <alignment horizontal="center" vertical="center" wrapText="1"/>
    </xf>
    <xf numFmtId="6" fontId="69" fillId="0" borderId="0" xfId="0" applyNumberFormat="1" applyFont="1" applyBorder="1" applyAlignment="1">
      <alignment horizontal="center" vertical="center" wrapText="1"/>
    </xf>
    <xf numFmtId="0" fontId="70" fillId="0" borderId="1" xfId="0" applyFont="1" applyBorder="1"/>
    <xf numFmtId="0" fontId="70" fillId="2" borderId="1" xfId="0" applyFont="1" applyFill="1" applyBorder="1"/>
    <xf numFmtId="0" fontId="0" fillId="24" borderId="1" xfId="0" applyFill="1" applyBorder="1"/>
    <xf numFmtId="165" fontId="26" fillId="3" borderId="0" xfId="0" applyNumberFormat="1" applyFont="1" applyFill="1" applyAlignment="1">
      <alignment horizontal="center" vertical="center" wrapText="1"/>
    </xf>
    <xf numFmtId="0" fontId="64" fillId="3" borderId="7" xfId="0" applyFont="1" applyFill="1" applyBorder="1" applyAlignment="1">
      <alignment horizontal="center" vertical="center" wrapText="1"/>
    </xf>
    <xf numFmtId="1" fontId="63" fillId="3" borderId="7" xfId="1" applyNumberFormat="1" applyFont="1" applyFill="1" applyBorder="1" applyAlignment="1">
      <alignment horizontal="center" vertical="center" wrapText="1"/>
    </xf>
    <xf numFmtId="165" fontId="63" fillId="3" borderId="7" xfId="1" applyNumberFormat="1" applyFont="1" applyFill="1" applyBorder="1" applyAlignment="1">
      <alignment horizontal="center" vertical="center" wrapText="1"/>
    </xf>
    <xf numFmtId="9" fontId="63" fillId="3" borderId="7" xfId="0" applyNumberFormat="1" applyFont="1" applyFill="1" applyBorder="1" applyAlignment="1">
      <alignment horizontal="center" vertical="center" wrapText="1"/>
    </xf>
    <xf numFmtId="165" fontId="64" fillId="3" borderId="7" xfId="8" applyNumberFormat="1" applyFont="1" applyFill="1" applyBorder="1" applyAlignment="1">
      <alignment horizontal="center" vertical="center" wrapText="1"/>
    </xf>
    <xf numFmtId="165" fontId="71" fillId="3" borderId="0" xfId="1" applyNumberFormat="1" applyFont="1" applyFill="1" applyBorder="1" applyAlignment="1">
      <alignment horizontal="center" vertical="center" wrapText="1"/>
    </xf>
    <xf numFmtId="165" fontId="72" fillId="3" borderId="0" xfId="1" applyNumberFormat="1" applyFont="1" applyFill="1" applyBorder="1" applyAlignment="1">
      <alignment horizontal="center" vertical="center" wrapText="1"/>
    </xf>
    <xf numFmtId="0" fontId="64" fillId="3" borderId="7" xfId="8" applyFont="1" applyFill="1" applyBorder="1" applyAlignment="1">
      <alignment horizontal="center" vertical="center" wrapText="1"/>
    </xf>
    <xf numFmtId="1" fontId="64" fillId="3" borderId="7" xfId="8" applyNumberFormat="1" applyFont="1" applyFill="1" applyBorder="1" applyAlignment="1">
      <alignment horizontal="center" vertical="center" wrapText="1"/>
    </xf>
    <xf numFmtId="9" fontId="64" fillId="3" borderId="7" xfId="8" applyNumberFormat="1" applyFont="1" applyFill="1" applyBorder="1" applyAlignment="1">
      <alignment horizontal="center" vertical="center" wrapText="1"/>
    </xf>
    <xf numFmtId="0" fontId="1" fillId="0" borderId="13" xfId="6" applyFont="1" applyBorder="1" applyAlignment="1">
      <alignment horizontal="left"/>
    </xf>
    <xf numFmtId="0" fontId="52" fillId="19" borderId="20" xfId="6" applyFont="1" applyFill="1" applyBorder="1" applyAlignment="1">
      <alignment horizontal="center" vertical="center" wrapText="1"/>
    </xf>
    <xf numFmtId="0" fontId="52" fillId="19" borderId="21" xfId="6" applyFont="1" applyFill="1" applyBorder="1" applyAlignment="1">
      <alignment horizontal="center" vertical="center" wrapText="1"/>
    </xf>
    <xf numFmtId="0" fontId="25" fillId="18" borderId="20" xfId="6" applyFont="1" applyFill="1" applyBorder="1" applyAlignment="1">
      <alignment horizontal="center"/>
    </xf>
    <xf numFmtId="0" fontId="25" fillId="18" borderId="21" xfId="6" applyFont="1" applyFill="1" applyBorder="1" applyAlignment="1">
      <alignment horizontal="center"/>
    </xf>
    <xf numFmtId="0" fontId="39" fillId="16" borderId="20" xfId="6" applyFont="1" applyFill="1" applyBorder="1" applyAlignment="1">
      <alignment horizontal="center" vertical="center" wrapText="1"/>
    </xf>
    <xf numFmtId="0" fontId="39" fillId="16" borderId="21" xfId="6" applyFont="1" applyFill="1" applyBorder="1" applyAlignment="1">
      <alignment horizontal="center" vertical="center" wrapText="1"/>
    </xf>
    <xf numFmtId="0" fontId="25" fillId="20" borderId="20" xfId="6" applyFont="1" applyFill="1" applyBorder="1" applyAlignment="1">
      <alignment horizontal="center"/>
    </xf>
    <xf numFmtId="0" fontId="25" fillId="20" borderId="21" xfId="6" applyFont="1" applyFill="1" applyBorder="1" applyAlignment="1">
      <alignment horizontal="center"/>
    </xf>
    <xf numFmtId="0" fontId="27" fillId="21" borderId="20" xfId="6" applyFont="1" applyFill="1" applyBorder="1" applyAlignment="1">
      <alignment horizontal="center" vertical="center" wrapText="1"/>
    </xf>
    <xf numFmtId="0" fontId="27" fillId="21" borderId="21" xfId="6" applyFont="1" applyFill="1" applyBorder="1" applyAlignment="1">
      <alignment horizontal="center" vertical="center" wrapText="1"/>
    </xf>
    <xf numFmtId="0" fontId="53" fillId="0" borderId="0" xfId="6" applyFont="1" applyAlignment="1">
      <alignment horizontal="center"/>
    </xf>
    <xf numFmtId="0" fontId="4" fillId="0" borderId="0" xfId="6" applyAlignment="1">
      <alignment horizontal="center"/>
    </xf>
    <xf numFmtId="0" fontId="25" fillId="0" borderId="0" xfId="6" applyFont="1" applyAlignment="1">
      <alignment horizontal="right"/>
    </xf>
    <xf numFmtId="0" fontId="27" fillId="22" borderId="4" xfId="6" applyFont="1" applyFill="1" applyBorder="1" applyAlignment="1">
      <alignment horizontal="center" vertical="center" wrapText="1"/>
    </xf>
    <xf numFmtId="0" fontId="27" fillId="22" borderId="6" xfId="6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4" xfId="0" applyFont="1" applyFill="1" applyBorder="1" applyAlignment="1">
      <alignment horizontal="center" vertical="center" wrapText="1"/>
    </xf>
    <xf numFmtId="0" fontId="22" fillId="3" borderId="25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Border="1" applyAlignment="1">
      <alignment horizontal="center" vertical="center" wrapText="1"/>
    </xf>
    <xf numFmtId="0" fontId="39" fillId="14" borderId="4" xfId="0" applyFont="1" applyFill="1" applyBorder="1" applyAlignment="1">
      <alignment horizontal="center" vertical="center" wrapText="1"/>
    </xf>
    <xf numFmtId="0" fontId="39" fillId="14" borderId="6" xfId="0" applyFont="1" applyFill="1" applyBorder="1" applyAlignment="1">
      <alignment horizontal="center" vertical="center" wrapText="1"/>
    </xf>
    <xf numFmtId="0" fontId="26" fillId="3" borderId="0" xfId="0" applyFont="1" applyFill="1" applyBorder="1" applyAlignment="1">
      <alignment horizontal="center" vertical="center" wrapText="1"/>
    </xf>
    <xf numFmtId="166" fontId="43" fillId="3" borderId="10" xfId="0" applyNumberFormat="1" applyFont="1" applyFill="1" applyBorder="1" applyAlignment="1">
      <alignment horizontal="center" vertical="center" wrapText="1"/>
    </xf>
    <xf numFmtId="166" fontId="43" fillId="3" borderId="3" xfId="0" applyNumberFormat="1" applyFont="1" applyFill="1" applyBorder="1" applyAlignment="1">
      <alignment horizontal="center" vertical="center" wrapText="1"/>
    </xf>
    <xf numFmtId="166" fontId="43" fillId="3" borderId="26" xfId="0" applyNumberFormat="1" applyFont="1" applyFill="1" applyBorder="1" applyAlignment="1">
      <alignment horizontal="center" vertical="center" wrapText="1"/>
    </xf>
    <xf numFmtId="166" fontId="43" fillId="3" borderId="28" xfId="0" applyNumberFormat="1" applyFont="1" applyFill="1" applyBorder="1" applyAlignment="1">
      <alignment horizontal="center" vertical="center" wrapText="1"/>
    </xf>
    <xf numFmtId="0" fontId="63" fillId="3" borderId="0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 wrapText="1"/>
    </xf>
    <xf numFmtId="0" fontId="62" fillId="3" borderId="0" xfId="0" applyFont="1" applyFill="1" applyBorder="1" applyAlignment="1">
      <alignment horizontal="center" vertical="center" wrapText="1"/>
    </xf>
    <xf numFmtId="0" fontId="65" fillId="14" borderId="4" xfId="0" applyFont="1" applyFill="1" applyBorder="1" applyAlignment="1">
      <alignment horizontal="center" vertical="center" wrapText="1"/>
    </xf>
    <xf numFmtId="0" fontId="65" fillId="14" borderId="6" xfId="0" applyFont="1" applyFill="1" applyBorder="1" applyAlignment="1">
      <alignment horizontal="center" vertical="center" wrapText="1"/>
    </xf>
    <xf numFmtId="0" fontId="50" fillId="14" borderId="4" xfId="0" applyFont="1" applyFill="1" applyBorder="1" applyAlignment="1">
      <alignment horizontal="center" vertical="center" wrapText="1"/>
    </xf>
    <xf numFmtId="0" fontId="50" fillId="14" borderId="6" xfId="0" applyFont="1" applyFill="1" applyBorder="1" applyAlignment="1">
      <alignment horizontal="center" vertical="center" wrapText="1"/>
    </xf>
    <xf numFmtId="0" fontId="60" fillId="0" borderId="39" xfId="0" applyFont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wrapText="1"/>
    </xf>
    <xf numFmtId="0" fontId="32" fillId="12" borderId="6" xfId="0" applyFont="1" applyFill="1" applyBorder="1" applyAlignment="1">
      <alignment horizontal="center" wrapText="1"/>
    </xf>
    <xf numFmtId="166" fontId="22" fillId="3" borderId="4" xfId="0" applyNumberFormat="1" applyFont="1" applyFill="1" applyBorder="1" applyAlignment="1">
      <alignment horizontal="center" vertical="center" wrapText="1"/>
    </xf>
    <xf numFmtId="166" fontId="22" fillId="3" borderId="6" xfId="0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/>
    </xf>
    <xf numFmtId="0" fontId="41" fillId="0" borderId="0" xfId="0" applyFont="1" applyAlignment="1">
      <alignment horizontal="center" vertical="center"/>
    </xf>
    <xf numFmtId="0" fontId="30" fillId="13" borderId="10" xfId="0" applyFont="1" applyFill="1" applyBorder="1" applyAlignment="1">
      <alignment horizontal="center" vertical="center" wrapText="1"/>
    </xf>
    <xf numFmtId="0" fontId="30" fillId="13" borderId="3" xfId="0" applyFont="1" applyFill="1" applyBorder="1" applyAlignment="1">
      <alignment horizontal="center" vertical="center" wrapText="1"/>
    </xf>
    <xf numFmtId="166" fontId="30" fillId="13" borderId="4" xfId="0" applyNumberFormat="1" applyFont="1" applyFill="1" applyBorder="1" applyAlignment="1">
      <alignment horizontal="center" vertical="center" wrapText="1"/>
    </xf>
    <xf numFmtId="166" fontId="30" fillId="13" borderId="6" xfId="0" applyNumberFormat="1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30" fillId="15" borderId="10" xfId="0" applyFont="1" applyFill="1" applyBorder="1" applyAlignment="1">
      <alignment horizontal="center" vertical="center" wrapText="1"/>
    </xf>
    <xf numFmtId="0" fontId="30" fillId="15" borderId="3" xfId="0" applyFont="1" applyFill="1" applyBorder="1" applyAlignment="1">
      <alignment horizontal="center" vertical="center" wrapText="1"/>
    </xf>
    <xf numFmtId="166" fontId="30" fillId="15" borderId="20" xfId="0" applyNumberFormat="1" applyFont="1" applyFill="1" applyBorder="1" applyAlignment="1">
      <alignment horizontal="center" vertical="center" wrapText="1"/>
    </xf>
    <xf numFmtId="166" fontId="30" fillId="15" borderId="2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</cellXfs>
  <cellStyles count="9">
    <cellStyle name="Incorrecto" xfId="8" builtinId="27"/>
    <cellStyle name="Moneda" xfId="1" builtinId="4"/>
    <cellStyle name="Normal" xfId="0" builtinId="0"/>
    <cellStyle name="Normal 2" xfId="3" xr:uid="{9752DC41-AFED-4B8A-9DB4-2A7C806C97B5}"/>
    <cellStyle name="Normal 3" xfId="4" xr:uid="{BB5E7693-D5EE-4027-B3FB-C7E3695C086B}"/>
    <cellStyle name="Normal 3 2" xfId="6" xr:uid="{E8C8EA43-528D-454B-A145-F37D8274E7DB}"/>
    <cellStyle name="Normal 4" xfId="5" xr:uid="{20645EBC-87A0-4092-A343-5F6E9E16DC0C}"/>
    <cellStyle name="Porcentaje" xfId="2" builtinId="5"/>
    <cellStyle name="Porcentaje 2" xfId="7" xr:uid="{62D9285F-05D0-47E5-81A1-95113F15E1B7}"/>
  </cellStyles>
  <dxfs count="4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strike val="0"/>
        <color theme="9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strike val="0"/>
        <color theme="9" tint="-0.24994659260841701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strike val="0"/>
        <color theme="9" tint="-0.24994659260841701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strike val="0"/>
        <color theme="9" tint="-0.24994659260841701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</dxf>
    <dxf>
      <font>
        <b/>
        <i val="0"/>
        <color theme="5" tint="-0.499984740745262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D6D"/>
      <color rgb="FFFF7C80"/>
      <color rgb="FF7EF965"/>
      <color rgb="FFFF66CC"/>
      <color rgb="FFFFCC66"/>
      <color rgb="FFFFCC00"/>
      <color rgb="FFFFFC78"/>
      <color rgb="FF33CCFF"/>
      <color rgb="FF258F2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Violet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tupiel.darsistemas.com/consulta/34410" TargetMode="External"/><Relationship Id="rId21" Type="http://schemas.openxmlformats.org/officeDocument/2006/relationships/hyperlink" Target="https://tupiel.darsistemas.com/consulta/34430" TargetMode="External"/><Relationship Id="rId324" Type="http://schemas.openxmlformats.org/officeDocument/2006/relationships/hyperlink" Target="https://tupiel.darsistemas.com/consulta_cups/costos/action?id=26422" TargetMode="External"/><Relationship Id="rId531" Type="http://schemas.openxmlformats.org/officeDocument/2006/relationships/hyperlink" Target="https://tupiel.darsistemas.com/consulta/36637" TargetMode="External"/><Relationship Id="rId170" Type="http://schemas.openxmlformats.org/officeDocument/2006/relationships/hyperlink" Target="https://tupiel.darsistemas.com/consulta_cups/costos/action?id=25528" TargetMode="External"/><Relationship Id="rId268" Type="http://schemas.openxmlformats.org/officeDocument/2006/relationships/hyperlink" Target="https://tupiel.darsistemas.com/consulta_cups/costos/action?id=26102" TargetMode="External"/><Relationship Id="rId475" Type="http://schemas.openxmlformats.org/officeDocument/2006/relationships/hyperlink" Target="https://tupiel.darsistemas.com/consulta/36604" TargetMode="External"/><Relationship Id="rId32" Type="http://schemas.openxmlformats.org/officeDocument/2006/relationships/hyperlink" Target="https://tupiel.darsistemas.com/consulta_cups/costos/action?id=23739" TargetMode="External"/><Relationship Id="rId128" Type="http://schemas.openxmlformats.org/officeDocument/2006/relationships/hyperlink" Target="https://tupiel.darsistemas.com/consulta_cups/costos/action?id=25368" TargetMode="External"/><Relationship Id="rId335" Type="http://schemas.openxmlformats.org/officeDocument/2006/relationships/hyperlink" Target="https://tupiel.darsistemas.com/consulta/36397" TargetMode="External"/><Relationship Id="rId542" Type="http://schemas.openxmlformats.org/officeDocument/2006/relationships/hyperlink" Target="https://tupiel.darsistemas.com/consulta_cups/costos/action?id=26881" TargetMode="External"/><Relationship Id="rId181" Type="http://schemas.openxmlformats.org/officeDocument/2006/relationships/hyperlink" Target="https://tupiel.darsistemas.com/consulta/35963" TargetMode="External"/><Relationship Id="rId402" Type="http://schemas.openxmlformats.org/officeDocument/2006/relationships/hyperlink" Target="https://tupiel.darsistemas.com/consulta_cups/costos/action?id=26692" TargetMode="External"/><Relationship Id="rId279" Type="http://schemas.openxmlformats.org/officeDocument/2006/relationships/hyperlink" Target="https://tupiel.darsistemas.com/consulta/36236" TargetMode="External"/><Relationship Id="rId486" Type="http://schemas.openxmlformats.org/officeDocument/2006/relationships/hyperlink" Target="https://tupiel.darsistemas.com/consulta_cups/costos/action?id=26829" TargetMode="External"/><Relationship Id="rId43" Type="http://schemas.openxmlformats.org/officeDocument/2006/relationships/hyperlink" Target="https://tupiel.darsistemas.com/consulta/28033" TargetMode="External"/><Relationship Id="rId139" Type="http://schemas.openxmlformats.org/officeDocument/2006/relationships/hyperlink" Target="https://tupiel.darsistemas.com/consulta/22718" TargetMode="External"/><Relationship Id="rId346" Type="http://schemas.openxmlformats.org/officeDocument/2006/relationships/hyperlink" Target="https://tupiel.darsistemas.com/consulta_cups/costos/action?id=26477" TargetMode="External"/><Relationship Id="rId85" Type="http://schemas.openxmlformats.org/officeDocument/2006/relationships/hyperlink" Target="https://tupiel.darsistemas.com/consulta/34098" TargetMode="External"/><Relationship Id="rId150" Type="http://schemas.openxmlformats.org/officeDocument/2006/relationships/hyperlink" Target="https://tupiel.darsistemas.com/consulta_cups/costos/action?id=25424" TargetMode="External"/><Relationship Id="rId192" Type="http://schemas.openxmlformats.org/officeDocument/2006/relationships/hyperlink" Target="https://tupiel.darsistemas.com/consulta_cups/costos/action?id=25734" TargetMode="External"/><Relationship Id="rId206" Type="http://schemas.openxmlformats.org/officeDocument/2006/relationships/hyperlink" Target="https://tupiel.darsistemas.com/consulta_cups/costos/action?id=25784" TargetMode="External"/><Relationship Id="rId413" Type="http://schemas.openxmlformats.org/officeDocument/2006/relationships/hyperlink" Target="https://tupiel.darsistemas.com/consulta/36541" TargetMode="External"/><Relationship Id="rId248" Type="http://schemas.openxmlformats.org/officeDocument/2006/relationships/hyperlink" Target="https://tupiel.darsistemas.com/consulta_cups/costos/action?id=26042" TargetMode="External"/><Relationship Id="rId455" Type="http://schemas.openxmlformats.org/officeDocument/2006/relationships/hyperlink" Target="https://tupiel.darsistemas.com/consulta/36592" TargetMode="External"/><Relationship Id="rId497" Type="http://schemas.openxmlformats.org/officeDocument/2006/relationships/hyperlink" Target="https://tupiel.darsistemas.com/consulta/36617" TargetMode="External"/><Relationship Id="rId12" Type="http://schemas.openxmlformats.org/officeDocument/2006/relationships/hyperlink" Target="https://tupiel.darsistemas.com/consulta_cups/costos/action?id=21321" TargetMode="External"/><Relationship Id="rId108" Type="http://schemas.openxmlformats.org/officeDocument/2006/relationships/hyperlink" Target="https://tupiel.darsistemas.com/consulta_cups/costos/action?id=25300" TargetMode="External"/><Relationship Id="rId315" Type="http://schemas.openxmlformats.org/officeDocument/2006/relationships/hyperlink" Target="https://tupiel.darsistemas.com/consulta/36353" TargetMode="External"/><Relationship Id="rId357" Type="http://schemas.openxmlformats.org/officeDocument/2006/relationships/hyperlink" Target="https://tupiel.darsistemas.com/consulta/36447" TargetMode="External"/><Relationship Id="rId522" Type="http://schemas.openxmlformats.org/officeDocument/2006/relationships/hyperlink" Target="https://tupiel.darsistemas.com/consulta_cups/costos/action?id=26865" TargetMode="External"/><Relationship Id="rId54" Type="http://schemas.openxmlformats.org/officeDocument/2006/relationships/hyperlink" Target="https://tupiel.darsistemas.com/consulta_cups/costos/action?id=24515" TargetMode="External"/><Relationship Id="rId96" Type="http://schemas.openxmlformats.org/officeDocument/2006/relationships/hyperlink" Target="https://tupiel.darsistemas.com/consulta_cups/costos/action?id=25103" TargetMode="External"/><Relationship Id="rId161" Type="http://schemas.openxmlformats.org/officeDocument/2006/relationships/hyperlink" Target="https://tupiel.darsistemas.com/consulta/35157" TargetMode="External"/><Relationship Id="rId217" Type="http://schemas.openxmlformats.org/officeDocument/2006/relationships/hyperlink" Target="https://tupiel.darsistemas.com/consulta/36076" TargetMode="External"/><Relationship Id="rId399" Type="http://schemas.openxmlformats.org/officeDocument/2006/relationships/hyperlink" Target="https://tupiel.darsistemas.com/consulta/36529" TargetMode="External"/><Relationship Id="rId259" Type="http://schemas.openxmlformats.org/officeDocument/2006/relationships/hyperlink" Target="https://tupiel.darsistemas.com/consulta/33334" TargetMode="External"/><Relationship Id="rId424" Type="http://schemas.openxmlformats.org/officeDocument/2006/relationships/hyperlink" Target="https://tupiel.darsistemas.com/consulta_cups/costos/action?id=26729" TargetMode="External"/><Relationship Id="rId466" Type="http://schemas.openxmlformats.org/officeDocument/2006/relationships/hyperlink" Target="https://tupiel.darsistemas.com/consulta_cups/costos/action?id=26806" TargetMode="External"/><Relationship Id="rId23" Type="http://schemas.openxmlformats.org/officeDocument/2006/relationships/hyperlink" Target="https://tupiel.darsistemas.com/consulta/34430" TargetMode="External"/><Relationship Id="rId119" Type="http://schemas.openxmlformats.org/officeDocument/2006/relationships/hyperlink" Target="https://tupiel.darsistemas.com/consulta/28087" TargetMode="External"/><Relationship Id="rId270" Type="http://schemas.openxmlformats.org/officeDocument/2006/relationships/hyperlink" Target="https://tupiel.darsistemas.com/consulta_cups/costos/action?id=26110" TargetMode="External"/><Relationship Id="rId326" Type="http://schemas.openxmlformats.org/officeDocument/2006/relationships/hyperlink" Target="https://tupiel.darsistemas.com/consulta_cups/costos/action?id=26427" TargetMode="External"/><Relationship Id="rId533" Type="http://schemas.openxmlformats.org/officeDocument/2006/relationships/hyperlink" Target="https://tupiel.darsistemas.com/consulta/36639" TargetMode="External"/><Relationship Id="rId65" Type="http://schemas.openxmlformats.org/officeDocument/2006/relationships/hyperlink" Target="https://tupiel.darsistemas.com/consulta/34446" TargetMode="External"/><Relationship Id="rId130" Type="http://schemas.openxmlformats.org/officeDocument/2006/relationships/hyperlink" Target="https://tupiel.darsistemas.com/consulta_cups/costos/action?id=25375" TargetMode="External"/><Relationship Id="rId368" Type="http://schemas.openxmlformats.org/officeDocument/2006/relationships/hyperlink" Target="https://tupiel.darsistemas.com/consulta_cups/costos/action?id=26571" TargetMode="External"/><Relationship Id="rId172" Type="http://schemas.openxmlformats.org/officeDocument/2006/relationships/hyperlink" Target="https://tupiel.darsistemas.com/consulta_cups/costos/action?id=25550" TargetMode="External"/><Relationship Id="rId228" Type="http://schemas.openxmlformats.org/officeDocument/2006/relationships/hyperlink" Target="https://tupiel.darsistemas.com/consulta_cups/costos/action?id=25881" TargetMode="External"/><Relationship Id="rId435" Type="http://schemas.openxmlformats.org/officeDocument/2006/relationships/hyperlink" Target="https://tupiel.darsistemas.com/consulta/36566" TargetMode="External"/><Relationship Id="rId477" Type="http://schemas.openxmlformats.org/officeDocument/2006/relationships/hyperlink" Target="https://tupiel.darsistemas.com/consulta/36607" TargetMode="External"/><Relationship Id="rId281" Type="http://schemas.openxmlformats.org/officeDocument/2006/relationships/hyperlink" Target="https://tupiel.darsistemas.com/consulta/36241" TargetMode="External"/><Relationship Id="rId337" Type="http://schemas.openxmlformats.org/officeDocument/2006/relationships/hyperlink" Target="https://tupiel.darsistemas.com/consulta/36405" TargetMode="External"/><Relationship Id="rId502" Type="http://schemas.openxmlformats.org/officeDocument/2006/relationships/hyperlink" Target="https://tupiel.darsistemas.com/consulta_cups/costos/action?id=26839" TargetMode="External"/><Relationship Id="rId34" Type="http://schemas.openxmlformats.org/officeDocument/2006/relationships/hyperlink" Target="https://tupiel.darsistemas.com/consulta_cups/costos/action?id=23908" TargetMode="External"/><Relationship Id="rId76" Type="http://schemas.openxmlformats.org/officeDocument/2006/relationships/hyperlink" Target="https://tupiel.darsistemas.com/consulta_cups/costos/action?id=24922" TargetMode="External"/><Relationship Id="rId141" Type="http://schemas.openxmlformats.org/officeDocument/2006/relationships/hyperlink" Target="https://tupiel.darsistemas.com/consulta/35820" TargetMode="External"/><Relationship Id="rId379" Type="http://schemas.openxmlformats.org/officeDocument/2006/relationships/hyperlink" Target="https://tupiel.darsistemas.com/consulta/36494" TargetMode="External"/><Relationship Id="rId7" Type="http://schemas.openxmlformats.org/officeDocument/2006/relationships/hyperlink" Target="https://tupiel.darsistemas.com/consulta/30702" TargetMode="External"/><Relationship Id="rId183" Type="http://schemas.openxmlformats.org/officeDocument/2006/relationships/hyperlink" Target="https://tupiel.darsistemas.com/consulta/26298" TargetMode="External"/><Relationship Id="rId239" Type="http://schemas.openxmlformats.org/officeDocument/2006/relationships/hyperlink" Target="https://tupiel.darsistemas.com/consulta/36161" TargetMode="External"/><Relationship Id="rId390" Type="http://schemas.openxmlformats.org/officeDocument/2006/relationships/hyperlink" Target="https://tupiel.darsistemas.com/consulta_cups/costos/action?id=26671" TargetMode="External"/><Relationship Id="rId404" Type="http://schemas.openxmlformats.org/officeDocument/2006/relationships/hyperlink" Target="https://tupiel.darsistemas.com/consulta_cups/costos/action?id=26693" TargetMode="External"/><Relationship Id="rId446" Type="http://schemas.openxmlformats.org/officeDocument/2006/relationships/hyperlink" Target="https://tupiel.darsistemas.com/consulta_cups/costos/action?id=26766" TargetMode="External"/><Relationship Id="rId250" Type="http://schemas.openxmlformats.org/officeDocument/2006/relationships/hyperlink" Target="https://tupiel.darsistemas.com/consulta_cups/costos/action?id=26061" TargetMode="External"/><Relationship Id="rId292" Type="http://schemas.openxmlformats.org/officeDocument/2006/relationships/hyperlink" Target="https://tupiel.darsistemas.com/consulta_cups/costos/action?id=26221" TargetMode="External"/><Relationship Id="rId306" Type="http://schemas.openxmlformats.org/officeDocument/2006/relationships/hyperlink" Target="https://tupiel.darsistemas.com/consulta_cups/costos/action?id=26290" TargetMode="External"/><Relationship Id="rId488" Type="http://schemas.openxmlformats.org/officeDocument/2006/relationships/hyperlink" Target="https://tupiel.darsistemas.com/consulta_cups/costos/action?id=26830" TargetMode="External"/><Relationship Id="rId45" Type="http://schemas.openxmlformats.org/officeDocument/2006/relationships/hyperlink" Target="https://tupiel.darsistemas.com/consulta/35160" TargetMode="External"/><Relationship Id="rId87" Type="http://schemas.openxmlformats.org/officeDocument/2006/relationships/hyperlink" Target="https://tupiel.darsistemas.com/consulta/35630" TargetMode="External"/><Relationship Id="rId110" Type="http://schemas.openxmlformats.org/officeDocument/2006/relationships/hyperlink" Target="https://tupiel.darsistemas.com/consulta_cups/costos/action?id=25301" TargetMode="External"/><Relationship Id="rId348" Type="http://schemas.openxmlformats.org/officeDocument/2006/relationships/hyperlink" Target="https://tupiel.darsistemas.com/consulta_cups/costos/action?id=26484" TargetMode="External"/><Relationship Id="rId513" Type="http://schemas.openxmlformats.org/officeDocument/2006/relationships/hyperlink" Target="https://tupiel.darsistemas.com/consulta/36629" TargetMode="External"/><Relationship Id="rId152" Type="http://schemas.openxmlformats.org/officeDocument/2006/relationships/hyperlink" Target="https://tupiel.darsistemas.com/consulta_cups/costos/action?id=25425" TargetMode="External"/><Relationship Id="rId194" Type="http://schemas.openxmlformats.org/officeDocument/2006/relationships/hyperlink" Target="https://tupiel.darsistemas.com/consulta_cups/costos/action?id=25737" TargetMode="External"/><Relationship Id="rId208" Type="http://schemas.openxmlformats.org/officeDocument/2006/relationships/hyperlink" Target="https://tupiel.darsistemas.com/consulta_cups/costos/action?id=25802" TargetMode="External"/><Relationship Id="rId415" Type="http://schemas.openxmlformats.org/officeDocument/2006/relationships/hyperlink" Target="https://tupiel.darsistemas.com/consulta/36543" TargetMode="External"/><Relationship Id="rId457" Type="http://schemas.openxmlformats.org/officeDocument/2006/relationships/hyperlink" Target="https://tupiel.darsistemas.com/consulta/26644" TargetMode="External"/><Relationship Id="rId261" Type="http://schemas.openxmlformats.org/officeDocument/2006/relationships/hyperlink" Target="https://tupiel.darsistemas.com/consulta/34191" TargetMode="External"/><Relationship Id="rId499" Type="http://schemas.openxmlformats.org/officeDocument/2006/relationships/hyperlink" Target="https://tupiel.darsistemas.com/consulta/36617" TargetMode="External"/><Relationship Id="rId14" Type="http://schemas.openxmlformats.org/officeDocument/2006/relationships/hyperlink" Target="https://tupiel.darsistemas.com/consulta_cups/costos/action?id=21442" TargetMode="External"/><Relationship Id="rId56" Type="http://schemas.openxmlformats.org/officeDocument/2006/relationships/hyperlink" Target="https://tupiel.darsistemas.com/consulta_cups/costos/action?id=24574" TargetMode="External"/><Relationship Id="rId317" Type="http://schemas.openxmlformats.org/officeDocument/2006/relationships/hyperlink" Target="https://tupiel.darsistemas.com/consulta/36357" TargetMode="External"/><Relationship Id="rId359" Type="http://schemas.openxmlformats.org/officeDocument/2006/relationships/hyperlink" Target="https://tupiel.darsistemas.com/consulta/36451" TargetMode="External"/><Relationship Id="rId524" Type="http://schemas.openxmlformats.org/officeDocument/2006/relationships/hyperlink" Target="https://tupiel.darsistemas.com/consulta_cups/costos/action?id=26866" TargetMode="External"/><Relationship Id="rId98" Type="http://schemas.openxmlformats.org/officeDocument/2006/relationships/hyperlink" Target="https://tupiel.darsistemas.com/consulta_cups/costos/action?id=25164" TargetMode="External"/><Relationship Id="rId121" Type="http://schemas.openxmlformats.org/officeDocument/2006/relationships/hyperlink" Target="https://tupiel.darsistemas.com/consulta/33357" TargetMode="External"/><Relationship Id="rId163" Type="http://schemas.openxmlformats.org/officeDocument/2006/relationships/hyperlink" Target="https://tupiel.darsistemas.com/consulta/35881" TargetMode="External"/><Relationship Id="rId219" Type="http://schemas.openxmlformats.org/officeDocument/2006/relationships/hyperlink" Target="https://tupiel.darsistemas.com/consulta/36084" TargetMode="External"/><Relationship Id="rId370" Type="http://schemas.openxmlformats.org/officeDocument/2006/relationships/hyperlink" Target="https://tupiel.darsistemas.com/consulta_cups/costos/action?id=26572" TargetMode="External"/><Relationship Id="rId426" Type="http://schemas.openxmlformats.org/officeDocument/2006/relationships/hyperlink" Target="https://tupiel.darsistemas.com/consulta_cups/costos/action?id=26734" TargetMode="External"/><Relationship Id="rId230" Type="http://schemas.openxmlformats.org/officeDocument/2006/relationships/hyperlink" Target="https://tupiel.darsistemas.com/consulta_cups/costos/action?id=25886" TargetMode="External"/><Relationship Id="rId468" Type="http://schemas.openxmlformats.org/officeDocument/2006/relationships/hyperlink" Target="https://tupiel.darsistemas.com/consulta_cups/costos/action?id=26807" TargetMode="External"/><Relationship Id="rId25" Type="http://schemas.openxmlformats.org/officeDocument/2006/relationships/hyperlink" Target="https://tupiel.darsistemas.com/consulta/34617" TargetMode="External"/><Relationship Id="rId67" Type="http://schemas.openxmlformats.org/officeDocument/2006/relationships/hyperlink" Target="https://tupiel.darsistemas.com/consulta/35543" TargetMode="External"/><Relationship Id="rId272" Type="http://schemas.openxmlformats.org/officeDocument/2006/relationships/hyperlink" Target="https://tupiel.darsistemas.com/consulta_cups/costos/action?id=26113" TargetMode="External"/><Relationship Id="rId328" Type="http://schemas.openxmlformats.org/officeDocument/2006/relationships/hyperlink" Target="https://tupiel.darsistemas.com/consulta_cups/costos/action?id=26429" TargetMode="External"/><Relationship Id="rId535" Type="http://schemas.openxmlformats.org/officeDocument/2006/relationships/hyperlink" Target="https://tupiel.darsistemas.com/consulta/36641" TargetMode="External"/><Relationship Id="rId132" Type="http://schemas.openxmlformats.org/officeDocument/2006/relationships/hyperlink" Target="https://tupiel.darsistemas.com/consulta_cups/costos/action?id=25376" TargetMode="External"/><Relationship Id="rId174" Type="http://schemas.openxmlformats.org/officeDocument/2006/relationships/hyperlink" Target="https://tupiel.darsistemas.com/consulta_cups/costos/action?id=25552" TargetMode="External"/><Relationship Id="rId381" Type="http://schemas.openxmlformats.org/officeDocument/2006/relationships/hyperlink" Target="https://tupiel.darsistemas.com/consulta/36502" TargetMode="External"/><Relationship Id="rId241" Type="http://schemas.openxmlformats.org/officeDocument/2006/relationships/hyperlink" Target="https://tupiel.darsistemas.com/consulta/36162" TargetMode="External"/><Relationship Id="rId437" Type="http://schemas.openxmlformats.org/officeDocument/2006/relationships/hyperlink" Target="https://tupiel.darsistemas.com/consulta/36567" TargetMode="External"/><Relationship Id="rId479" Type="http://schemas.openxmlformats.org/officeDocument/2006/relationships/hyperlink" Target="https://tupiel.darsistemas.com/consulta/36609" TargetMode="External"/><Relationship Id="rId36" Type="http://schemas.openxmlformats.org/officeDocument/2006/relationships/hyperlink" Target="https://tupiel.darsistemas.com/consulta_cups/costos/action?id=24096" TargetMode="External"/><Relationship Id="rId283" Type="http://schemas.openxmlformats.org/officeDocument/2006/relationships/hyperlink" Target="https://tupiel.darsistemas.com/consulta/36255" TargetMode="External"/><Relationship Id="rId339" Type="http://schemas.openxmlformats.org/officeDocument/2006/relationships/hyperlink" Target="https://tupiel.darsistemas.com/consulta/36405" TargetMode="External"/><Relationship Id="rId490" Type="http://schemas.openxmlformats.org/officeDocument/2006/relationships/hyperlink" Target="https://tupiel.darsistemas.com/consulta_cups/costos/action?id=26831" TargetMode="External"/><Relationship Id="rId504" Type="http://schemas.openxmlformats.org/officeDocument/2006/relationships/hyperlink" Target="https://tupiel.darsistemas.com/consulta_cups/costos/action?id=26846" TargetMode="External"/><Relationship Id="rId78" Type="http://schemas.openxmlformats.org/officeDocument/2006/relationships/hyperlink" Target="https://tupiel.darsistemas.com/consulta_cups/costos/action?id=24954" TargetMode="External"/><Relationship Id="rId101" Type="http://schemas.openxmlformats.org/officeDocument/2006/relationships/hyperlink" Target="https://tupiel.darsistemas.com/consulta/35759" TargetMode="External"/><Relationship Id="rId143" Type="http://schemas.openxmlformats.org/officeDocument/2006/relationships/hyperlink" Target="https://tupiel.darsistemas.com/consulta/31005" TargetMode="External"/><Relationship Id="rId185" Type="http://schemas.openxmlformats.org/officeDocument/2006/relationships/hyperlink" Target="https://tupiel.darsistemas.com/consulta/35531" TargetMode="External"/><Relationship Id="rId350" Type="http://schemas.openxmlformats.org/officeDocument/2006/relationships/hyperlink" Target="https://tupiel.darsistemas.com/consulta_cups/costos/action?id=26510" TargetMode="External"/><Relationship Id="rId406" Type="http://schemas.openxmlformats.org/officeDocument/2006/relationships/hyperlink" Target="https://tupiel.darsistemas.com/consulta_cups/costos/action?id=26694" TargetMode="External"/><Relationship Id="rId9" Type="http://schemas.openxmlformats.org/officeDocument/2006/relationships/hyperlink" Target="https://tupiel.darsistemas.com/consulta/32356" TargetMode="External"/><Relationship Id="rId210" Type="http://schemas.openxmlformats.org/officeDocument/2006/relationships/hyperlink" Target="https://tupiel.darsistemas.com/consulta_cups/costos/action?id=25803" TargetMode="External"/><Relationship Id="rId392" Type="http://schemas.openxmlformats.org/officeDocument/2006/relationships/hyperlink" Target="https://tupiel.darsistemas.com/consulta_cups/costos/action?id=26676" TargetMode="External"/><Relationship Id="rId448" Type="http://schemas.openxmlformats.org/officeDocument/2006/relationships/hyperlink" Target="https://tupiel.darsistemas.com/consulta_cups/costos/action?id=26777" TargetMode="External"/><Relationship Id="rId252" Type="http://schemas.openxmlformats.org/officeDocument/2006/relationships/hyperlink" Target="https://tupiel.darsistemas.com/consulta_cups/costos/action?id=26067" TargetMode="External"/><Relationship Id="rId294" Type="http://schemas.openxmlformats.org/officeDocument/2006/relationships/hyperlink" Target="https://tupiel.darsistemas.com/consulta_cups/costos/action?id=26225" TargetMode="External"/><Relationship Id="rId308" Type="http://schemas.openxmlformats.org/officeDocument/2006/relationships/hyperlink" Target="https://tupiel.darsistemas.com/consulta_cups/costos/action?id=26297" TargetMode="External"/><Relationship Id="rId515" Type="http://schemas.openxmlformats.org/officeDocument/2006/relationships/hyperlink" Target="https://tupiel.darsistemas.com/consulta/36632" TargetMode="External"/><Relationship Id="rId47" Type="http://schemas.openxmlformats.org/officeDocument/2006/relationships/hyperlink" Target="https://tupiel.darsistemas.com/consulta/35206" TargetMode="External"/><Relationship Id="rId89" Type="http://schemas.openxmlformats.org/officeDocument/2006/relationships/hyperlink" Target="https://tupiel.darsistemas.com/consulta/29461" TargetMode="External"/><Relationship Id="rId112" Type="http://schemas.openxmlformats.org/officeDocument/2006/relationships/hyperlink" Target="https://tupiel.darsistemas.com/consulta_cups/costos/action?id=25307" TargetMode="External"/><Relationship Id="rId154" Type="http://schemas.openxmlformats.org/officeDocument/2006/relationships/hyperlink" Target="https://tupiel.darsistemas.com/consulta_cups/costos/action?id=25429" TargetMode="External"/><Relationship Id="rId361" Type="http://schemas.openxmlformats.org/officeDocument/2006/relationships/hyperlink" Target="https://tupiel.darsistemas.com/consulta/36457" TargetMode="External"/><Relationship Id="rId196" Type="http://schemas.openxmlformats.org/officeDocument/2006/relationships/hyperlink" Target="https://tupiel.darsistemas.com/consulta_cups/costos/action?id=25738" TargetMode="External"/><Relationship Id="rId417" Type="http://schemas.openxmlformats.org/officeDocument/2006/relationships/hyperlink" Target="https://tupiel.darsistemas.com/consulta/36544" TargetMode="External"/><Relationship Id="rId459" Type="http://schemas.openxmlformats.org/officeDocument/2006/relationships/hyperlink" Target="https://tupiel.darsistemas.com/consulta/36596" TargetMode="External"/><Relationship Id="rId16" Type="http://schemas.openxmlformats.org/officeDocument/2006/relationships/hyperlink" Target="https://tupiel.darsistemas.com/consulta_cups/costos/action?id=21585" TargetMode="External"/><Relationship Id="rId221" Type="http://schemas.openxmlformats.org/officeDocument/2006/relationships/hyperlink" Target="https://tupiel.darsistemas.com/consulta/36088" TargetMode="External"/><Relationship Id="rId263" Type="http://schemas.openxmlformats.org/officeDocument/2006/relationships/hyperlink" Target="https://tupiel.darsistemas.com/consulta/34191" TargetMode="External"/><Relationship Id="rId319" Type="http://schemas.openxmlformats.org/officeDocument/2006/relationships/hyperlink" Target="https://tupiel.darsistemas.com/consulta/36375" TargetMode="External"/><Relationship Id="rId470" Type="http://schemas.openxmlformats.org/officeDocument/2006/relationships/hyperlink" Target="https://tupiel.darsistemas.com/consulta_cups/costos/action?id=26809" TargetMode="External"/><Relationship Id="rId526" Type="http://schemas.openxmlformats.org/officeDocument/2006/relationships/hyperlink" Target="https://tupiel.darsistemas.com/consulta_cups/costos/action?id=26869" TargetMode="External"/><Relationship Id="rId58" Type="http://schemas.openxmlformats.org/officeDocument/2006/relationships/hyperlink" Target="https://tupiel.darsistemas.com/consulta_cups/costos/action?id=24709" TargetMode="External"/><Relationship Id="rId123" Type="http://schemas.openxmlformats.org/officeDocument/2006/relationships/hyperlink" Target="https://tupiel.darsistemas.com/consulta/28721" TargetMode="External"/><Relationship Id="rId330" Type="http://schemas.openxmlformats.org/officeDocument/2006/relationships/hyperlink" Target="https://tupiel.darsistemas.com/consulta_cups/costos/action?id=26430" TargetMode="External"/><Relationship Id="rId165" Type="http://schemas.openxmlformats.org/officeDocument/2006/relationships/hyperlink" Target="https://tupiel.darsistemas.com/consulta/33141" TargetMode="External"/><Relationship Id="rId372" Type="http://schemas.openxmlformats.org/officeDocument/2006/relationships/hyperlink" Target="https://tupiel.darsistemas.com/consulta_cups/costos/action?id=26615" TargetMode="External"/><Relationship Id="rId428" Type="http://schemas.openxmlformats.org/officeDocument/2006/relationships/hyperlink" Target="https://tupiel.darsistemas.com/consulta_cups/costos/action?id=26741" TargetMode="External"/><Relationship Id="rId232" Type="http://schemas.openxmlformats.org/officeDocument/2006/relationships/hyperlink" Target="https://tupiel.darsistemas.com/consulta_cups/costos/action?id=25905" TargetMode="External"/><Relationship Id="rId274" Type="http://schemas.openxmlformats.org/officeDocument/2006/relationships/hyperlink" Target="https://tupiel.darsistemas.com/consulta_cups/costos/action?id=26126" TargetMode="External"/><Relationship Id="rId481" Type="http://schemas.openxmlformats.org/officeDocument/2006/relationships/hyperlink" Target="https://tupiel.darsistemas.com/consulta/36611" TargetMode="External"/><Relationship Id="rId27" Type="http://schemas.openxmlformats.org/officeDocument/2006/relationships/hyperlink" Target="https://tupiel.darsistemas.com/consulta/33360" TargetMode="External"/><Relationship Id="rId69" Type="http://schemas.openxmlformats.org/officeDocument/2006/relationships/hyperlink" Target="https://tupiel.darsistemas.com/consulta/25459" TargetMode="External"/><Relationship Id="rId134" Type="http://schemas.openxmlformats.org/officeDocument/2006/relationships/hyperlink" Target="https://tupiel.darsistemas.com/consulta_cups/costos/action?id=25378" TargetMode="External"/><Relationship Id="rId537" Type="http://schemas.openxmlformats.org/officeDocument/2006/relationships/hyperlink" Target="https://tupiel.darsistemas.com/consulta/36642" TargetMode="External"/><Relationship Id="rId80" Type="http://schemas.openxmlformats.org/officeDocument/2006/relationships/hyperlink" Target="https://tupiel.darsistemas.com/consulta_cups/costos/action?id=24955" TargetMode="External"/><Relationship Id="rId176" Type="http://schemas.openxmlformats.org/officeDocument/2006/relationships/hyperlink" Target="https://tupiel.darsistemas.com/consulta_cups/costos/action?id=25553" TargetMode="External"/><Relationship Id="rId341" Type="http://schemas.openxmlformats.org/officeDocument/2006/relationships/hyperlink" Target="https://tupiel.darsistemas.com/consulta/36405" TargetMode="External"/><Relationship Id="rId383" Type="http://schemas.openxmlformats.org/officeDocument/2006/relationships/hyperlink" Target="https://tupiel.darsistemas.com/consulta/36504" TargetMode="External"/><Relationship Id="rId439" Type="http://schemas.openxmlformats.org/officeDocument/2006/relationships/hyperlink" Target="https://tupiel.darsistemas.com/consulta/36568" TargetMode="External"/><Relationship Id="rId201" Type="http://schemas.openxmlformats.org/officeDocument/2006/relationships/hyperlink" Target="https://tupiel.darsistemas.com/consulta/36024" TargetMode="External"/><Relationship Id="rId243" Type="http://schemas.openxmlformats.org/officeDocument/2006/relationships/hyperlink" Target="https://tupiel.darsistemas.com/consulta/36165" TargetMode="External"/><Relationship Id="rId285" Type="http://schemas.openxmlformats.org/officeDocument/2006/relationships/hyperlink" Target="https://tupiel.darsistemas.com/consulta/36256" TargetMode="External"/><Relationship Id="rId450" Type="http://schemas.openxmlformats.org/officeDocument/2006/relationships/hyperlink" Target="https://tupiel.darsistemas.com/consulta_cups/costos/action?id=26778" TargetMode="External"/><Relationship Id="rId506" Type="http://schemas.openxmlformats.org/officeDocument/2006/relationships/hyperlink" Target="https://tupiel.darsistemas.com/consulta_cups/costos/action?id=26848" TargetMode="External"/><Relationship Id="rId38" Type="http://schemas.openxmlformats.org/officeDocument/2006/relationships/hyperlink" Target="https://tupiel.darsistemas.com/consulta_cups/costos/action?id=24097" TargetMode="External"/><Relationship Id="rId103" Type="http://schemas.openxmlformats.org/officeDocument/2006/relationships/hyperlink" Target="https://tupiel.darsistemas.com/consulta/27833" TargetMode="External"/><Relationship Id="rId310" Type="http://schemas.openxmlformats.org/officeDocument/2006/relationships/hyperlink" Target="https://tupiel.darsistemas.com/consulta_cups/costos/action?id=26299" TargetMode="External"/><Relationship Id="rId492" Type="http://schemas.openxmlformats.org/officeDocument/2006/relationships/hyperlink" Target="https://tupiel.darsistemas.com/consulta_cups/costos/action?id=26832" TargetMode="External"/><Relationship Id="rId91" Type="http://schemas.openxmlformats.org/officeDocument/2006/relationships/hyperlink" Target="https://tupiel.darsistemas.com/consulta/29461" TargetMode="External"/><Relationship Id="rId145" Type="http://schemas.openxmlformats.org/officeDocument/2006/relationships/hyperlink" Target="https://tupiel.darsistemas.com/consulta/31349" TargetMode="External"/><Relationship Id="rId187" Type="http://schemas.openxmlformats.org/officeDocument/2006/relationships/hyperlink" Target="https://tupiel.darsistemas.com/consulta/35995" TargetMode="External"/><Relationship Id="rId352" Type="http://schemas.openxmlformats.org/officeDocument/2006/relationships/hyperlink" Target="https://tupiel.darsistemas.com/consulta_cups/costos/action?id=26516" TargetMode="External"/><Relationship Id="rId394" Type="http://schemas.openxmlformats.org/officeDocument/2006/relationships/hyperlink" Target="https://tupiel.darsistemas.com/consulta_cups/costos/action?id=26682" TargetMode="External"/><Relationship Id="rId408" Type="http://schemas.openxmlformats.org/officeDocument/2006/relationships/hyperlink" Target="https://tupiel.darsistemas.com/consulta_cups/costos/action?id=26696" TargetMode="External"/><Relationship Id="rId212" Type="http://schemas.openxmlformats.org/officeDocument/2006/relationships/hyperlink" Target="https://tupiel.darsistemas.com/consulta_cups/costos/action?id=25806" TargetMode="External"/><Relationship Id="rId254" Type="http://schemas.openxmlformats.org/officeDocument/2006/relationships/hyperlink" Target="https://tupiel.darsistemas.com/consulta_cups/costos/action?id=26069" TargetMode="External"/><Relationship Id="rId49" Type="http://schemas.openxmlformats.org/officeDocument/2006/relationships/hyperlink" Target="https://tupiel.darsistemas.com/consulta/35135" TargetMode="External"/><Relationship Id="rId114" Type="http://schemas.openxmlformats.org/officeDocument/2006/relationships/hyperlink" Target="https://tupiel.darsistemas.com/consulta_cups/costos/action?id=25317" TargetMode="External"/><Relationship Id="rId296" Type="http://schemas.openxmlformats.org/officeDocument/2006/relationships/hyperlink" Target="https://tupiel.darsistemas.com/consulta_cups/costos/action?id=26226" TargetMode="External"/><Relationship Id="rId461" Type="http://schemas.openxmlformats.org/officeDocument/2006/relationships/hyperlink" Target="https://tupiel.darsistemas.com/consulta/36598" TargetMode="External"/><Relationship Id="rId517" Type="http://schemas.openxmlformats.org/officeDocument/2006/relationships/hyperlink" Target="https://tupiel.darsistemas.com/consulta/36633" TargetMode="External"/><Relationship Id="rId60" Type="http://schemas.openxmlformats.org/officeDocument/2006/relationships/hyperlink" Target="https://tupiel.darsistemas.com/consulta_cups/costos/action?id=24719" TargetMode="External"/><Relationship Id="rId156" Type="http://schemas.openxmlformats.org/officeDocument/2006/relationships/hyperlink" Target="https://tupiel.darsistemas.com/consulta_cups/costos/action?id=25452" TargetMode="External"/><Relationship Id="rId198" Type="http://schemas.openxmlformats.org/officeDocument/2006/relationships/hyperlink" Target="https://tupiel.darsistemas.com/consulta_cups/costos/action?id=25748" TargetMode="External"/><Relationship Id="rId321" Type="http://schemas.openxmlformats.org/officeDocument/2006/relationships/hyperlink" Target="https://tupiel.darsistemas.com/consulta/36375" TargetMode="External"/><Relationship Id="rId363" Type="http://schemas.openxmlformats.org/officeDocument/2006/relationships/hyperlink" Target="https://tupiel.darsistemas.com/consulta/36458" TargetMode="External"/><Relationship Id="rId419" Type="http://schemas.openxmlformats.org/officeDocument/2006/relationships/hyperlink" Target="https://tupiel.darsistemas.com/consulta/36546" TargetMode="External"/><Relationship Id="rId223" Type="http://schemas.openxmlformats.org/officeDocument/2006/relationships/hyperlink" Target="https://tupiel.darsistemas.com/consulta/36090" TargetMode="External"/><Relationship Id="rId430" Type="http://schemas.openxmlformats.org/officeDocument/2006/relationships/hyperlink" Target="https://tupiel.darsistemas.com/consulta_cups/costos/action?id=26742" TargetMode="External"/><Relationship Id="rId18" Type="http://schemas.openxmlformats.org/officeDocument/2006/relationships/hyperlink" Target="https://tupiel.darsistemas.com/consulta_cups/costos/action?id=22262" TargetMode="External"/><Relationship Id="rId265" Type="http://schemas.openxmlformats.org/officeDocument/2006/relationships/hyperlink" Target="https://tupiel.darsistemas.com/consulta/34191" TargetMode="External"/><Relationship Id="rId472" Type="http://schemas.openxmlformats.org/officeDocument/2006/relationships/hyperlink" Target="https://tupiel.darsistemas.com/consulta_cups/costos/action?id=26810" TargetMode="External"/><Relationship Id="rId528" Type="http://schemas.openxmlformats.org/officeDocument/2006/relationships/hyperlink" Target="https://tupiel.darsistemas.com/consulta_cups/costos/action?id=26870" TargetMode="External"/><Relationship Id="rId125" Type="http://schemas.openxmlformats.org/officeDocument/2006/relationships/hyperlink" Target="https://tupiel.darsistemas.com/consulta/28942" TargetMode="External"/><Relationship Id="rId167" Type="http://schemas.openxmlformats.org/officeDocument/2006/relationships/hyperlink" Target="https://tupiel.darsistemas.com/consulta/29275" TargetMode="External"/><Relationship Id="rId332" Type="http://schemas.openxmlformats.org/officeDocument/2006/relationships/hyperlink" Target="https://tupiel.darsistemas.com/consulta_cups/costos/action?id=26437" TargetMode="External"/><Relationship Id="rId374" Type="http://schemas.openxmlformats.org/officeDocument/2006/relationships/hyperlink" Target="https://tupiel.darsistemas.com/consulta_cups/costos/action?id=26616" TargetMode="External"/><Relationship Id="rId71" Type="http://schemas.openxmlformats.org/officeDocument/2006/relationships/hyperlink" Target="https://tupiel.darsistemas.com/consulta/32879" TargetMode="External"/><Relationship Id="rId234" Type="http://schemas.openxmlformats.org/officeDocument/2006/relationships/hyperlink" Target="https://tupiel.darsistemas.com/consulta_cups/costos/action?id=25923" TargetMode="External"/><Relationship Id="rId2" Type="http://schemas.openxmlformats.org/officeDocument/2006/relationships/hyperlink" Target="https://tupiel.darsistemas.com/consulta_cups/costos/action?id=6805" TargetMode="External"/><Relationship Id="rId29" Type="http://schemas.openxmlformats.org/officeDocument/2006/relationships/hyperlink" Target="https://tupiel.darsistemas.com/consulta/34710" TargetMode="External"/><Relationship Id="rId276" Type="http://schemas.openxmlformats.org/officeDocument/2006/relationships/hyperlink" Target="https://tupiel.darsistemas.com/consulta_cups/costos/action?id=26137" TargetMode="External"/><Relationship Id="rId441" Type="http://schemas.openxmlformats.org/officeDocument/2006/relationships/hyperlink" Target="https://tupiel.darsistemas.com/consulta/36571" TargetMode="External"/><Relationship Id="rId483" Type="http://schemas.openxmlformats.org/officeDocument/2006/relationships/hyperlink" Target="https://tupiel.darsistemas.com/consulta/36612" TargetMode="External"/><Relationship Id="rId539" Type="http://schemas.openxmlformats.org/officeDocument/2006/relationships/hyperlink" Target="https://tupiel.darsistemas.com/consulta/36643" TargetMode="External"/><Relationship Id="rId40" Type="http://schemas.openxmlformats.org/officeDocument/2006/relationships/hyperlink" Target="https://tupiel.darsistemas.com/consulta_cups/costos/action?id=24100" TargetMode="External"/><Relationship Id="rId136" Type="http://schemas.openxmlformats.org/officeDocument/2006/relationships/hyperlink" Target="https://tupiel.darsistemas.com/consulta_cups/costos/action?id=25381" TargetMode="External"/><Relationship Id="rId178" Type="http://schemas.openxmlformats.org/officeDocument/2006/relationships/hyperlink" Target="https://tupiel.darsistemas.com/consulta_cups/costos/action?id=25559" TargetMode="External"/><Relationship Id="rId301" Type="http://schemas.openxmlformats.org/officeDocument/2006/relationships/hyperlink" Target="https://tupiel.darsistemas.com/consulta/36305" TargetMode="External"/><Relationship Id="rId343" Type="http://schemas.openxmlformats.org/officeDocument/2006/relationships/hyperlink" Target="https://tupiel.darsistemas.com/consulta/36411" TargetMode="External"/><Relationship Id="rId82" Type="http://schemas.openxmlformats.org/officeDocument/2006/relationships/hyperlink" Target="https://tupiel.darsistemas.com/consulta_cups/costos/action?id=24971" TargetMode="External"/><Relationship Id="rId203" Type="http://schemas.openxmlformats.org/officeDocument/2006/relationships/hyperlink" Target="https://tupiel.darsistemas.com/consulta/32069" TargetMode="External"/><Relationship Id="rId385" Type="http://schemas.openxmlformats.org/officeDocument/2006/relationships/hyperlink" Target="https://tupiel.darsistemas.com/consulta/36509" TargetMode="External"/><Relationship Id="rId245" Type="http://schemas.openxmlformats.org/officeDocument/2006/relationships/hyperlink" Target="https://tupiel.darsistemas.com/consulta/36177" TargetMode="External"/><Relationship Id="rId287" Type="http://schemas.openxmlformats.org/officeDocument/2006/relationships/hyperlink" Target="https://tupiel.darsistemas.com/consulta/20151" TargetMode="External"/><Relationship Id="rId410" Type="http://schemas.openxmlformats.org/officeDocument/2006/relationships/hyperlink" Target="https://tupiel.darsistemas.com/consulta_cups/costos/action?id=26698" TargetMode="External"/><Relationship Id="rId452" Type="http://schemas.openxmlformats.org/officeDocument/2006/relationships/hyperlink" Target="https://tupiel.darsistemas.com/consulta_cups/costos/action?id=26783" TargetMode="External"/><Relationship Id="rId494" Type="http://schemas.openxmlformats.org/officeDocument/2006/relationships/hyperlink" Target="https://tupiel.darsistemas.com/consulta_cups/costos/action?id=26833" TargetMode="External"/><Relationship Id="rId508" Type="http://schemas.openxmlformats.org/officeDocument/2006/relationships/hyperlink" Target="https://tupiel.darsistemas.com/consulta_cups/costos/action?id=26851" TargetMode="External"/><Relationship Id="rId105" Type="http://schemas.openxmlformats.org/officeDocument/2006/relationships/hyperlink" Target="https://tupiel.darsistemas.com/consulta/35766" TargetMode="External"/><Relationship Id="rId147" Type="http://schemas.openxmlformats.org/officeDocument/2006/relationships/hyperlink" Target="https://tupiel.darsistemas.com/consulta/31349" TargetMode="External"/><Relationship Id="rId312" Type="http://schemas.openxmlformats.org/officeDocument/2006/relationships/hyperlink" Target="https://tupiel.darsistemas.com/consulta_cups/costos/action?id=26339" TargetMode="External"/><Relationship Id="rId354" Type="http://schemas.openxmlformats.org/officeDocument/2006/relationships/hyperlink" Target="https://tupiel.darsistemas.com/consulta_cups/costos/action?id=26517" TargetMode="External"/><Relationship Id="rId51" Type="http://schemas.openxmlformats.org/officeDocument/2006/relationships/hyperlink" Target="https://tupiel.darsistemas.com/consulta/35135" TargetMode="External"/><Relationship Id="rId93" Type="http://schemas.openxmlformats.org/officeDocument/2006/relationships/hyperlink" Target="https://tupiel.darsistemas.com/consulta/30220" TargetMode="External"/><Relationship Id="rId189" Type="http://schemas.openxmlformats.org/officeDocument/2006/relationships/hyperlink" Target="https://tupiel.darsistemas.com/consulta/35999" TargetMode="External"/><Relationship Id="rId396" Type="http://schemas.openxmlformats.org/officeDocument/2006/relationships/hyperlink" Target="https://tupiel.darsistemas.com/consulta_cups/costos/action?id=26683" TargetMode="External"/><Relationship Id="rId214" Type="http://schemas.openxmlformats.org/officeDocument/2006/relationships/hyperlink" Target="https://tupiel.darsistemas.com/consulta_cups/costos/action?id=25810" TargetMode="External"/><Relationship Id="rId256" Type="http://schemas.openxmlformats.org/officeDocument/2006/relationships/hyperlink" Target="https://tupiel.darsistemas.com/consulta_cups/costos/action?id=26078" TargetMode="External"/><Relationship Id="rId298" Type="http://schemas.openxmlformats.org/officeDocument/2006/relationships/hyperlink" Target="https://tupiel.darsistemas.com/consulta_cups/costos/action?id=26239" TargetMode="External"/><Relationship Id="rId421" Type="http://schemas.openxmlformats.org/officeDocument/2006/relationships/hyperlink" Target="https://tupiel.darsistemas.com/consulta/36547" TargetMode="External"/><Relationship Id="rId463" Type="http://schemas.openxmlformats.org/officeDocument/2006/relationships/hyperlink" Target="https://tupiel.darsistemas.com/consulta/25941" TargetMode="External"/><Relationship Id="rId519" Type="http://schemas.openxmlformats.org/officeDocument/2006/relationships/hyperlink" Target="https://tupiel.darsistemas.com/consulta/36628" TargetMode="External"/><Relationship Id="rId116" Type="http://schemas.openxmlformats.org/officeDocument/2006/relationships/hyperlink" Target="https://tupiel.darsistemas.com/consulta_cups/costos/action?id=25329" TargetMode="External"/><Relationship Id="rId158" Type="http://schemas.openxmlformats.org/officeDocument/2006/relationships/hyperlink" Target="https://tupiel.darsistemas.com/consulta_cups/costos/action?id=25469" TargetMode="External"/><Relationship Id="rId323" Type="http://schemas.openxmlformats.org/officeDocument/2006/relationships/hyperlink" Target="https://tupiel.darsistemas.com/consulta/36380" TargetMode="External"/><Relationship Id="rId530" Type="http://schemas.openxmlformats.org/officeDocument/2006/relationships/hyperlink" Target="https://tupiel.darsistemas.com/consulta_cups/costos/action?id=26871" TargetMode="External"/><Relationship Id="rId20" Type="http://schemas.openxmlformats.org/officeDocument/2006/relationships/hyperlink" Target="https://tupiel.darsistemas.com/consulta_cups/costos/action?id=23194" TargetMode="External"/><Relationship Id="rId62" Type="http://schemas.openxmlformats.org/officeDocument/2006/relationships/hyperlink" Target="https://tupiel.darsistemas.com/consulta_cups/costos/action?id=24814" TargetMode="External"/><Relationship Id="rId365" Type="http://schemas.openxmlformats.org/officeDocument/2006/relationships/hyperlink" Target="https://tupiel.darsistemas.com/consulta/36462" TargetMode="External"/><Relationship Id="rId225" Type="http://schemas.openxmlformats.org/officeDocument/2006/relationships/hyperlink" Target="https://tupiel.darsistemas.com/consulta/36091" TargetMode="External"/><Relationship Id="rId267" Type="http://schemas.openxmlformats.org/officeDocument/2006/relationships/hyperlink" Target="https://tupiel.darsistemas.com/consulta/36219" TargetMode="External"/><Relationship Id="rId432" Type="http://schemas.openxmlformats.org/officeDocument/2006/relationships/hyperlink" Target="https://tupiel.darsistemas.com/consulta_cups/costos/action?id=26743" TargetMode="External"/><Relationship Id="rId474" Type="http://schemas.openxmlformats.org/officeDocument/2006/relationships/hyperlink" Target="https://tupiel.darsistemas.com/consulta_cups/costos/action?id=26814" TargetMode="External"/><Relationship Id="rId127" Type="http://schemas.openxmlformats.org/officeDocument/2006/relationships/hyperlink" Target="https://tupiel.darsistemas.com/consulta/33700" TargetMode="External"/><Relationship Id="rId31" Type="http://schemas.openxmlformats.org/officeDocument/2006/relationships/hyperlink" Target="https://tupiel.darsistemas.com/consulta/31859" TargetMode="External"/><Relationship Id="rId73" Type="http://schemas.openxmlformats.org/officeDocument/2006/relationships/hyperlink" Target="https://tupiel.darsistemas.com/consulta/32879" TargetMode="External"/><Relationship Id="rId169" Type="http://schemas.openxmlformats.org/officeDocument/2006/relationships/hyperlink" Target="https://tupiel.darsistemas.com/consulta/31210" TargetMode="External"/><Relationship Id="rId334" Type="http://schemas.openxmlformats.org/officeDocument/2006/relationships/hyperlink" Target="https://tupiel.darsistemas.com/consulta_cups/costos/action?id=26444" TargetMode="External"/><Relationship Id="rId376" Type="http://schemas.openxmlformats.org/officeDocument/2006/relationships/hyperlink" Target="https://tupiel.darsistemas.com/consulta_cups/costos/action?id=26620" TargetMode="External"/><Relationship Id="rId541" Type="http://schemas.openxmlformats.org/officeDocument/2006/relationships/hyperlink" Target="https://tupiel.darsistemas.com/consulta/36644" TargetMode="External"/><Relationship Id="rId4" Type="http://schemas.openxmlformats.org/officeDocument/2006/relationships/hyperlink" Target="https://tupiel.darsistemas.com/consulta_cups/costos/action?id=13524" TargetMode="External"/><Relationship Id="rId180" Type="http://schemas.openxmlformats.org/officeDocument/2006/relationships/hyperlink" Target="https://tupiel.darsistemas.com/consulta_cups/costos/action?id=25572" TargetMode="External"/><Relationship Id="rId236" Type="http://schemas.openxmlformats.org/officeDocument/2006/relationships/hyperlink" Target="https://tupiel.darsistemas.com/consulta_cups/costos/action?id=25927" TargetMode="External"/><Relationship Id="rId278" Type="http://schemas.openxmlformats.org/officeDocument/2006/relationships/hyperlink" Target="https://tupiel.darsistemas.com/consulta_cups/costos/action?id=26160" TargetMode="External"/><Relationship Id="rId401" Type="http://schemas.openxmlformats.org/officeDocument/2006/relationships/hyperlink" Target="https://tupiel.darsistemas.com/consulta/36530" TargetMode="External"/><Relationship Id="rId443" Type="http://schemas.openxmlformats.org/officeDocument/2006/relationships/hyperlink" Target="https://tupiel.darsistemas.com/consulta/35824" TargetMode="External"/><Relationship Id="rId303" Type="http://schemas.openxmlformats.org/officeDocument/2006/relationships/hyperlink" Target="https://tupiel.darsistemas.com/consulta/36310" TargetMode="External"/><Relationship Id="rId485" Type="http://schemas.openxmlformats.org/officeDocument/2006/relationships/hyperlink" Target="https://tupiel.darsistemas.com/consulta/36612" TargetMode="External"/><Relationship Id="rId42" Type="http://schemas.openxmlformats.org/officeDocument/2006/relationships/hyperlink" Target="https://tupiel.darsistemas.com/consulta_cups/costos/action?id=24152" TargetMode="External"/><Relationship Id="rId84" Type="http://schemas.openxmlformats.org/officeDocument/2006/relationships/hyperlink" Target="https://tupiel.darsistemas.com/consulta_cups/costos/action?id=24972" TargetMode="External"/><Relationship Id="rId138" Type="http://schemas.openxmlformats.org/officeDocument/2006/relationships/hyperlink" Target="https://tupiel.darsistemas.com/consulta_cups/costos/action?id=25387" TargetMode="External"/><Relationship Id="rId345" Type="http://schemas.openxmlformats.org/officeDocument/2006/relationships/hyperlink" Target="https://tupiel.darsistemas.com/consulta/36419" TargetMode="External"/><Relationship Id="rId387" Type="http://schemas.openxmlformats.org/officeDocument/2006/relationships/hyperlink" Target="https://tupiel.darsistemas.com/consulta/36510" TargetMode="External"/><Relationship Id="rId510" Type="http://schemas.openxmlformats.org/officeDocument/2006/relationships/hyperlink" Target="https://tupiel.darsistemas.com/consulta_cups/costos/action?id=26852" TargetMode="External"/><Relationship Id="rId191" Type="http://schemas.openxmlformats.org/officeDocument/2006/relationships/hyperlink" Target="https://tupiel.darsistemas.com/consulta/36011" TargetMode="External"/><Relationship Id="rId205" Type="http://schemas.openxmlformats.org/officeDocument/2006/relationships/hyperlink" Target="https://tupiel.darsistemas.com/consulta/36033" TargetMode="External"/><Relationship Id="rId247" Type="http://schemas.openxmlformats.org/officeDocument/2006/relationships/hyperlink" Target="https://tupiel.darsistemas.com/consulta/35847" TargetMode="External"/><Relationship Id="rId412" Type="http://schemas.openxmlformats.org/officeDocument/2006/relationships/hyperlink" Target="https://tupiel.darsistemas.com/consulta_cups/costos/action?id=26704" TargetMode="External"/><Relationship Id="rId107" Type="http://schemas.openxmlformats.org/officeDocument/2006/relationships/hyperlink" Target="https://tupiel.darsistemas.com/consulta/28441" TargetMode="External"/><Relationship Id="rId289" Type="http://schemas.openxmlformats.org/officeDocument/2006/relationships/hyperlink" Target="https://tupiel.darsistemas.com/consulta/36273" TargetMode="External"/><Relationship Id="rId454" Type="http://schemas.openxmlformats.org/officeDocument/2006/relationships/hyperlink" Target="https://tupiel.darsistemas.com/consulta_cups/costos/action?id=26790" TargetMode="External"/><Relationship Id="rId496" Type="http://schemas.openxmlformats.org/officeDocument/2006/relationships/hyperlink" Target="https://tupiel.darsistemas.com/consulta_cups/costos/action?id=26835" TargetMode="External"/><Relationship Id="rId11" Type="http://schemas.openxmlformats.org/officeDocument/2006/relationships/hyperlink" Target="https://tupiel.darsistemas.com/consulta/32370" TargetMode="External"/><Relationship Id="rId53" Type="http://schemas.openxmlformats.org/officeDocument/2006/relationships/hyperlink" Target="https://tupiel.darsistemas.com/consulta/27318" TargetMode="External"/><Relationship Id="rId149" Type="http://schemas.openxmlformats.org/officeDocument/2006/relationships/hyperlink" Target="https://tupiel.darsistemas.com/consulta/34145" TargetMode="External"/><Relationship Id="rId314" Type="http://schemas.openxmlformats.org/officeDocument/2006/relationships/hyperlink" Target="https://tupiel.darsistemas.com/consulta_cups/costos/action?id=26355" TargetMode="External"/><Relationship Id="rId356" Type="http://schemas.openxmlformats.org/officeDocument/2006/relationships/hyperlink" Target="https://tupiel.darsistemas.com/consulta_cups/costos/action?id=26531" TargetMode="External"/><Relationship Id="rId398" Type="http://schemas.openxmlformats.org/officeDocument/2006/relationships/hyperlink" Target="https://tupiel.darsistemas.com/consulta_cups/costos/action?id=26688" TargetMode="External"/><Relationship Id="rId521" Type="http://schemas.openxmlformats.org/officeDocument/2006/relationships/hyperlink" Target="https://tupiel.darsistemas.com/consulta/36634" TargetMode="External"/><Relationship Id="rId95" Type="http://schemas.openxmlformats.org/officeDocument/2006/relationships/hyperlink" Target="https://tupiel.darsistemas.com/consulta/34189" TargetMode="External"/><Relationship Id="rId160" Type="http://schemas.openxmlformats.org/officeDocument/2006/relationships/hyperlink" Target="https://tupiel.darsistemas.com/consulta_cups/costos/action?id=25470" TargetMode="External"/><Relationship Id="rId216" Type="http://schemas.openxmlformats.org/officeDocument/2006/relationships/hyperlink" Target="https://tupiel.darsistemas.com/consulta_cups/costos/action?id=25836" TargetMode="External"/><Relationship Id="rId423" Type="http://schemas.openxmlformats.org/officeDocument/2006/relationships/hyperlink" Target="https://tupiel.darsistemas.com/consulta/36551" TargetMode="External"/><Relationship Id="rId258" Type="http://schemas.openxmlformats.org/officeDocument/2006/relationships/hyperlink" Target="https://tupiel.darsistemas.com/consulta_cups/costos/action?id=26084" TargetMode="External"/><Relationship Id="rId465" Type="http://schemas.openxmlformats.org/officeDocument/2006/relationships/hyperlink" Target="https://tupiel.darsistemas.com/consulta/36173" TargetMode="External"/><Relationship Id="rId22" Type="http://schemas.openxmlformats.org/officeDocument/2006/relationships/hyperlink" Target="https://tupiel.darsistemas.com/consulta_cups/costos/action?id=23231" TargetMode="External"/><Relationship Id="rId64" Type="http://schemas.openxmlformats.org/officeDocument/2006/relationships/hyperlink" Target="https://tupiel.darsistemas.com/consulta_cups/costos/action?id=24818" TargetMode="External"/><Relationship Id="rId118" Type="http://schemas.openxmlformats.org/officeDocument/2006/relationships/hyperlink" Target="https://tupiel.darsistemas.com/consulta_cups/costos/action?id=25346" TargetMode="External"/><Relationship Id="rId325" Type="http://schemas.openxmlformats.org/officeDocument/2006/relationships/hyperlink" Target="https://tupiel.darsistemas.com/consulta/36385" TargetMode="External"/><Relationship Id="rId367" Type="http://schemas.openxmlformats.org/officeDocument/2006/relationships/hyperlink" Target="https://tupiel.darsistemas.com/consulta/36469" TargetMode="External"/><Relationship Id="rId532" Type="http://schemas.openxmlformats.org/officeDocument/2006/relationships/hyperlink" Target="https://tupiel.darsistemas.com/consulta_cups/costos/action?id=26873" TargetMode="External"/><Relationship Id="rId171" Type="http://schemas.openxmlformats.org/officeDocument/2006/relationships/hyperlink" Target="https://tupiel.darsistemas.com/consulta/35786" TargetMode="External"/><Relationship Id="rId227" Type="http://schemas.openxmlformats.org/officeDocument/2006/relationships/hyperlink" Target="https://tupiel.darsistemas.com/consulta/36092" TargetMode="External"/><Relationship Id="rId269" Type="http://schemas.openxmlformats.org/officeDocument/2006/relationships/hyperlink" Target="https://tupiel.darsistemas.com/consulta/36222" TargetMode="External"/><Relationship Id="rId434" Type="http://schemas.openxmlformats.org/officeDocument/2006/relationships/hyperlink" Target="https://tupiel.darsistemas.com/consulta_cups/costos/action?id=26747" TargetMode="External"/><Relationship Id="rId476" Type="http://schemas.openxmlformats.org/officeDocument/2006/relationships/hyperlink" Target="https://tupiel.darsistemas.com/consulta_cups/costos/action?id=26817" TargetMode="External"/><Relationship Id="rId33" Type="http://schemas.openxmlformats.org/officeDocument/2006/relationships/hyperlink" Target="https://tupiel.darsistemas.com/consulta/34302" TargetMode="External"/><Relationship Id="rId129" Type="http://schemas.openxmlformats.org/officeDocument/2006/relationships/hyperlink" Target="https://tupiel.darsistemas.com/consulta/33993" TargetMode="External"/><Relationship Id="rId280" Type="http://schemas.openxmlformats.org/officeDocument/2006/relationships/hyperlink" Target="https://tupiel.darsistemas.com/consulta_cups/costos/action?id=26162" TargetMode="External"/><Relationship Id="rId336" Type="http://schemas.openxmlformats.org/officeDocument/2006/relationships/hyperlink" Target="https://tupiel.darsistemas.com/consulta_cups/costos/action?id=26445" TargetMode="External"/><Relationship Id="rId501" Type="http://schemas.openxmlformats.org/officeDocument/2006/relationships/hyperlink" Target="https://tupiel.darsistemas.com/consulta/35060" TargetMode="External"/><Relationship Id="rId543" Type="http://schemas.openxmlformats.org/officeDocument/2006/relationships/printerSettings" Target="../printerSettings/printerSettings4.bin"/><Relationship Id="rId75" Type="http://schemas.openxmlformats.org/officeDocument/2006/relationships/hyperlink" Target="https://tupiel.darsistemas.com/consulta/35554" TargetMode="External"/><Relationship Id="rId140" Type="http://schemas.openxmlformats.org/officeDocument/2006/relationships/hyperlink" Target="https://tupiel.darsistemas.com/consulta_cups/costos/action?id=25388" TargetMode="External"/><Relationship Id="rId182" Type="http://schemas.openxmlformats.org/officeDocument/2006/relationships/hyperlink" Target="https://tupiel.darsistemas.com/consulta_cups/costos/action?id=25639" TargetMode="External"/><Relationship Id="rId378" Type="http://schemas.openxmlformats.org/officeDocument/2006/relationships/hyperlink" Target="https://tupiel.darsistemas.com/consulta_cups/costos/action?id=26622" TargetMode="External"/><Relationship Id="rId403" Type="http://schemas.openxmlformats.org/officeDocument/2006/relationships/hyperlink" Target="https://tupiel.darsistemas.com/consulta/36531" TargetMode="External"/><Relationship Id="rId6" Type="http://schemas.openxmlformats.org/officeDocument/2006/relationships/hyperlink" Target="https://tupiel.darsistemas.com/consulta_cups/costos/action?id=17553" TargetMode="External"/><Relationship Id="rId238" Type="http://schemas.openxmlformats.org/officeDocument/2006/relationships/hyperlink" Target="https://tupiel.darsistemas.com/consulta_cups/costos/action?id=25988" TargetMode="External"/><Relationship Id="rId445" Type="http://schemas.openxmlformats.org/officeDocument/2006/relationships/hyperlink" Target="https://tupiel.darsistemas.com/consulta/36575" TargetMode="External"/><Relationship Id="rId487" Type="http://schemas.openxmlformats.org/officeDocument/2006/relationships/hyperlink" Target="https://tupiel.darsistemas.com/consulta/25977" TargetMode="External"/><Relationship Id="rId291" Type="http://schemas.openxmlformats.org/officeDocument/2006/relationships/hyperlink" Target="https://tupiel.darsistemas.com/consulta/35505" TargetMode="External"/><Relationship Id="rId305" Type="http://schemas.openxmlformats.org/officeDocument/2006/relationships/hyperlink" Target="https://tupiel.darsistemas.com/consulta/36315" TargetMode="External"/><Relationship Id="rId347" Type="http://schemas.openxmlformats.org/officeDocument/2006/relationships/hyperlink" Target="https://tupiel.darsistemas.com/consulta/36424" TargetMode="External"/><Relationship Id="rId512" Type="http://schemas.openxmlformats.org/officeDocument/2006/relationships/hyperlink" Target="https://tupiel.darsistemas.com/consulta_cups/costos/action?id=26855" TargetMode="External"/><Relationship Id="rId44" Type="http://schemas.openxmlformats.org/officeDocument/2006/relationships/hyperlink" Target="https://tupiel.darsistemas.com/consulta_cups/costos/action?id=24170" TargetMode="External"/><Relationship Id="rId86" Type="http://schemas.openxmlformats.org/officeDocument/2006/relationships/hyperlink" Target="https://tupiel.darsistemas.com/consulta_cups/costos/action?id=24976" TargetMode="External"/><Relationship Id="rId151" Type="http://schemas.openxmlformats.org/officeDocument/2006/relationships/hyperlink" Target="https://tupiel.darsistemas.com/consulta/34145" TargetMode="External"/><Relationship Id="rId389" Type="http://schemas.openxmlformats.org/officeDocument/2006/relationships/hyperlink" Target="https://tupiel.darsistemas.com/consulta/36517" TargetMode="External"/><Relationship Id="rId193" Type="http://schemas.openxmlformats.org/officeDocument/2006/relationships/hyperlink" Target="https://tupiel.darsistemas.com/consulta/36013" TargetMode="External"/><Relationship Id="rId207" Type="http://schemas.openxmlformats.org/officeDocument/2006/relationships/hyperlink" Target="https://tupiel.darsistemas.com/consulta/35404" TargetMode="External"/><Relationship Id="rId249" Type="http://schemas.openxmlformats.org/officeDocument/2006/relationships/hyperlink" Target="https://tupiel.darsistemas.com/consulta/21145" TargetMode="External"/><Relationship Id="rId414" Type="http://schemas.openxmlformats.org/officeDocument/2006/relationships/hyperlink" Target="https://tupiel.darsistemas.com/consulta_cups/costos/action?id=26708" TargetMode="External"/><Relationship Id="rId456" Type="http://schemas.openxmlformats.org/officeDocument/2006/relationships/hyperlink" Target="https://tupiel.darsistemas.com/consulta_cups/costos/action?id=26793" TargetMode="External"/><Relationship Id="rId498" Type="http://schemas.openxmlformats.org/officeDocument/2006/relationships/hyperlink" Target="https://tupiel.darsistemas.com/consulta_cups/costos/action?id=26837" TargetMode="External"/><Relationship Id="rId13" Type="http://schemas.openxmlformats.org/officeDocument/2006/relationships/hyperlink" Target="https://tupiel.darsistemas.com/consulta/33282" TargetMode="External"/><Relationship Id="rId109" Type="http://schemas.openxmlformats.org/officeDocument/2006/relationships/hyperlink" Target="https://tupiel.darsistemas.com/consulta/28441" TargetMode="External"/><Relationship Id="rId260" Type="http://schemas.openxmlformats.org/officeDocument/2006/relationships/hyperlink" Target="https://tupiel.darsistemas.com/consulta_cups/costos/action?id=26091" TargetMode="External"/><Relationship Id="rId316" Type="http://schemas.openxmlformats.org/officeDocument/2006/relationships/hyperlink" Target="https://tupiel.darsistemas.com/consulta_cups/costos/action?id=26362" TargetMode="External"/><Relationship Id="rId523" Type="http://schemas.openxmlformats.org/officeDocument/2006/relationships/hyperlink" Target="https://tupiel.darsistemas.com/consulta/36635" TargetMode="External"/><Relationship Id="rId55" Type="http://schemas.openxmlformats.org/officeDocument/2006/relationships/hyperlink" Target="https://tupiel.darsistemas.com/consulta/35344" TargetMode="External"/><Relationship Id="rId97" Type="http://schemas.openxmlformats.org/officeDocument/2006/relationships/hyperlink" Target="https://tupiel.darsistemas.com/consulta/35703" TargetMode="External"/><Relationship Id="rId120" Type="http://schemas.openxmlformats.org/officeDocument/2006/relationships/hyperlink" Target="https://tupiel.darsistemas.com/consulta_cups/costos/action?id=25354" TargetMode="External"/><Relationship Id="rId358" Type="http://schemas.openxmlformats.org/officeDocument/2006/relationships/hyperlink" Target="https://tupiel.darsistemas.com/consulta_cups/costos/action?id=26532" TargetMode="External"/><Relationship Id="rId162" Type="http://schemas.openxmlformats.org/officeDocument/2006/relationships/hyperlink" Target="https://tupiel.darsistemas.com/consulta_cups/costos/action?id=25483" TargetMode="External"/><Relationship Id="rId218" Type="http://schemas.openxmlformats.org/officeDocument/2006/relationships/hyperlink" Target="https://tupiel.darsistemas.com/consulta_cups/costos/action?id=25860" TargetMode="External"/><Relationship Id="rId425" Type="http://schemas.openxmlformats.org/officeDocument/2006/relationships/hyperlink" Target="https://tupiel.darsistemas.com/consulta/24227" TargetMode="External"/><Relationship Id="rId467" Type="http://schemas.openxmlformats.org/officeDocument/2006/relationships/hyperlink" Target="https://tupiel.darsistemas.com/consulta/23271" TargetMode="External"/><Relationship Id="rId271" Type="http://schemas.openxmlformats.org/officeDocument/2006/relationships/hyperlink" Target="https://tupiel.darsistemas.com/consulta/36224" TargetMode="External"/><Relationship Id="rId24" Type="http://schemas.openxmlformats.org/officeDocument/2006/relationships/hyperlink" Target="https://tupiel.darsistemas.com/consulta_cups/costos/action?id=23289" TargetMode="External"/><Relationship Id="rId66" Type="http://schemas.openxmlformats.org/officeDocument/2006/relationships/hyperlink" Target="https://tupiel.darsistemas.com/consulta_cups/costos/action?id=24819" TargetMode="External"/><Relationship Id="rId131" Type="http://schemas.openxmlformats.org/officeDocument/2006/relationships/hyperlink" Target="https://tupiel.darsistemas.com/consulta/33993" TargetMode="External"/><Relationship Id="rId327" Type="http://schemas.openxmlformats.org/officeDocument/2006/relationships/hyperlink" Target="https://tupiel.darsistemas.com/consulta/36387" TargetMode="External"/><Relationship Id="rId369" Type="http://schemas.openxmlformats.org/officeDocument/2006/relationships/hyperlink" Target="https://tupiel.darsistemas.com/consulta/36470" TargetMode="External"/><Relationship Id="rId534" Type="http://schemas.openxmlformats.org/officeDocument/2006/relationships/hyperlink" Target="https://tupiel.darsistemas.com/consulta_cups/costos/action?id=26875" TargetMode="External"/><Relationship Id="rId173" Type="http://schemas.openxmlformats.org/officeDocument/2006/relationships/hyperlink" Target="https://tupiel.darsistemas.com/consulta/35920" TargetMode="External"/><Relationship Id="rId229" Type="http://schemas.openxmlformats.org/officeDocument/2006/relationships/hyperlink" Target="https://tupiel.darsistemas.com/consulta/36096" TargetMode="External"/><Relationship Id="rId380" Type="http://schemas.openxmlformats.org/officeDocument/2006/relationships/hyperlink" Target="https://tupiel.darsistemas.com/consulta_cups/costos/action?id=26629" TargetMode="External"/><Relationship Id="rId436" Type="http://schemas.openxmlformats.org/officeDocument/2006/relationships/hyperlink" Target="https://tupiel.darsistemas.com/consulta_cups/costos/action?id=26754" TargetMode="External"/><Relationship Id="rId240" Type="http://schemas.openxmlformats.org/officeDocument/2006/relationships/hyperlink" Target="https://tupiel.darsistemas.com/consulta_cups/costos/action?id=25995" TargetMode="External"/><Relationship Id="rId478" Type="http://schemas.openxmlformats.org/officeDocument/2006/relationships/hyperlink" Target="https://tupiel.darsistemas.com/consulta_cups/costos/action?id=26822" TargetMode="External"/><Relationship Id="rId35" Type="http://schemas.openxmlformats.org/officeDocument/2006/relationships/hyperlink" Target="https://tupiel.darsistemas.com/consulta/33771" TargetMode="External"/><Relationship Id="rId77" Type="http://schemas.openxmlformats.org/officeDocument/2006/relationships/hyperlink" Target="https://tupiel.darsistemas.com/consulta/35579" TargetMode="External"/><Relationship Id="rId100" Type="http://schemas.openxmlformats.org/officeDocument/2006/relationships/hyperlink" Target="https://tupiel.darsistemas.com/consulta_cups/costos/action?id=25187" TargetMode="External"/><Relationship Id="rId282" Type="http://schemas.openxmlformats.org/officeDocument/2006/relationships/hyperlink" Target="https://tupiel.darsistemas.com/consulta_cups/costos/action?id=26173" TargetMode="External"/><Relationship Id="rId338" Type="http://schemas.openxmlformats.org/officeDocument/2006/relationships/hyperlink" Target="https://tupiel.darsistemas.com/consulta_cups/costos/action?id=26455" TargetMode="External"/><Relationship Id="rId503" Type="http://schemas.openxmlformats.org/officeDocument/2006/relationships/hyperlink" Target="https://tupiel.darsistemas.com/consulta/36621" TargetMode="External"/><Relationship Id="rId8" Type="http://schemas.openxmlformats.org/officeDocument/2006/relationships/hyperlink" Target="https://tupiel.darsistemas.com/consulta_cups/costos/action?id=17554" TargetMode="External"/><Relationship Id="rId142" Type="http://schemas.openxmlformats.org/officeDocument/2006/relationships/hyperlink" Target="https://tupiel.darsistemas.com/consulta_cups/costos/action?id=25390" TargetMode="External"/><Relationship Id="rId184" Type="http://schemas.openxmlformats.org/officeDocument/2006/relationships/hyperlink" Target="https://tupiel.darsistemas.com/consulta_cups/costos/action?id=25650" TargetMode="External"/><Relationship Id="rId391" Type="http://schemas.openxmlformats.org/officeDocument/2006/relationships/hyperlink" Target="https://tupiel.darsistemas.com/consulta/36521" TargetMode="External"/><Relationship Id="rId405" Type="http://schemas.openxmlformats.org/officeDocument/2006/relationships/hyperlink" Target="https://tupiel.darsistemas.com/consulta/36532" TargetMode="External"/><Relationship Id="rId447" Type="http://schemas.openxmlformats.org/officeDocument/2006/relationships/hyperlink" Target="https://tupiel.darsistemas.com/consulta/36583" TargetMode="External"/><Relationship Id="rId251" Type="http://schemas.openxmlformats.org/officeDocument/2006/relationships/hyperlink" Target="https://tupiel.darsistemas.com/consulta/36159" TargetMode="External"/><Relationship Id="rId489" Type="http://schemas.openxmlformats.org/officeDocument/2006/relationships/hyperlink" Target="https://tupiel.darsistemas.com/consulta/36351" TargetMode="External"/><Relationship Id="rId46" Type="http://schemas.openxmlformats.org/officeDocument/2006/relationships/hyperlink" Target="https://tupiel.darsistemas.com/consulta_cups/costos/action?id=24299" TargetMode="External"/><Relationship Id="rId293" Type="http://schemas.openxmlformats.org/officeDocument/2006/relationships/hyperlink" Target="https://tupiel.darsistemas.com/consulta/36275" TargetMode="External"/><Relationship Id="rId307" Type="http://schemas.openxmlformats.org/officeDocument/2006/relationships/hyperlink" Target="https://tupiel.darsistemas.com/consulta/36319" TargetMode="External"/><Relationship Id="rId349" Type="http://schemas.openxmlformats.org/officeDocument/2006/relationships/hyperlink" Target="https://tupiel.darsistemas.com/consulta/22327" TargetMode="External"/><Relationship Id="rId514" Type="http://schemas.openxmlformats.org/officeDocument/2006/relationships/hyperlink" Target="https://tupiel.darsistemas.com/consulta_cups/costos/action?id=26857" TargetMode="External"/><Relationship Id="rId88" Type="http://schemas.openxmlformats.org/officeDocument/2006/relationships/hyperlink" Target="https://tupiel.darsistemas.com/consulta_cups/costos/action?id=25041" TargetMode="External"/><Relationship Id="rId111" Type="http://schemas.openxmlformats.org/officeDocument/2006/relationships/hyperlink" Target="https://tupiel.darsistemas.com/consulta/34617" TargetMode="External"/><Relationship Id="rId153" Type="http://schemas.openxmlformats.org/officeDocument/2006/relationships/hyperlink" Target="https://tupiel.darsistemas.com/consulta/34302" TargetMode="External"/><Relationship Id="rId195" Type="http://schemas.openxmlformats.org/officeDocument/2006/relationships/hyperlink" Target="https://tupiel.darsistemas.com/consulta/36014" TargetMode="External"/><Relationship Id="rId209" Type="http://schemas.openxmlformats.org/officeDocument/2006/relationships/hyperlink" Target="https://tupiel.darsistemas.com/consulta/36041" TargetMode="External"/><Relationship Id="rId360" Type="http://schemas.openxmlformats.org/officeDocument/2006/relationships/hyperlink" Target="https://tupiel.darsistemas.com/consulta_cups/costos/action?id=26537" TargetMode="External"/><Relationship Id="rId416" Type="http://schemas.openxmlformats.org/officeDocument/2006/relationships/hyperlink" Target="https://tupiel.darsistemas.com/consulta_cups/costos/action?id=26713" TargetMode="External"/><Relationship Id="rId220" Type="http://schemas.openxmlformats.org/officeDocument/2006/relationships/hyperlink" Target="https://tupiel.darsistemas.com/consulta_cups/costos/action?id=25870" TargetMode="External"/><Relationship Id="rId458" Type="http://schemas.openxmlformats.org/officeDocument/2006/relationships/hyperlink" Target="https://tupiel.darsistemas.com/consulta_cups/costos/action?id=26794" TargetMode="External"/><Relationship Id="rId15" Type="http://schemas.openxmlformats.org/officeDocument/2006/relationships/hyperlink" Target="https://tupiel.darsistemas.com/consulta/33013" TargetMode="External"/><Relationship Id="rId57" Type="http://schemas.openxmlformats.org/officeDocument/2006/relationships/hyperlink" Target="https://tupiel.darsistemas.com/consulta/35421" TargetMode="External"/><Relationship Id="rId262" Type="http://schemas.openxmlformats.org/officeDocument/2006/relationships/hyperlink" Target="https://tupiel.darsistemas.com/consulta_cups/costos/action?id=26096" TargetMode="External"/><Relationship Id="rId318" Type="http://schemas.openxmlformats.org/officeDocument/2006/relationships/hyperlink" Target="https://tupiel.darsistemas.com/consulta_cups/costos/action?id=26371" TargetMode="External"/><Relationship Id="rId525" Type="http://schemas.openxmlformats.org/officeDocument/2006/relationships/hyperlink" Target="https://tupiel.darsistemas.com/consulta/36636" TargetMode="External"/><Relationship Id="rId99" Type="http://schemas.openxmlformats.org/officeDocument/2006/relationships/hyperlink" Target="https://tupiel.darsistemas.com/consulta/27678" TargetMode="External"/><Relationship Id="rId122" Type="http://schemas.openxmlformats.org/officeDocument/2006/relationships/hyperlink" Target="https://tupiel.darsistemas.com/consulta_cups/costos/action?id=25357" TargetMode="External"/><Relationship Id="rId164" Type="http://schemas.openxmlformats.org/officeDocument/2006/relationships/hyperlink" Target="https://tupiel.darsistemas.com/consulta_cups/costos/action?id=25492" TargetMode="External"/><Relationship Id="rId371" Type="http://schemas.openxmlformats.org/officeDocument/2006/relationships/hyperlink" Target="https://tupiel.darsistemas.com/consulta/35668" TargetMode="External"/><Relationship Id="rId427" Type="http://schemas.openxmlformats.org/officeDocument/2006/relationships/hyperlink" Target="https://tupiel.darsistemas.com/consulta/36560" TargetMode="External"/><Relationship Id="rId469" Type="http://schemas.openxmlformats.org/officeDocument/2006/relationships/hyperlink" Target="https://tupiel.darsistemas.com/consulta/23271" TargetMode="External"/><Relationship Id="rId26" Type="http://schemas.openxmlformats.org/officeDocument/2006/relationships/hyperlink" Target="https://tupiel.darsistemas.com/consulta_cups/costos/action?id=23500" TargetMode="External"/><Relationship Id="rId231" Type="http://schemas.openxmlformats.org/officeDocument/2006/relationships/hyperlink" Target="https://tupiel.darsistemas.com/consulta/36112" TargetMode="External"/><Relationship Id="rId273" Type="http://schemas.openxmlformats.org/officeDocument/2006/relationships/hyperlink" Target="https://tupiel.darsistemas.com/consulta/36225" TargetMode="External"/><Relationship Id="rId329" Type="http://schemas.openxmlformats.org/officeDocument/2006/relationships/hyperlink" Target="https://tupiel.darsistemas.com/consulta/36388" TargetMode="External"/><Relationship Id="rId480" Type="http://schemas.openxmlformats.org/officeDocument/2006/relationships/hyperlink" Target="https://tupiel.darsistemas.com/consulta_cups/costos/action?id=26825" TargetMode="External"/><Relationship Id="rId536" Type="http://schemas.openxmlformats.org/officeDocument/2006/relationships/hyperlink" Target="https://tupiel.darsistemas.com/consulta_cups/costos/action?id=26878" TargetMode="External"/><Relationship Id="rId68" Type="http://schemas.openxmlformats.org/officeDocument/2006/relationships/hyperlink" Target="https://tupiel.darsistemas.com/consulta_cups/costos/action?id=24889" TargetMode="External"/><Relationship Id="rId133" Type="http://schemas.openxmlformats.org/officeDocument/2006/relationships/hyperlink" Target="https://tupiel.darsistemas.com/consulta/35818" TargetMode="External"/><Relationship Id="rId175" Type="http://schemas.openxmlformats.org/officeDocument/2006/relationships/hyperlink" Target="https://tupiel.darsistemas.com/consulta/35674" TargetMode="External"/><Relationship Id="rId340" Type="http://schemas.openxmlformats.org/officeDocument/2006/relationships/hyperlink" Target="https://tupiel.darsistemas.com/consulta_cups/costos/action?id=26456" TargetMode="External"/><Relationship Id="rId200" Type="http://schemas.openxmlformats.org/officeDocument/2006/relationships/hyperlink" Target="https://tupiel.darsistemas.com/consulta_cups/costos/action?id=25756" TargetMode="External"/><Relationship Id="rId382" Type="http://schemas.openxmlformats.org/officeDocument/2006/relationships/hyperlink" Target="https://tupiel.darsistemas.com/consulta_cups/costos/action?id=26644" TargetMode="External"/><Relationship Id="rId438" Type="http://schemas.openxmlformats.org/officeDocument/2006/relationships/hyperlink" Target="https://tupiel.darsistemas.com/consulta_cups/costos/action?id=26755" TargetMode="External"/><Relationship Id="rId242" Type="http://schemas.openxmlformats.org/officeDocument/2006/relationships/hyperlink" Target="https://tupiel.darsistemas.com/consulta_cups/costos/action?id=25996" TargetMode="External"/><Relationship Id="rId284" Type="http://schemas.openxmlformats.org/officeDocument/2006/relationships/hyperlink" Target="https://tupiel.darsistemas.com/consulta_cups/costos/action?id=26189" TargetMode="External"/><Relationship Id="rId491" Type="http://schemas.openxmlformats.org/officeDocument/2006/relationships/hyperlink" Target="https://tupiel.darsistemas.com/consulta/36613" TargetMode="External"/><Relationship Id="rId505" Type="http://schemas.openxmlformats.org/officeDocument/2006/relationships/hyperlink" Target="https://tupiel.darsistemas.com/consulta/36622" TargetMode="External"/><Relationship Id="rId37" Type="http://schemas.openxmlformats.org/officeDocument/2006/relationships/hyperlink" Target="https://tupiel.darsistemas.com/consulta/33771" TargetMode="External"/><Relationship Id="rId79" Type="http://schemas.openxmlformats.org/officeDocument/2006/relationships/hyperlink" Target="https://tupiel.darsistemas.com/consulta/35580" TargetMode="External"/><Relationship Id="rId102" Type="http://schemas.openxmlformats.org/officeDocument/2006/relationships/hyperlink" Target="https://tupiel.darsistemas.com/consulta_cups/costos/action?id=25278" TargetMode="External"/><Relationship Id="rId144" Type="http://schemas.openxmlformats.org/officeDocument/2006/relationships/hyperlink" Target="https://tupiel.darsistemas.com/consulta_cups/costos/action?id=25395" TargetMode="External"/><Relationship Id="rId90" Type="http://schemas.openxmlformats.org/officeDocument/2006/relationships/hyperlink" Target="https://tupiel.darsistemas.com/consulta_cups/costos/action?id=25076" TargetMode="External"/><Relationship Id="rId186" Type="http://schemas.openxmlformats.org/officeDocument/2006/relationships/hyperlink" Target="https://tupiel.darsistemas.com/consulta_cups/costos/action?id=25677" TargetMode="External"/><Relationship Id="rId351" Type="http://schemas.openxmlformats.org/officeDocument/2006/relationships/hyperlink" Target="https://tupiel.darsistemas.com/consulta/36439" TargetMode="External"/><Relationship Id="rId393" Type="http://schemas.openxmlformats.org/officeDocument/2006/relationships/hyperlink" Target="https://tupiel.darsistemas.com/consulta/36523" TargetMode="External"/><Relationship Id="rId407" Type="http://schemas.openxmlformats.org/officeDocument/2006/relationships/hyperlink" Target="https://tupiel.darsistemas.com/consulta/25025" TargetMode="External"/><Relationship Id="rId449" Type="http://schemas.openxmlformats.org/officeDocument/2006/relationships/hyperlink" Target="https://tupiel.darsistemas.com/consulta/36584" TargetMode="External"/><Relationship Id="rId211" Type="http://schemas.openxmlformats.org/officeDocument/2006/relationships/hyperlink" Target="https://tupiel.darsistemas.com/consulta/36043" TargetMode="External"/><Relationship Id="rId253" Type="http://schemas.openxmlformats.org/officeDocument/2006/relationships/hyperlink" Target="https://tupiel.darsistemas.com/consulta/33334" TargetMode="External"/><Relationship Id="rId295" Type="http://schemas.openxmlformats.org/officeDocument/2006/relationships/hyperlink" Target="https://tupiel.darsistemas.com/consulta/36276" TargetMode="External"/><Relationship Id="rId309" Type="http://schemas.openxmlformats.org/officeDocument/2006/relationships/hyperlink" Target="https://tupiel.darsistemas.com/consulta/36321" TargetMode="External"/><Relationship Id="rId460" Type="http://schemas.openxmlformats.org/officeDocument/2006/relationships/hyperlink" Target="https://tupiel.darsistemas.com/consulta_cups/costos/action?id=26800" TargetMode="External"/><Relationship Id="rId516" Type="http://schemas.openxmlformats.org/officeDocument/2006/relationships/hyperlink" Target="https://tupiel.darsistemas.com/consulta_cups/costos/action?id=26861" TargetMode="External"/><Relationship Id="rId48" Type="http://schemas.openxmlformats.org/officeDocument/2006/relationships/hyperlink" Target="https://tupiel.darsistemas.com/consulta_cups/costos/action?id=24358" TargetMode="External"/><Relationship Id="rId113" Type="http://schemas.openxmlformats.org/officeDocument/2006/relationships/hyperlink" Target="https://tupiel.darsistemas.com/consulta/23325" TargetMode="External"/><Relationship Id="rId320" Type="http://schemas.openxmlformats.org/officeDocument/2006/relationships/hyperlink" Target="https://tupiel.darsistemas.com/consulta_cups/costos/action?id=26415" TargetMode="External"/><Relationship Id="rId155" Type="http://schemas.openxmlformats.org/officeDocument/2006/relationships/hyperlink" Target="https://tupiel.darsistemas.com/consulta/35852" TargetMode="External"/><Relationship Id="rId197" Type="http://schemas.openxmlformats.org/officeDocument/2006/relationships/hyperlink" Target="https://tupiel.darsistemas.com/consulta/30177" TargetMode="External"/><Relationship Id="rId362" Type="http://schemas.openxmlformats.org/officeDocument/2006/relationships/hyperlink" Target="https://tupiel.darsistemas.com/consulta_cups/costos/action?id=26548" TargetMode="External"/><Relationship Id="rId418" Type="http://schemas.openxmlformats.org/officeDocument/2006/relationships/hyperlink" Target="https://tupiel.darsistemas.com/consulta_cups/costos/action?id=26714" TargetMode="External"/><Relationship Id="rId222" Type="http://schemas.openxmlformats.org/officeDocument/2006/relationships/hyperlink" Target="https://tupiel.darsistemas.com/consulta_cups/costos/action?id=25876" TargetMode="External"/><Relationship Id="rId264" Type="http://schemas.openxmlformats.org/officeDocument/2006/relationships/hyperlink" Target="https://tupiel.darsistemas.com/consulta_cups/costos/action?id=26097" TargetMode="External"/><Relationship Id="rId471" Type="http://schemas.openxmlformats.org/officeDocument/2006/relationships/hyperlink" Target="https://tupiel.darsistemas.com/consulta/20151" TargetMode="External"/><Relationship Id="rId17" Type="http://schemas.openxmlformats.org/officeDocument/2006/relationships/hyperlink" Target="https://tupiel.darsistemas.com/consulta/33776" TargetMode="External"/><Relationship Id="rId59" Type="http://schemas.openxmlformats.org/officeDocument/2006/relationships/hyperlink" Target="https://tupiel.darsistemas.com/consulta/35425" TargetMode="External"/><Relationship Id="rId124" Type="http://schemas.openxmlformats.org/officeDocument/2006/relationships/hyperlink" Target="https://tupiel.darsistemas.com/consulta_cups/costos/action?id=25359" TargetMode="External"/><Relationship Id="rId527" Type="http://schemas.openxmlformats.org/officeDocument/2006/relationships/hyperlink" Target="https://tupiel.darsistemas.com/consulta/36636" TargetMode="External"/><Relationship Id="rId70" Type="http://schemas.openxmlformats.org/officeDocument/2006/relationships/hyperlink" Target="https://tupiel.darsistemas.com/consulta_cups/costos/action?id=24912" TargetMode="External"/><Relationship Id="rId166" Type="http://schemas.openxmlformats.org/officeDocument/2006/relationships/hyperlink" Target="https://tupiel.darsistemas.com/consulta_cups/costos/action?id=25526" TargetMode="External"/><Relationship Id="rId331" Type="http://schemas.openxmlformats.org/officeDocument/2006/relationships/hyperlink" Target="https://tupiel.darsistemas.com/consulta/35567" TargetMode="External"/><Relationship Id="rId373" Type="http://schemas.openxmlformats.org/officeDocument/2006/relationships/hyperlink" Target="https://tupiel.darsistemas.com/consulta/36487" TargetMode="External"/><Relationship Id="rId429" Type="http://schemas.openxmlformats.org/officeDocument/2006/relationships/hyperlink" Target="https://tupiel.darsistemas.com/consulta/33996" TargetMode="External"/><Relationship Id="rId1" Type="http://schemas.openxmlformats.org/officeDocument/2006/relationships/hyperlink" Target="https://tupiel.darsistemas.com/consulta/24079" TargetMode="External"/><Relationship Id="rId233" Type="http://schemas.openxmlformats.org/officeDocument/2006/relationships/hyperlink" Target="https://tupiel.darsistemas.com/consulta/35001" TargetMode="External"/><Relationship Id="rId440" Type="http://schemas.openxmlformats.org/officeDocument/2006/relationships/hyperlink" Target="https://tupiel.darsistemas.com/consulta_cups/costos/action?id=26756" TargetMode="External"/><Relationship Id="rId28" Type="http://schemas.openxmlformats.org/officeDocument/2006/relationships/hyperlink" Target="https://tupiel.darsistemas.com/consulta_cups/costos/action?id=23577" TargetMode="External"/><Relationship Id="rId275" Type="http://schemas.openxmlformats.org/officeDocument/2006/relationships/hyperlink" Target="https://tupiel.darsistemas.com/consulta/36234" TargetMode="External"/><Relationship Id="rId300" Type="http://schemas.openxmlformats.org/officeDocument/2006/relationships/hyperlink" Target="https://tupiel.darsistemas.com/consulta_cups/costos/action?id=26269" TargetMode="External"/><Relationship Id="rId482" Type="http://schemas.openxmlformats.org/officeDocument/2006/relationships/hyperlink" Target="https://tupiel.darsistemas.com/consulta_cups/costos/action?id=26827" TargetMode="External"/><Relationship Id="rId538" Type="http://schemas.openxmlformats.org/officeDocument/2006/relationships/hyperlink" Target="https://tupiel.darsistemas.com/consulta_cups/costos/action?id=26879" TargetMode="External"/><Relationship Id="rId81" Type="http://schemas.openxmlformats.org/officeDocument/2006/relationships/hyperlink" Target="https://tupiel.darsistemas.com/consulta/35593" TargetMode="External"/><Relationship Id="rId135" Type="http://schemas.openxmlformats.org/officeDocument/2006/relationships/hyperlink" Target="https://tupiel.darsistemas.com/consulta/35819" TargetMode="External"/><Relationship Id="rId177" Type="http://schemas.openxmlformats.org/officeDocument/2006/relationships/hyperlink" Target="https://tupiel.darsistemas.com/consulta/35921" TargetMode="External"/><Relationship Id="rId342" Type="http://schemas.openxmlformats.org/officeDocument/2006/relationships/hyperlink" Target="https://tupiel.darsistemas.com/consulta_cups/costos/action?id=26457" TargetMode="External"/><Relationship Id="rId384" Type="http://schemas.openxmlformats.org/officeDocument/2006/relationships/hyperlink" Target="https://tupiel.darsistemas.com/consulta_cups/costos/action?id=26648" TargetMode="External"/><Relationship Id="rId202" Type="http://schemas.openxmlformats.org/officeDocument/2006/relationships/hyperlink" Target="https://tupiel.darsistemas.com/consulta_cups/costos/action?id=25772" TargetMode="External"/><Relationship Id="rId244" Type="http://schemas.openxmlformats.org/officeDocument/2006/relationships/hyperlink" Target="https://tupiel.darsistemas.com/consulta_cups/costos/action?id=25999" TargetMode="External"/><Relationship Id="rId39" Type="http://schemas.openxmlformats.org/officeDocument/2006/relationships/hyperlink" Target="https://tupiel.darsistemas.com/consulta/35029" TargetMode="External"/><Relationship Id="rId286" Type="http://schemas.openxmlformats.org/officeDocument/2006/relationships/hyperlink" Target="https://tupiel.darsistemas.com/consulta_cups/costos/action?id=26191" TargetMode="External"/><Relationship Id="rId451" Type="http://schemas.openxmlformats.org/officeDocument/2006/relationships/hyperlink" Target="https://tupiel.darsistemas.com/consulta/36586" TargetMode="External"/><Relationship Id="rId493" Type="http://schemas.openxmlformats.org/officeDocument/2006/relationships/hyperlink" Target="https://tupiel.darsistemas.com/consulta/36614" TargetMode="External"/><Relationship Id="rId507" Type="http://schemas.openxmlformats.org/officeDocument/2006/relationships/hyperlink" Target="https://tupiel.darsistemas.com/consulta/36625" TargetMode="External"/><Relationship Id="rId50" Type="http://schemas.openxmlformats.org/officeDocument/2006/relationships/hyperlink" Target="https://tupiel.darsistemas.com/consulta_cups/costos/action?id=24388" TargetMode="External"/><Relationship Id="rId104" Type="http://schemas.openxmlformats.org/officeDocument/2006/relationships/hyperlink" Target="https://tupiel.darsistemas.com/consulta_cups/costos/action?id=25283" TargetMode="External"/><Relationship Id="rId146" Type="http://schemas.openxmlformats.org/officeDocument/2006/relationships/hyperlink" Target="https://tupiel.darsistemas.com/consulta_cups/costos/action?id=25398" TargetMode="External"/><Relationship Id="rId188" Type="http://schemas.openxmlformats.org/officeDocument/2006/relationships/hyperlink" Target="https://tupiel.darsistemas.com/consulta_cups/costos/action?id=25710" TargetMode="External"/><Relationship Id="rId311" Type="http://schemas.openxmlformats.org/officeDocument/2006/relationships/hyperlink" Target="https://tupiel.darsistemas.com/consulta/34695" TargetMode="External"/><Relationship Id="rId353" Type="http://schemas.openxmlformats.org/officeDocument/2006/relationships/hyperlink" Target="https://tupiel.darsistemas.com/consulta/36440" TargetMode="External"/><Relationship Id="rId395" Type="http://schemas.openxmlformats.org/officeDocument/2006/relationships/hyperlink" Target="https://tupiel.darsistemas.com/consulta/36524" TargetMode="External"/><Relationship Id="rId409" Type="http://schemas.openxmlformats.org/officeDocument/2006/relationships/hyperlink" Target="https://tupiel.darsistemas.com/consulta/34870" TargetMode="External"/><Relationship Id="rId92" Type="http://schemas.openxmlformats.org/officeDocument/2006/relationships/hyperlink" Target="https://tupiel.darsistemas.com/consulta_cups/costos/action?id=25077" TargetMode="External"/><Relationship Id="rId213" Type="http://schemas.openxmlformats.org/officeDocument/2006/relationships/hyperlink" Target="https://tupiel.darsistemas.com/consulta/36046" TargetMode="External"/><Relationship Id="rId420" Type="http://schemas.openxmlformats.org/officeDocument/2006/relationships/hyperlink" Target="https://tupiel.darsistemas.com/consulta_cups/costos/action?id=26718" TargetMode="External"/><Relationship Id="rId255" Type="http://schemas.openxmlformats.org/officeDocument/2006/relationships/hyperlink" Target="https://tupiel.darsistemas.com/consulta/34790" TargetMode="External"/><Relationship Id="rId297" Type="http://schemas.openxmlformats.org/officeDocument/2006/relationships/hyperlink" Target="https://tupiel.darsistemas.com/consulta/36283" TargetMode="External"/><Relationship Id="rId462" Type="http://schemas.openxmlformats.org/officeDocument/2006/relationships/hyperlink" Target="https://tupiel.darsistemas.com/consulta_cups/costos/action?id=26802" TargetMode="External"/><Relationship Id="rId518" Type="http://schemas.openxmlformats.org/officeDocument/2006/relationships/hyperlink" Target="https://tupiel.darsistemas.com/consulta_cups/costos/action?id=26862" TargetMode="External"/><Relationship Id="rId115" Type="http://schemas.openxmlformats.org/officeDocument/2006/relationships/hyperlink" Target="https://tupiel.darsistemas.com/consulta/35795" TargetMode="External"/><Relationship Id="rId157" Type="http://schemas.openxmlformats.org/officeDocument/2006/relationships/hyperlink" Target="https://tupiel.darsistemas.com/consulta/35864" TargetMode="External"/><Relationship Id="rId322" Type="http://schemas.openxmlformats.org/officeDocument/2006/relationships/hyperlink" Target="https://tupiel.darsistemas.com/consulta_cups/costos/action?id=26416" TargetMode="External"/><Relationship Id="rId364" Type="http://schemas.openxmlformats.org/officeDocument/2006/relationships/hyperlink" Target="https://tupiel.darsistemas.com/consulta_cups/costos/action?id=26550" TargetMode="External"/><Relationship Id="rId61" Type="http://schemas.openxmlformats.org/officeDocument/2006/relationships/hyperlink" Target="https://tupiel.darsistemas.com/consulta/34655" TargetMode="External"/><Relationship Id="rId199" Type="http://schemas.openxmlformats.org/officeDocument/2006/relationships/hyperlink" Target="https://tupiel.darsistemas.com/consulta/28296" TargetMode="External"/><Relationship Id="rId19" Type="http://schemas.openxmlformats.org/officeDocument/2006/relationships/hyperlink" Target="https://tupiel.darsistemas.com/consulta/23034" TargetMode="External"/><Relationship Id="rId224" Type="http://schemas.openxmlformats.org/officeDocument/2006/relationships/hyperlink" Target="https://tupiel.darsistemas.com/consulta_cups/costos/action?id=25879" TargetMode="External"/><Relationship Id="rId266" Type="http://schemas.openxmlformats.org/officeDocument/2006/relationships/hyperlink" Target="https://tupiel.darsistemas.com/consulta_cups/costos/action?id=26098" TargetMode="External"/><Relationship Id="rId431" Type="http://schemas.openxmlformats.org/officeDocument/2006/relationships/hyperlink" Target="https://tupiel.darsistemas.com/consulta/36561" TargetMode="External"/><Relationship Id="rId473" Type="http://schemas.openxmlformats.org/officeDocument/2006/relationships/hyperlink" Target="https://tupiel.darsistemas.com/consulta/20151" TargetMode="External"/><Relationship Id="rId529" Type="http://schemas.openxmlformats.org/officeDocument/2006/relationships/hyperlink" Target="https://tupiel.darsistemas.com/consulta/36635" TargetMode="External"/><Relationship Id="rId30" Type="http://schemas.openxmlformats.org/officeDocument/2006/relationships/hyperlink" Target="https://tupiel.darsistemas.com/consulta_cups/costos/action?id=23660" TargetMode="External"/><Relationship Id="rId126" Type="http://schemas.openxmlformats.org/officeDocument/2006/relationships/hyperlink" Target="https://tupiel.darsistemas.com/consulta_cups/costos/action?id=25360" TargetMode="External"/><Relationship Id="rId168" Type="http://schemas.openxmlformats.org/officeDocument/2006/relationships/hyperlink" Target="https://tupiel.darsistemas.com/consulta_cups/costos/action?id=25527" TargetMode="External"/><Relationship Id="rId333" Type="http://schemas.openxmlformats.org/officeDocument/2006/relationships/hyperlink" Target="https://tupiel.darsistemas.com/consulta/36396" TargetMode="External"/><Relationship Id="rId540" Type="http://schemas.openxmlformats.org/officeDocument/2006/relationships/hyperlink" Target="https://tupiel.darsistemas.com/consulta_cups/costos/action?id=26880" TargetMode="External"/><Relationship Id="rId72" Type="http://schemas.openxmlformats.org/officeDocument/2006/relationships/hyperlink" Target="https://tupiel.darsistemas.com/consulta_cups/costos/action?id=24916" TargetMode="External"/><Relationship Id="rId375" Type="http://schemas.openxmlformats.org/officeDocument/2006/relationships/hyperlink" Target="https://tupiel.darsistemas.com/consulta/36491" TargetMode="External"/><Relationship Id="rId3" Type="http://schemas.openxmlformats.org/officeDocument/2006/relationships/hyperlink" Target="https://tupiel.darsistemas.com/consulta/28314" TargetMode="External"/><Relationship Id="rId235" Type="http://schemas.openxmlformats.org/officeDocument/2006/relationships/hyperlink" Target="https://tupiel.darsistemas.com/consulta/36129" TargetMode="External"/><Relationship Id="rId277" Type="http://schemas.openxmlformats.org/officeDocument/2006/relationships/hyperlink" Target="https://tupiel.darsistemas.com/consulta/36235" TargetMode="External"/><Relationship Id="rId400" Type="http://schemas.openxmlformats.org/officeDocument/2006/relationships/hyperlink" Target="https://tupiel.darsistemas.com/consulta_cups/costos/action?id=26691" TargetMode="External"/><Relationship Id="rId442" Type="http://schemas.openxmlformats.org/officeDocument/2006/relationships/hyperlink" Target="https://tupiel.darsistemas.com/consulta_cups/costos/action?id=26759" TargetMode="External"/><Relationship Id="rId484" Type="http://schemas.openxmlformats.org/officeDocument/2006/relationships/hyperlink" Target="https://tupiel.darsistemas.com/consulta_cups/costos/action?id=26828" TargetMode="External"/><Relationship Id="rId137" Type="http://schemas.openxmlformats.org/officeDocument/2006/relationships/hyperlink" Target="https://tupiel.darsistemas.com/consulta/21937" TargetMode="External"/><Relationship Id="rId302" Type="http://schemas.openxmlformats.org/officeDocument/2006/relationships/hyperlink" Target="https://tupiel.darsistemas.com/consulta_cups/costos/action?id=26278" TargetMode="External"/><Relationship Id="rId344" Type="http://schemas.openxmlformats.org/officeDocument/2006/relationships/hyperlink" Target="https://tupiel.darsistemas.com/consulta_cups/costos/action?id=26465" TargetMode="External"/><Relationship Id="rId41" Type="http://schemas.openxmlformats.org/officeDocument/2006/relationships/hyperlink" Target="https://tupiel.darsistemas.com/consulta/35071" TargetMode="External"/><Relationship Id="rId83" Type="http://schemas.openxmlformats.org/officeDocument/2006/relationships/hyperlink" Target="https://tupiel.darsistemas.com/consulta/35594" TargetMode="External"/><Relationship Id="rId179" Type="http://schemas.openxmlformats.org/officeDocument/2006/relationships/hyperlink" Target="https://tupiel.darsistemas.com/consulta/35928" TargetMode="External"/><Relationship Id="rId386" Type="http://schemas.openxmlformats.org/officeDocument/2006/relationships/hyperlink" Target="https://tupiel.darsistemas.com/consulta_cups/costos/action?id=26653" TargetMode="External"/><Relationship Id="rId190" Type="http://schemas.openxmlformats.org/officeDocument/2006/relationships/hyperlink" Target="https://tupiel.darsistemas.com/consulta_cups/costos/action?id=25716" TargetMode="External"/><Relationship Id="rId204" Type="http://schemas.openxmlformats.org/officeDocument/2006/relationships/hyperlink" Target="https://tupiel.darsistemas.com/consulta_cups/costos/action?id=25779" TargetMode="External"/><Relationship Id="rId246" Type="http://schemas.openxmlformats.org/officeDocument/2006/relationships/hyperlink" Target="https://tupiel.darsistemas.com/consulta_cups/costos/action?id=26021" TargetMode="External"/><Relationship Id="rId288" Type="http://schemas.openxmlformats.org/officeDocument/2006/relationships/hyperlink" Target="https://tupiel.darsistemas.com/consulta_cups/costos/action?id=26207" TargetMode="External"/><Relationship Id="rId411" Type="http://schemas.openxmlformats.org/officeDocument/2006/relationships/hyperlink" Target="https://tupiel.darsistemas.com/consulta/36538" TargetMode="External"/><Relationship Id="rId453" Type="http://schemas.openxmlformats.org/officeDocument/2006/relationships/hyperlink" Target="https://tupiel.darsistemas.com/consulta/36590" TargetMode="External"/><Relationship Id="rId509" Type="http://schemas.openxmlformats.org/officeDocument/2006/relationships/hyperlink" Target="https://tupiel.darsistemas.com/consulta/36626" TargetMode="External"/><Relationship Id="rId106" Type="http://schemas.openxmlformats.org/officeDocument/2006/relationships/hyperlink" Target="https://tupiel.darsistemas.com/consulta_cups/costos/action?id=25286" TargetMode="External"/><Relationship Id="rId313" Type="http://schemas.openxmlformats.org/officeDocument/2006/relationships/hyperlink" Target="https://tupiel.darsistemas.com/consulta/36349" TargetMode="External"/><Relationship Id="rId495" Type="http://schemas.openxmlformats.org/officeDocument/2006/relationships/hyperlink" Target="https://tupiel.darsistemas.com/consulta/36615" TargetMode="External"/><Relationship Id="rId10" Type="http://schemas.openxmlformats.org/officeDocument/2006/relationships/hyperlink" Target="https://tupiel.darsistemas.com/consulta_cups/costos/action?id=20091" TargetMode="External"/><Relationship Id="rId52" Type="http://schemas.openxmlformats.org/officeDocument/2006/relationships/hyperlink" Target="https://tupiel.darsistemas.com/consulta_cups/costos/action?id=24389" TargetMode="External"/><Relationship Id="rId94" Type="http://schemas.openxmlformats.org/officeDocument/2006/relationships/hyperlink" Target="https://tupiel.darsistemas.com/consulta_cups/costos/action?id=25086" TargetMode="External"/><Relationship Id="rId148" Type="http://schemas.openxmlformats.org/officeDocument/2006/relationships/hyperlink" Target="https://tupiel.darsistemas.com/consulta_cups/costos/action?id=25399" TargetMode="External"/><Relationship Id="rId355" Type="http://schemas.openxmlformats.org/officeDocument/2006/relationships/hyperlink" Target="https://tupiel.darsistemas.com/consulta/36446" TargetMode="External"/><Relationship Id="rId397" Type="http://schemas.openxmlformats.org/officeDocument/2006/relationships/hyperlink" Target="https://tupiel.darsistemas.com/consulta/36527" TargetMode="External"/><Relationship Id="rId520" Type="http://schemas.openxmlformats.org/officeDocument/2006/relationships/hyperlink" Target="https://tupiel.darsistemas.com/consulta_cups/costos/action?id=26863" TargetMode="External"/><Relationship Id="rId215" Type="http://schemas.openxmlformats.org/officeDocument/2006/relationships/hyperlink" Target="https://tupiel.darsistemas.com/consulta/36061" TargetMode="External"/><Relationship Id="rId257" Type="http://schemas.openxmlformats.org/officeDocument/2006/relationships/hyperlink" Target="https://tupiel.darsistemas.com/consulta/36210" TargetMode="External"/><Relationship Id="rId422" Type="http://schemas.openxmlformats.org/officeDocument/2006/relationships/hyperlink" Target="https://tupiel.darsistemas.com/consulta_cups/costos/action?id=26720" TargetMode="External"/><Relationship Id="rId464" Type="http://schemas.openxmlformats.org/officeDocument/2006/relationships/hyperlink" Target="https://tupiel.darsistemas.com/consulta_cups/costos/action?id=26805" TargetMode="External"/><Relationship Id="rId299" Type="http://schemas.openxmlformats.org/officeDocument/2006/relationships/hyperlink" Target="https://tupiel.darsistemas.com/consulta/36302" TargetMode="External"/><Relationship Id="rId63" Type="http://schemas.openxmlformats.org/officeDocument/2006/relationships/hyperlink" Target="https://tupiel.darsistemas.com/consulta/34446" TargetMode="External"/><Relationship Id="rId159" Type="http://schemas.openxmlformats.org/officeDocument/2006/relationships/hyperlink" Target="https://tupiel.darsistemas.com/consulta/35865" TargetMode="External"/><Relationship Id="rId366" Type="http://schemas.openxmlformats.org/officeDocument/2006/relationships/hyperlink" Target="https://tupiel.darsistemas.com/consulta_cups/costos/action?id=26557" TargetMode="External"/><Relationship Id="rId226" Type="http://schemas.openxmlformats.org/officeDocument/2006/relationships/hyperlink" Target="https://tupiel.darsistemas.com/consulta_cups/costos/action?id=25880" TargetMode="External"/><Relationship Id="rId433" Type="http://schemas.openxmlformats.org/officeDocument/2006/relationships/hyperlink" Target="https://tupiel.darsistemas.com/consulta/36563" TargetMode="External"/><Relationship Id="rId74" Type="http://schemas.openxmlformats.org/officeDocument/2006/relationships/hyperlink" Target="https://tupiel.darsistemas.com/consulta_cups/costos/action?id=24917" TargetMode="External"/><Relationship Id="rId377" Type="http://schemas.openxmlformats.org/officeDocument/2006/relationships/hyperlink" Target="https://tupiel.darsistemas.com/consulta/36484" TargetMode="External"/><Relationship Id="rId500" Type="http://schemas.openxmlformats.org/officeDocument/2006/relationships/hyperlink" Target="https://tupiel.darsistemas.com/consulta_cups/costos/action?id=26838" TargetMode="External"/><Relationship Id="rId5" Type="http://schemas.openxmlformats.org/officeDocument/2006/relationships/hyperlink" Target="https://tupiel.darsistemas.com/consulta/30702" TargetMode="External"/><Relationship Id="rId237" Type="http://schemas.openxmlformats.org/officeDocument/2006/relationships/hyperlink" Target="https://tupiel.darsistemas.com/consulta/36157" TargetMode="External"/><Relationship Id="rId444" Type="http://schemas.openxmlformats.org/officeDocument/2006/relationships/hyperlink" Target="https://tupiel.darsistemas.com/consulta_cups/costos/action?id=26762" TargetMode="External"/><Relationship Id="rId290" Type="http://schemas.openxmlformats.org/officeDocument/2006/relationships/hyperlink" Target="https://tupiel.darsistemas.com/consulta_cups/costos/action?id=26219" TargetMode="External"/><Relationship Id="rId304" Type="http://schemas.openxmlformats.org/officeDocument/2006/relationships/hyperlink" Target="https://tupiel.darsistemas.com/consulta_cups/costos/action?id=26285" TargetMode="External"/><Relationship Id="rId388" Type="http://schemas.openxmlformats.org/officeDocument/2006/relationships/hyperlink" Target="https://tupiel.darsistemas.com/consulta_cups/costos/action?id=26654" TargetMode="External"/><Relationship Id="rId511" Type="http://schemas.openxmlformats.org/officeDocument/2006/relationships/hyperlink" Target="https://tupiel.darsistemas.com/consulta/36628" TargetMode="External"/></Relationships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upiel.darsistemas.com/consulta_cups/costos?id=26752" TargetMode="External"/><Relationship Id="rId21" Type="http://schemas.openxmlformats.org/officeDocument/2006/relationships/hyperlink" Target="https://tupiel.darsistemas.com/consulta/36000" TargetMode="External"/><Relationship Id="rId170" Type="http://schemas.openxmlformats.org/officeDocument/2006/relationships/hyperlink" Target="https://tupiel.darsistemas.com/consulta_cups/costos?id=23319" TargetMode="External"/><Relationship Id="rId268" Type="http://schemas.openxmlformats.org/officeDocument/2006/relationships/hyperlink" Target="https://tupiel.darsistemas.com/consulta_cups/costos?id=26046" TargetMode="External"/><Relationship Id="rId475" Type="http://schemas.openxmlformats.org/officeDocument/2006/relationships/hyperlink" Target="https://tupiel.darsistemas.com/consulta/34653" TargetMode="External"/><Relationship Id="rId682" Type="http://schemas.openxmlformats.org/officeDocument/2006/relationships/hyperlink" Target="https://tupiel.darsistemas.com/consulta_cups/costos?id=26329" TargetMode="External"/><Relationship Id="rId128" Type="http://schemas.openxmlformats.org/officeDocument/2006/relationships/hyperlink" Target="https://tupiel.darsistemas.com/consulta_cups/costos?id=24273" TargetMode="External"/><Relationship Id="rId335" Type="http://schemas.openxmlformats.org/officeDocument/2006/relationships/hyperlink" Target="https://tupiel.darsistemas.com/consulta/35832" TargetMode="External"/><Relationship Id="rId542" Type="http://schemas.openxmlformats.org/officeDocument/2006/relationships/hyperlink" Target="https://tupiel.darsistemas.com/consulta_cups/costos?id=26211" TargetMode="External"/><Relationship Id="rId987" Type="http://schemas.openxmlformats.org/officeDocument/2006/relationships/hyperlink" Target="https://tupiel.darsistemas.com/consulta/36465" TargetMode="External"/><Relationship Id="rId1172" Type="http://schemas.openxmlformats.org/officeDocument/2006/relationships/hyperlink" Target="https://tupiel.darsistemas.com/consulta_cups/costos?id=26697" TargetMode="External"/><Relationship Id="rId402" Type="http://schemas.openxmlformats.org/officeDocument/2006/relationships/hyperlink" Target="https://tupiel.darsistemas.com/consulta_cups/costos?id=26166" TargetMode="External"/><Relationship Id="rId847" Type="http://schemas.openxmlformats.org/officeDocument/2006/relationships/hyperlink" Target="https://tupiel.darsistemas.com/consulta/25748" TargetMode="External"/><Relationship Id="rId1032" Type="http://schemas.openxmlformats.org/officeDocument/2006/relationships/hyperlink" Target="https://tupiel.darsistemas.com/consulta_cups/costos?id=24953" TargetMode="External"/><Relationship Id="rId1477" Type="http://schemas.openxmlformats.org/officeDocument/2006/relationships/hyperlink" Target="https://tupiel.darsistemas.com/consulta/24523" TargetMode="External"/><Relationship Id="rId1684" Type="http://schemas.openxmlformats.org/officeDocument/2006/relationships/hyperlink" Target="https://tupiel.darsistemas.com/consulta_cups/costos?id=26534" TargetMode="External"/><Relationship Id="rId707" Type="http://schemas.openxmlformats.org/officeDocument/2006/relationships/hyperlink" Target="https://tupiel.darsistemas.com/consulta/24098" TargetMode="External"/><Relationship Id="rId914" Type="http://schemas.openxmlformats.org/officeDocument/2006/relationships/hyperlink" Target="https://tupiel.darsistemas.com/consulta_cups/costos?id=26507" TargetMode="External"/><Relationship Id="rId1337" Type="http://schemas.openxmlformats.org/officeDocument/2006/relationships/hyperlink" Target="https://tupiel.darsistemas.com/consulta/36430" TargetMode="External"/><Relationship Id="rId1544" Type="http://schemas.openxmlformats.org/officeDocument/2006/relationships/hyperlink" Target="https://tupiel.darsistemas.com/consulta_cups/costos?id=26840" TargetMode="External"/><Relationship Id="rId43" Type="http://schemas.openxmlformats.org/officeDocument/2006/relationships/hyperlink" Target="https://tupiel.darsistemas.com/consulta/35959" TargetMode="External"/><Relationship Id="rId1404" Type="http://schemas.openxmlformats.org/officeDocument/2006/relationships/hyperlink" Target="https://tupiel.darsistemas.com/consulta_cups/costos?id=25670" TargetMode="External"/><Relationship Id="rId1611" Type="http://schemas.openxmlformats.org/officeDocument/2006/relationships/hyperlink" Target="https://tupiel.darsistemas.com/consulta/35849" TargetMode="External"/><Relationship Id="rId192" Type="http://schemas.openxmlformats.org/officeDocument/2006/relationships/hyperlink" Target="https://tupiel.darsistemas.com/consulta_cups/costos?id=25861" TargetMode="External"/><Relationship Id="rId497" Type="http://schemas.openxmlformats.org/officeDocument/2006/relationships/hyperlink" Target="https://tupiel.darsistemas.com/consulta/36193" TargetMode="External"/><Relationship Id="rId357" Type="http://schemas.openxmlformats.org/officeDocument/2006/relationships/hyperlink" Target="https://tupiel.darsistemas.com/consulta/26936" TargetMode="External"/><Relationship Id="rId1194" Type="http://schemas.openxmlformats.org/officeDocument/2006/relationships/hyperlink" Target="https://tupiel.darsistemas.com/consulta_cups/costos?id=26387" TargetMode="External"/><Relationship Id="rId217" Type="http://schemas.openxmlformats.org/officeDocument/2006/relationships/hyperlink" Target="https://tupiel.darsistemas.com/consulta/36126" TargetMode="External"/><Relationship Id="rId564" Type="http://schemas.openxmlformats.org/officeDocument/2006/relationships/hyperlink" Target="https://tupiel.darsistemas.com/consulta_cups/costos?id=26286" TargetMode="External"/><Relationship Id="rId771" Type="http://schemas.openxmlformats.org/officeDocument/2006/relationships/hyperlink" Target="https://tupiel.darsistemas.com/consulta/36365" TargetMode="External"/><Relationship Id="rId869" Type="http://schemas.openxmlformats.org/officeDocument/2006/relationships/hyperlink" Target="https://tupiel.darsistemas.com/consulta/35666" TargetMode="External"/><Relationship Id="rId1499" Type="http://schemas.openxmlformats.org/officeDocument/2006/relationships/hyperlink" Target="https://tupiel.darsistemas.com/consulta/26832" TargetMode="External"/><Relationship Id="rId424" Type="http://schemas.openxmlformats.org/officeDocument/2006/relationships/hyperlink" Target="https://tupiel.darsistemas.com/consulta_cups/costos?id=26199" TargetMode="External"/><Relationship Id="rId631" Type="http://schemas.openxmlformats.org/officeDocument/2006/relationships/hyperlink" Target="https://tupiel.darsistemas.com/consulta/36098" TargetMode="External"/><Relationship Id="rId729" Type="http://schemas.openxmlformats.org/officeDocument/2006/relationships/hyperlink" Target="https://tupiel.darsistemas.com/consulta/33449" TargetMode="External"/><Relationship Id="rId1054" Type="http://schemas.openxmlformats.org/officeDocument/2006/relationships/hyperlink" Target="https://tupiel.darsistemas.com/consulta_cups/costos?id=26574" TargetMode="External"/><Relationship Id="rId1261" Type="http://schemas.openxmlformats.org/officeDocument/2006/relationships/hyperlink" Target="https://tupiel.darsistemas.com/consulta/35748" TargetMode="External"/><Relationship Id="rId1359" Type="http://schemas.openxmlformats.org/officeDocument/2006/relationships/hyperlink" Target="https://tupiel.darsistemas.com/consulta/36410" TargetMode="External"/><Relationship Id="rId936" Type="http://schemas.openxmlformats.org/officeDocument/2006/relationships/hyperlink" Target="https://tupiel.darsistemas.com/consulta_cups/costos?id=25340" TargetMode="External"/><Relationship Id="rId1121" Type="http://schemas.openxmlformats.org/officeDocument/2006/relationships/hyperlink" Target="https://tupiel.darsistemas.com/consulta/36507" TargetMode="External"/><Relationship Id="rId1219" Type="http://schemas.openxmlformats.org/officeDocument/2006/relationships/hyperlink" Target="https://tupiel.darsistemas.com/consulta/36459" TargetMode="External"/><Relationship Id="rId1566" Type="http://schemas.openxmlformats.org/officeDocument/2006/relationships/hyperlink" Target="https://tupiel.darsistemas.com/consulta_cups/costos?id=24064" TargetMode="External"/><Relationship Id="rId65" Type="http://schemas.openxmlformats.org/officeDocument/2006/relationships/hyperlink" Target="https://tupiel.darsistemas.com/consulta/35947" TargetMode="External"/><Relationship Id="rId1426" Type="http://schemas.openxmlformats.org/officeDocument/2006/relationships/hyperlink" Target="https://tupiel.darsistemas.com/consulta_cups/costos?id=24754" TargetMode="External"/><Relationship Id="rId1633" Type="http://schemas.openxmlformats.org/officeDocument/2006/relationships/hyperlink" Target="https://tupiel.darsistemas.com/consulta/36101" TargetMode="External"/><Relationship Id="rId281" Type="http://schemas.openxmlformats.org/officeDocument/2006/relationships/hyperlink" Target="https://tupiel.darsistemas.com/consulta/36188" TargetMode="External"/><Relationship Id="rId141" Type="http://schemas.openxmlformats.org/officeDocument/2006/relationships/hyperlink" Target="https://tupiel.darsistemas.com/consulta/36064" TargetMode="External"/><Relationship Id="rId379" Type="http://schemas.openxmlformats.org/officeDocument/2006/relationships/hyperlink" Target="https://tupiel.darsistemas.com/consulta/36007" TargetMode="External"/><Relationship Id="rId586" Type="http://schemas.openxmlformats.org/officeDocument/2006/relationships/hyperlink" Target="https://tupiel.darsistemas.com/consulta_cups/costos?id=26057" TargetMode="External"/><Relationship Id="rId793" Type="http://schemas.openxmlformats.org/officeDocument/2006/relationships/hyperlink" Target="https://tupiel.darsistemas.com/consulta/36065" TargetMode="External"/><Relationship Id="rId7" Type="http://schemas.openxmlformats.org/officeDocument/2006/relationships/hyperlink" Target="https://tupiel.darsistemas.com/consulta/35859" TargetMode="External"/><Relationship Id="rId239" Type="http://schemas.openxmlformats.org/officeDocument/2006/relationships/hyperlink" Target="https://tupiel.darsistemas.com/consulta/36127" TargetMode="External"/><Relationship Id="rId446" Type="http://schemas.openxmlformats.org/officeDocument/2006/relationships/hyperlink" Target="https://tupiel.darsistemas.com/consulta_cups/costos?id=24088" TargetMode="External"/><Relationship Id="rId653" Type="http://schemas.openxmlformats.org/officeDocument/2006/relationships/hyperlink" Target="https://tupiel.darsistemas.com/consulta/26563" TargetMode="External"/><Relationship Id="rId1076" Type="http://schemas.openxmlformats.org/officeDocument/2006/relationships/hyperlink" Target="https://tupiel.darsistemas.com/consulta_cups/costos?id=25839" TargetMode="External"/><Relationship Id="rId1283" Type="http://schemas.openxmlformats.org/officeDocument/2006/relationships/hyperlink" Target="https://tupiel.darsistemas.com/consulta/36539" TargetMode="External"/><Relationship Id="rId1490" Type="http://schemas.openxmlformats.org/officeDocument/2006/relationships/hyperlink" Target="https://tupiel.darsistemas.com/consulta_cups/costos?id=25777" TargetMode="External"/><Relationship Id="rId306" Type="http://schemas.openxmlformats.org/officeDocument/2006/relationships/hyperlink" Target="https://tupiel.darsistemas.com/consulta_cups/costos?id=25627" TargetMode="External"/><Relationship Id="rId860" Type="http://schemas.openxmlformats.org/officeDocument/2006/relationships/hyperlink" Target="https://tupiel.darsistemas.com/consulta_cups/costos?id=26354" TargetMode="External"/><Relationship Id="rId958" Type="http://schemas.openxmlformats.org/officeDocument/2006/relationships/hyperlink" Target="https://tupiel.darsistemas.com/consulta_cups/costos?id=26495" TargetMode="External"/><Relationship Id="rId1143" Type="http://schemas.openxmlformats.org/officeDocument/2006/relationships/hyperlink" Target="https://tupiel.darsistemas.com/consulta/36370" TargetMode="External"/><Relationship Id="rId1588" Type="http://schemas.openxmlformats.org/officeDocument/2006/relationships/hyperlink" Target="https://tupiel.darsistemas.com/consulta_cups/costos?id=25924" TargetMode="External"/><Relationship Id="rId87" Type="http://schemas.openxmlformats.org/officeDocument/2006/relationships/hyperlink" Target="https://tupiel.darsistemas.com/consulta/26439" TargetMode="External"/><Relationship Id="rId513" Type="http://schemas.openxmlformats.org/officeDocument/2006/relationships/hyperlink" Target="https://tupiel.darsistemas.com/consulta/34049" TargetMode="External"/><Relationship Id="rId720" Type="http://schemas.openxmlformats.org/officeDocument/2006/relationships/hyperlink" Target="https://tupiel.darsistemas.com/consulta_cups/costos?id=26377" TargetMode="External"/><Relationship Id="rId818" Type="http://schemas.openxmlformats.org/officeDocument/2006/relationships/hyperlink" Target="https://tupiel.darsistemas.com/consulta_cups/costos?id=26428" TargetMode="External"/><Relationship Id="rId1350" Type="http://schemas.openxmlformats.org/officeDocument/2006/relationships/hyperlink" Target="https://tupiel.darsistemas.com/consulta_cups/costos?id=26389" TargetMode="External"/><Relationship Id="rId1448" Type="http://schemas.openxmlformats.org/officeDocument/2006/relationships/hyperlink" Target="https://tupiel.darsistemas.com/consulta_cups/costos?id=25947" TargetMode="External"/><Relationship Id="rId1655" Type="http://schemas.openxmlformats.org/officeDocument/2006/relationships/hyperlink" Target="https://tupiel.darsistemas.com/consulta/36264" TargetMode="External"/><Relationship Id="rId1003" Type="http://schemas.openxmlformats.org/officeDocument/2006/relationships/hyperlink" Target="https://tupiel.darsistemas.com/consulta/36231" TargetMode="External"/><Relationship Id="rId1210" Type="http://schemas.openxmlformats.org/officeDocument/2006/relationships/hyperlink" Target="https://tupiel.darsistemas.com/consulta_cups/costos?id=26432" TargetMode="External"/><Relationship Id="rId1308" Type="http://schemas.openxmlformats.org/officeDocument/2006/relationships/hyperlink" Target="https://tupiel.darsistemas.com/consulta_cups/costos?id=26770" TargetMode="External"/><Relationship Id="rId1515" Type="http://schemas.openxmlformats.org/officeDocument/2006/relationships/hyperlink" Target="https://tupiel.darsistemas.com/consulta/27214" TargetMode="External"/><Relationship Id="rId14" Type="http://schemas.openxmlformats.org/officeDocument/2006/relationships/hyperlink" Target="https://tupiel.darsistemas.com/consulta_cups/costos?id=25374" TargetMode="External"/><Relationship Id="rId163" Type="http://schemas.openxmlformats.org/officeDocument/2006/relationships/hyperlink" Target="https://tupiel.darsistemas.com/consulta/30870" TargetMode="External"/><Relationship Id="rId370" Type="http://schemas.openxmlformats.org/officeDocument/2006/relationships/hyperlink" Target="https://tupiel.darsistemas.com/consulta_cups/costos?id=25731" TargetMode="External"/><Relationship Id="rId230" Type="http://schemas.openxmlformats.org/officeDocument/2006/relationships/hyperlink" Target="https://tupiel.darsistemas.com/consulta_cups/costos?id=26055" TargetMode="External"/><Relationship Id="rId468" Type="http://schemas.openxmlformats.org/officeDocument/2006/relationships/hyperlink" Target="https://tupiel.darsistemas.com/consulta_cups/costos?id=26212" TargetMode="External"/><Relationship Id="rId675" Type="http://schemas.openxmlformats.org/officeDocument/2006/relationships/hyperlink" Target="https://tupiel.darsistemas.com/consulta/36243" TargetMode="External"/><Relationship Id="rId882" Type="http://schemas.openxmlformats.org/officeDocument/2006/relationships/hyperlink" Target="https://tupiel.darsistemas.com/consulta_cups/costos?id=26288" TargetMode="External"/><Relationship Id="rId1098" Type="http://schemas.openxmlformats.org/officeDocument/2006/relationships/hyperlink" Target="https://tupiel.darsistemas.com/consulta_cups/costos?id=25584" TargetMode="External"/><Relationship Id="rId328" Type="http://schemas.openxmlformats.org/officeDocument/2006/relationships/hyperlink" Target="https://tupiel.darsistemas.com/consulta_cups/costos?id=23892" TargetMode="External"/><Relationship Id="rId535" Type="http://schemas.openxmlformats.org/officeDocument/2006/relationships/hyperlink" Target="https://tupiel.darsistemas.com/consulta/27956" TargetMode="External"/><Relationship Id="rId742" Type="http://schemas.openxmlformats.org/officeDocument/2006/relationships/hyperlink" Target="https://tupiel.darsistemas.com/consulta_cups/costos?id=25590" TargetMode="External"/><Relationship Id="rId1165" Type="http://schemas.openxmlformats.org/officeDocument/2006/relationships/hyperlink" Target="https://tupiel.darsistemas.com/consulta/29113" TargetMode="External"/><Relationship Id="rId1372" Type="http://schemas.openxmlformats.org/officeDocument/2006/relationships/hyperlink" Target="https://tupiel.darsistemas.com/consulta_cups/costos?id=26820" TargetMode="External"/><Relationship Id="rId602" Type="http://schemas.openxmlformats.org/officeDocument/2006/relationships/hyperlink" Target="https://tupiel.darsistemas.com/consulta_cups/costos?id=25972" TargetMode="External"/><Relationship Id="rId1025" Type="http://schemas.openxmlformats.org/officeDocument/2006/relationships/hyperlink" Target="https://tupiel.darsistemas.com/consulta/36322" TargetMode="External"/><Relationship Id="rId1232" Type="http://schemas.openxmlformats.org/officeDocument/2006/relationships/hyperlink" Target="https://tupiel.darsistemas.com/consulta_cups/costos?id=26092" TargetMode="External"/><Relationship Id="rId1677" Type="http://schemas.openxmlformats.org/officeDocument/2006/relationships/hyperlink" Target="https://tupiel.darsistemas.com/consulta/36437" TargetMode="External"/><Relationship Id="rId907" Type="http://schemas.openxmlformats.org/officeDocument/2006/relationships/hyperlink" Target="https://tupiel.darsistemas.com/consulta/36379" TargetMode="External"/><Relationship Id="rId1537" Type="http://schemas.openxmlformats.org/officeDocument/2006/relationships/hyperlink" Target="https://tupiel.darsistemas.com/consulta/28584" TargetMode="External"/><Relationship Id="rId36" Type="http://schemas.openxmlformats.org/officeDocument/2006/relationships/hyperlink" Target="https://tupiel.darsistemas.com/consulta_cups/costos?id=25713" TargetMode="External"/><Relationship Id="rId1604" Type="http://schemas.openxmlformats.org/officeDocument/2006/relationships/hyperlink" Target="https://tupiel.darsistemas.com/consulta_cups/costos?id=25074" TargetMode="External"/><Relationship Id="rId185" Type="http://schemas.openxmlformats.org/officeDocument/2006/relationships/hyperlink" Target="https://tupiel.darsistemas.com/consulta/36089" TargetMode="External"/><Relationship Id="rId392" Type="http://schemas.openxmlformats.org/officeDocument/2006/relationships/hyperlink" Target="https://tupiel.darsistemas.com/consulta_cups/costos?id=26168" TargetMode="External"/><Relationship Id="rId697" Type="http://schemas.openxmlformats.org/officeDocument/2006/relationships/hyperlink" Target="https://tupiel.darsistemas.com/consulta/36329" TargetMode="External"/><Relationship Id="rId252" Type="http://schemas.openxmlformats.org/officeDocument/2006/relationships/hyperlink" Target="https://tupiel.darsistemas.com/consulta_cups/costos?id=25832" TargetMode="External"/><Relationship Id="rId1187" Type="http://schemas.openxmlformats.org/officeDocument/2006/relationships/hyperlink" Target="https://tupiel.darsistemas.com/consulta/36495" TargetMode="External"/><Relationship Id="rId112" Type="http://schemas.openxmlformats.org/officeDocument/2006/relationships/hyperlink" Target="https://tupiel.darsistemas.com/consulta_cups/costos?id=24998" TargetMode="External"/><Relationship Id="rId557" Type="http://schemas.openxmlformats.org/officeDocument/2006/relationships/hyperlink" Target="https://tupiel.darsistemas.com/consulta/36192" TargetMode="External"/><Relationship Id="rId764" Type="http://schemas.openxmlformats.org/officeDocument/2006/relationships/hyperlink" Target="https://tupiel.darsistemas.com/consulta_cups/costos?id=26404" TargetMode="External"/><Relationship Id="rId971" Type="http://schemas.openxmlformats.org/officeDocument/2006/relationships/hyperlink" Target="https://tupiel.darsistemas.com/consulta/35466" TargetMode="External"/><Relationship Id="rId1394" Type="http://schemas.openxmlformats.org/officeDocument/2006/relationships/hyperlink" Target="https://tupiel.darsistemas.com/consulta_cups/costos?id=26845" TargetMode="External"/><Relationship Id="rId1699" Type="http://schemas.openxmlformats.org/officeDocument/2006/relationships/printerSettings" Target="../printerSettings/printerSettings5.bin"/><Relationship Id="rId417" Type="http://schemas.openxmlformats.org/officeDocument/2006/relationships/hyperlink" Target="https://tupiel.darsistemas.com/consulta/36223" TargetMode="External"/><Relationship Id="rId624" Type="http://schemas.openxmlformats.org/officeDocument/2006/relationships/hyperlink" Target="https://tupiel.darsistemas.com/consulta_cups/costos?id=24522" TargetMode="External"/><Relationship Id="rId831" Type="http://schemas.openxmlformats.org/officeDocument/2006/relationships/hyperlink" Target="https://tupiel.darsistemas.com/consulta/34741" TargetMode="External"/><Relationship Id="rId1047" Type="http://schemas.openxmlformats.org/officeDocument/2006/relationships/hyperlink" Target="https://tupiel.darsistemas.com/consulta/33352" TargetMode="External"/><Relationship Id="rId1254" Type="http://schemas.openxmlformats.org/officeDocument/2006/relationships/hyperlink" Target="https://tupiel.darsistemas.com/consulta_cups/costos?id=26710" TargetMode="External"/><Relationship Id="rId1461" Type="http://schemas.openxmlformats.org/officeDocument/2006/relationships/hyperlink" Target="https://tupiel.darsistemas.com/consulta/22001" TargetMode="External"/><Relationship Id="rId929" Type="http://schemas.openxmlformats.org/officeDocument/2006/relationships/hyperlink" Target="https://tupiel.darsistemas.com/consulta/30726" TargetMode="External"/><Relationship Id="rId1114" Type="http://schemas.openxmlformats.org/officeDocument/2006/relationships/hyperlink" Target="https://tupiel.darsistemas.com/consulta_cups/costos?id=25256" TargetMode="External"/><Relationship Id="rId1321" Type="http://schemas.openxmlformats.org/officeDocument/2006/relationships/hyperlink" Target="https://tupiel.darsistemas.com/consulta/36555" TargetMode="External"/><Relationship Id="rId1559" Type="http://schemas.openxmlformats.org/officeDocument/2006/relationships/hyperlink" Target="https://tupiel.darsistemas.com/consulta/31801" TargetMode="External"/><Relationship Id="rId58" Type="http://schemas.openxmlformats.org/officeDocument/2006/relationships/hyperlink" Target="https://tupiel.darsistemas.com/consulta_cups/costos?id=25595" TargetMode="External"/><Relationship Id="rId1419" Type="http://schemas.openxmlformats.org/officeDocument/2006/relationships/hyperlink" Target="https://tupiel.darsistemas.com/consulta/36227" TargetMode="External"/><Relationship Id="rId1626" Type="http://schemas.openxmlformats.org/officeDocument/2006/relationships/hyperlink" Target="https://tupiel.darsistemas.com/consulta_cups/costos?id=25815" TargetMode="External"/><Relationship Id="rId274" Type="http://schemas.openxmlformats.org/officeDocument/2006/relationships/hyperlink" Target="https://tupiel.darsistemas.com/consulta_cups/costos?id=26086" TargetMode="External"/><Relationship Id="rId481" Type="http://schemas.openxmlformats.org/officeDocument/2006/relationships/hyperlink" Target="https://tupiel.darsistemas.com/consulta/35335" TargetMode="External"/><Relationship Id="rId134" Type="http://schemas.openxmlformats.org/officeDocument/2006/relationships/hyperlink" Target="https://tupiel.darsistemas.com/consulta_cups/costos?id=25903" TargetMode="External"/><Relationship Id="rId579" Type="http://schemas.openxmlformats.org/officeDocument/2006/relationships/hyperlink" Target="https://tupiel.darsistemas.com/consulta/32917" TargetMode="External"/><Relationship Id="rId786" Type="http://schemas.openxmlformats.org/officeDocument/2006/relationships/hyperlink" Target="https://tupiel.darsistemas.com/consulta_cups/costos?id=26436" TargetMode="External"/><Relationship Id="rId993" Type="http://schemas.openxmlformats.org/officeDocument/2006/relationships/hyperlink" Target="https://tupiel.darsistemas.com/consulta/36472" TargetMode="External"/><Relationship Id="rId341" Type="http://schemas.openxmlformats.org/officeDocument/2006/relationships/hyperlink" Target="https://tupiel.darsistemas.com/consulta/36099" TargetMode="External"/><Relationship Id="rId439" Type="http://schemas.openxmlformats.org/officeDocument/2006/relationships/hyperlink" Target="https://tupiel.darsistemas.com/consulta/29068" TargetMode="External"/><Relationship Id="rId646" Type="http://schemas.openxmlformats.org/officeDocument/2006/relationships/hyperlink" Target="https://tupiel.darsistemas.com/consulta_cups/costos?id=25928" TargetMode="External"/><Relationship Id="rId1069" Type="http://schemas.openxmlformats.org/officeDocument/2006/relationships/hyperlink" Target="https://tupiel.darsistemas.com/consulta/35984" TargetMode="External"/><Relationship Id="rId1276" Type="http://schemas.openxmlformats.org/officeDocument/2006/relationships/hyperlink" Target="https://tupiel.darsistemas.com/consulta_cups/costos?id=26722" TargetMode="External"/><Relationship Id="rId1483" Type="http://schemas.openxmlformats.org/officeDocument/2006/relationships/hyperlink" Target="https://tupiel.darsistemas.com/consulta/24928" TargetMode="External"/><Relationship Id="rId201" Type="http://schemas.openxmlformats.org/officeDocument/2006/relationships/hyperlink" Target="https://tupiel.darsistemas.com/consulta/36166" TargetMode="External"/><Relationship Id="rId506" Type="http://schemas.openxmlformats.org/officeDocument/2006/relationships/hyperlink" Target="https://tupiel.darsistemas.com/consulta_cups/costos?id=25343" TargetMode="External"/><Relationship Id="rId853" Type="http://schemas.openxmlformats.org/officeDocument/2006/relationships/hyperlink" Target="https://tupiel.darsistemas.com/consulta/30646" TargetMode="External"/><Relationship Id="rId1136" Type="http://schemas.openxmlformats.org/officeDocument/2006/relationships/hyperlink" Target="https://tupiel.darsistemas.com/consulta_cups/costos?id=26266" TargetMode="External"/><Relationship Id="rId1690" Type="http://schemas.openxmlformats.org/officeDocument/2006/relationships/hyperlink" Target="https://tupiel.darsistemas.com/consulta_cups/costos?id=26573" TargetMode="External"/><Relationship Id="rId713" Type="http://schemas.openxmlformats.org/officeDocument/2006/relationships/hyperlink" Target="https://tupiel.darsistemas.com/consulta/36352" TargetMode="External"/><Relationship Id="rId920" Type="http://schemas.openxmlformats.org/officeDocument/2006/relationships/hyperlink" Target="https://tupiel.darsistemas.com/consulta_cups/costos?id=26201" TargetMode="External"/><Relationship Id="rId1343" Type="http://schemas.openxmlformats.org/officeDocument/2006/relationships/hyperlink" Target="https://tupiel.darsistemas.com/consulta/36209" TargetMode="External"/><Relationship Id="rId1550" Type="http://schemas.openxmlformats.org/officeDocument/2006/relationships/hyperlink" Target="https://tupiel.darsistemas.com/consulta_cups/costos?id=26438" TargetMode="External"/><Relationship Id="rId1648" Type="http://schemas.openxmlformats.org/officeDocument/2006/relationships/hyperlink" Target="https://tupiel.darsistemas.com/consulta_cups/costos?id=25953" TargetMode="External"/><Relationship Id="rId1203" Type="http://schemas.openxmlformats.org/officeDocument/2006/relationships/hyperlink" Target="https://tupiel.darsistemas.com/consulta/36448" TargetMode="External"/><Relationship Id="rId1410" Type="http://schemas.openxmlformats.org/officeDocument/2006/relationships/hyperlink" Target="https://tupiel.darsistemas.com/consulta_cups/costos?id=26695" TargetMode="External"/><Relationship Id="rId1508" Type="http://schemas.openxmlformats.org/officeDocument/2006/relationships/hyperlink" Target="https://tupiel.darsistemas.com/consulta_cups/costos?id=26583" TargetMode="External"/><Relationship Id="rId296" Type="http://schemas.openxmlformats.org/officeDocument/2006/relationships/hyperlink" Target="https://tupiel.darsistemas.com/consulta_cups/costos?id=26095" TargetMode="External"/><Relationship Id="rId156" Type="http://schemas.openxmlformats.org/officeDocument/2006/relationships/hyperlink" Target="https://tupiel.darsistemas.com/consulta_cups/costos?id=24593" TargetMode="External"/><Relationship Id="rId363" Type="http://schemas.openxmlformats.org/officeDocument/2006/relationships/hyperlink" Target="https://tupiel.darsistemas.com/consulta/36138" TargetMode="External"/><Relationship Id="rId570" Type="http://schemas.openxmlformats.org/officeDocument/2006/relationships/hyperlink" Target="https://tupiel.darsistemas.com/consulta_cups/costos?id=22690" TargetMode="External"/><Relationship Id="rId223" Type="http://schemas.openxmlformats.org/officeDocument/2006/relationships/hyperlink" Target="https://tupiel.darsistemas.com/consulta/36191" TargetMode="External"/><Relationship Id="rId430" Type="http://schemas.openxmlformats.org/officeDocument/2006/relationships/hyperlink" Target="https://tupiel.darsistemas.com/consulta_cups/costos?id=25373" TargetMode="External"/><Relationship Id="rId668" Type="http://schemas.openxmlformats.org/officeDocument/2006/relationships/hyperlink" Target="https://tupiel.darsistemas.com/consulta_cups/costos?id=25621" TargetMode="External"/><Relationship Id="rId875" Type="http://schemas.openxmlformats.org/officeDocument/2006/relationships/hyperlink" Target="https://tupiel.darsistemas.com/consulta/36361" TargetMode="External"/><Relationship Id="rId1060" Type="http://schemas.openxmlformats.org/officeDocument/2006/relationships/hyperlink" Target="https://tupiel.darsistemas.com/consulta_cups/costos?id=24380" TargetMode="External"/><Relationship Id="rId1298" Type="http://schemas.openxmlformats.org/officeDocument/2006/relationships/hyperlink" Target="https://tupiel.darsistemas.com/consulta_cups/costos?id=26758" TargetMode="External"/><Relationship Id="rId528" Type="http://schemas.openxmlformats.org/officeDocument/2006/relationships/hyperlink" Target="https://tupiel.darsistemas.com/consulta_cups/costos?id=26254" TargetMode="External"/><Relationship Id="rId735" Type="http://schemas.openxmlformats.org/officeDocument/2006/relationships/hyperlink" Target="https://tupiel.darsistemas.com/consulta/25413" TargetMode="External"/><Relationship Id="rId942" Type="http://schemas.openxmlformats.org/officeDocument/2006/relationships/hyperlink" Target="https://tupiel.darsistemas.com/consulta_cups/costos?id=25117" TargetMode="External"/><Relationship Id="rId1158" Type="http://schemas.openxmlformats.org/officeDocument/2006/relationships/hyperlink" Target="https://tupiel.darsistemas.com/consulta_cups/costos?id=26652" TargetMode="External"/><Relationship Id="rId1365" Type="http://schemas.openxmlformats.org/officeDocument/2006/relationships/hyperlink" Target="https://tupiel.darsistemas.com/consulta/36595" TargetMode="External"/><Relationship Id="rId1572" Type="http://schemas.openxmlformats.org/officeDocument/2006/relationships/hyperlink" Target="https://tupiel.darsistemas.com/consulta_cups/costos?id=21740" TargetMode="External"/><Relationship Id="rId1018" Type="http://schemas.openxmlformats.org/officeDocument/2006/relationships/hyperlink" Target="https://tupiel.darsistemas.com/consulta_cups/costos?id=26511" TargetMode="External"/><Relationship Id="rId1225" Type="http://schemas.openxmlformats.org/officeDocument/2006/relationships/hyperlink" Target="https://tupiel.darsistemas.com/consulta/36399" TargetMode="External"/><Relationship Id="rId1432" Type="http://schemas.openxmlformats.org/officeDocument/2006/relationships/hyperlink" Target="https://tupiel.darsistemas.com/consulta_cups/costos?id=24331" TargetMode="External"/><Relationship Id="rId71" Type="http://schemas.openxmlformats.org/officeDocument/2006/relationships/hyperlink" Target="https://tupiel.darsistemas.com/consulta/35120" TargetMode="External"/><Relationship Id="rId802" Type="http://schemas.openxmlformats.org/officeDocument/2006/relationships/hyperlink" Target="https://tupiel.darsistemas.com/consulta_cups/costos?id=26440" TargetMode="External"/><Relationship Id="rId29" Type="http://schemas.openxmlformats.org/officeDocument/2006/relationships/hyperlink" Target="https://tupiel.darsistemas.com/consulta/35966" TargetMode="External"/><Relationship Id="rId178" Type="http://schemas.openxmlformats.org/officeDocument/2006/relationships/hyperlink" Target="https://tupiel.darsistemas.com/consulta_cups/costos?id=25582" TargetMode="External"/><Relationship Id="rId385" Type="http://schemas.openxmlformats.org/officeDocument/2006/relationships/hyperlink" Target="https://tupiel.darsistemas.com/consulta/32399" TargetMode="External"/><Relationship Id="rId592" Type="http://schemas.openxmlformats.org/officeDocument/2006/relationships/hyperlink" Target="https://tupiel.darsistemas.com/consulta_cups/costos?id=26006" TargetMode="External"/><Relationship Id="rId245" Type="http://schemas.openxmlformats.org/officeDocument/2006/relationships/hyperlink" Target="https://tupiel.darsistemas.com/consulta/33334" TargetMode="External"/><Relationship Id="rId452" Type="http://schemas.openxmlformats.org/officeDocument/2006/relationships/hyperlink" Target="https://tupiel.darsistemas.com/consulta_cups/costos?id=21839" TargetMode="External"/><Relationship Id="rId897" Type="http://schemas.openxmlformats.org/officeDocument/2006/relationships/hyperlink" Target="https://tupiel.darsistemas.com/consulta/34605" TargetMode="External"/><Relationship Id="rId1082" Type="http://schemas.openxmlformats.org/officeDocument/2006/relationships/hyperlink" Target="https://tupiel.darsistemas.com/consulta_cups/costos?id=25252" TargetMode="External"/><Relationship Id="rId105" Type="http://schemas.openxmlformats.org/officeDocument/2006/relationships/hyperlink" Target="https://tupiel.darsistemas.com/consulta/34323" TargetMode="External"/><Relationship Id="rId312" Type="http://schemas.openxmlformats.org/officeDocument/2006/relationships/hyperlink" Target="https://tupiel.darsistemas.com/consulta_cups/costos?id=24834" TargetMode="External"/><Relationship Id="rId757" Type="http://schemas.openxmlformats.org/officeDocument/2006/relationships/hyperlink" Target="https://tupiel.darsistemas.com/consulta/35973" TargetMode="External"/><Relationship Id="rId964" Type="http://schemas.openxmlformats.org/officeDocument/2006/relationships/hyperlink" Target="https://tupiel.darsistemas.com/consulta_cups/costos?id=26525" TargetMode="External"/><Relationship Id="rId1387" Type="http://schemas.openxmlformats.org/officeDocument/2006/relationships/hyperlink" Target="https://tupiel.darsistemas.com/consulta/36577" TargetMode="External"/><Relationship Id="rId1594" Type="http://schemas.openxmlformats.org/officeDocument/2006/relationships/hyperlink" Target="https://tupiel.darsistemas.com/consulta_cups/costos?id=26451" TargetMode="External"/><Relationship Id="rId93" Type="http://schemas.openxmlformats.org/officeDocument/2006/relationships/hyperlink" Target="https://tupiel.darsistemas.com/consulta/36069" TargetMode="External"/><Relationship Id="rId617" Type="http://schemas.openxmlformats.org/officeDocument/2006/relationships/hyperlink" Target="https://tupiel.darsistemas.com/consulta/36330" TargetMode="External"/><Relationship Id="rId824" Type="http://schemas.openxmlformats.org/officeDocument/2006/relationships/hyperlink" Target="https://tupiel.darsistemas.com/consulta_cups/costos?id=26407" TargetMode="External"/><Relationship Id="rId1247" Type="http://schemas.openxmlformats.org/officeDocument/2006/relationships/hyperlink" Target="https://tupiel.darsistemas.com/consulta/35525" TargetMode="External"/><Relationship Id="rId1454" Type="http://schemas.openxmlformats.org/officeDocument/2006/relationships/hyperlink" Target="https://tupiel.darsistemas.com/consulta_cups/costos?id=25979" TargetMode="External"/><Relationship Id="rId1661" Type="http://schemas.openxmlformats.org/officeDocument/2006/relationships/hyperlink" Target="https://tupiel.darsistemas.com/consulta/36309" TargetMode="External"/><Relationship Id="rId1107" Type="http://schemas.openxmlformats.org/officeDocument/2006/relationships/hyperlink" Target="https://tupiel.darsistemas.com/consulta/29527" TargetMode="External"/><Relationship Id="rId1314" Type="http://schemas.openxmlformats.org/officeDocument/2006/relationships/hyperlink" Target="https://tupiel.darsistemas.com/consulta_cups/costos?id=26732" TargetMode="External"/><Relationship Id="rId1521" Type="http://schemas.openxmlformats.org/officeDocument/2006/relationships/hyperlink" Target="https://tupiel.darsistemas.com/consulta/27214" TargetMode="External"/><Relationship Id="rId1619" Type="http://schemas.openxmlformats.org/officeDocument/2006/relationships/hyperlink" Target="https://tupiel.darsistemas.com/consulta/35938" TargetMode="External"/><Relationship Id="rId20" Type="http://schemas.openxmlformats.org/officeDocument/2006/relationships/hyperlink" Target="https://tupiel.darsistemas.com/consulta_cups/costos?id=25776" TargetMode="External"/><Relationship Id="rId267" Type="http://schemas.openxmlformats.org/officeDocument/2006/relationships/hyperlink" Target="https://tupiel.darsistemas.com/consulta/33377" TargetMode="External"/><Relationship Id="rId474" Type="http://schemas.openxmlformats.org/officeDocument/2006/relationships/hyperlink" Target="https://tupiel.darsistemas.com/consulta_cups/costos?id=25598" TargetMode="External"/><Relationship Id="rId127" Type="http://schemas.openxmlformats.org/officeDocument/2006/relationships/hyperlink" Target="https://tupiel.darsistemas.com/consulta/35148" TargetMode="External"/><Relationship Id="rId681" Type="http://schemas.openxmlformats.org/officeDocument/2006/relationships/hyperlink" Target="https://tupiel.darsistemas.com/consulta/33848" TargetMode="External"/><Relationship Id="rId779" Type="http://schemas.openxmlformats.org/officeDocument/2006/relationships/hyperlink" Target="https://tupiel.darsistemas.com/consulta/34560" TargetMode="External"/><Relationship Id="rId986" Type="http://schemas.openxmlformats.org/officeDocument/2006/relationships/hyperlink" Target="https://tupiel.darsistemas.com/consulta_cups/costos?id=26556" TargetMode="External"/><Relationship Id="rId334" Type="http://schemas.openxmlformats.org/officeDocument/2006/relationships/hyperlink" Target="https://tupiel.darsistemas.com/consulta_cups/costos?id=25284" TargetMode="External"/><Relationship Id="rId541" Type="http://schemas.openxmlformats.org/officeDocument/2006/relationships/hyperlink" Target="https://tupiel.darsistemas.com/consulta/36267" TargetMode="External"/><Relationship Id="rId639" Type="http://schemas.openxmlformats.org/officeDocument/2006/relationships/hyperlink" Target="https://tupiel.darsistemas.com/consulta/35994" TargetMode="External"/><Relationship Id="rId1171" Type="http://schemas.openxmlformats.org/officeDocument/2006/relationships/hyperlink" Target="https://tupiel.darsistemas.com/consulta/36534" TargetMode="External"/><Relationship Id="rId1269" Type="http://schemas.openxmlformats.org/officeDocument/2006/relationships/hyperlink" Target="https://tupiel.darsistemas.com/consulta/36522" TargetMode="External"/><Relationship Id="rId1476" Type="http://schemas.openxmlformats.org/officeDocument/2006/relationships/hyperlink" Target="https://tupiel.darsistemas.com/consulta_cups/costos?id=26051" TargetMode="External"/><Relationship Id="rId401" Type="http://schemas.openxmlformats.org/officeDocument/2006/relationships/hyperlink" Target="https://tupiel.darsistemas.com/consulta/36238" TargetMode="External"/><Relationship Id="rId846" Type="http://schemas.openxmlformats.org/officeDocument/2006/relationships/hyperlink" Target="https://tupiel.darsistemas.com/consulta_cups/costos?id=23922" TargetMode="External"/><Relationship Id="rId1031" Type="http://schemas.openxmlformats.org/officeDocument/2006/relationships/hyperlink" Target="https://tupiel.darsistemas.com/consulta/35578" TargetMode="External"/><Relationship Id="rId1129" Type="http://schemas.openxmlformats.org/officeDocument/2006/relationships/hyperlink" Target="https://tupiel.darsistemas.com/consulta/36498" TargetMode="External"/><Relationship Id="rId1683" Type="http://schemas.openxmlformats.org/officeDocument/2006/relationships/hyperlink" Target="https://tupiel.darsistemas.com/consulta/36449" TargetMode="External"/><Relationship Id="rId706" Type="http://schemas.openxmlformats.org/officeDocument/2006/relationships/hyperlink" Target="https://tupiel.darsistemas.com/consulta_cups/costos?id=26367" TargetMode="External"/><Relationship Id="rId913" Type="http://schemas.openxmlformats.org/officeDocument/2006/relationships/hyperlink" Target="https://tupiel.darsistemas.com/consulta/31680" TargetMode="External"/><Relationship Id="rId1336" Type="http://schemas.openxmlformats.org/officeDocument/2006/relationships/hyperlink" Target="https://tupiel.darsistemas.com/consulta_cups/costos?id=25656" TargetMode="External"/><Relationship Id="rId1543" Type="http://schemas.openxmlformats.org/officeDocument/2006/relationships/hyperlink" Target="https://tupiel.darsistemas.com/consulta/29203" TargetMode="External"/><Relationship Id="rId42" Type="http://schemas.openxmlformats.org/officeDocument/2006/relationships/hyperlink" Target="https://tupiel.darsistemas.com/consulta_cups/costos?id=25846" TargetMode="External"/><Relationship Id="rId1403" Type="http://schemas.openxmlformats.org/officeDocument/2006/relationships/hyperlink" Target="https://tupiel.darsistemas.com/consulta/35905" TargetMode="External"/><Relationship Id="rId1610" Type="http://schemas.openxmlformats.org/officeDocument/2006/relationships/hyperlink" Target="https://tupiel.darsistemas.com/consulta_cups/costos?id=25224" TargetMode="External"/><Relationship Id="rId191" Type="http://schemas.openxmlformats.org/officeDocument/2006/relationships/hyperlink" Target="https://tupiel.darsistemas.com/consulta/36077" TargetMode="External"/><Relationship Id="rId289" Type="http://schemas.openxmlformats.org/officeDocument/2006/relationships/hyperlink" Target="https://tupiel.darsistemas.com/consulta/36196" TargetMode="External"/><Relationship Id="rId496" Type="http://schemas.openxmlformats.org/officeDocument/2006/relationships/hyperlink" Target="https://tupiel.darsistemas.com/consulta_cups/costos?id=26231" TargetMode="External"/><Relationship Id="rId149" Type="http://schemas.openxmlformats.org/officeDocument/2006/relationships/hyperlink" Target="https://tupiel.darsistemas.com/consulta/35899" TargetMode="External"/><Relationship Id="rId356" Type="http://schemas.openxmlformats.org/officeDocument/2006/relationships/hyperlink" Target="https://tupiel.darsistemas.com/consulta_cups/costos?id=26121" TargetMode="External"/><Relationship Id="rId563" Type="http://schemas.openxmlformats.org/officeDocument/2006/relationships/hyperlink" Target="https://tupiel.darsistemas.com/consulta/36311" TargetMode="External"/><Relationship Id="rId770" Type="http://schemas.openxmlformats.org/officeDocument/2006/relationships/hyperlink" Target="https://tupiel.darsistemas.com/consulta_cups/costos?id=26370" TargetMode="External"/><Relationship Id="rId1193" Type="http://schemas.openxmlformats.org/officeDocument/2006/relationships/hyperlink" Target="https://tupiel.darsistemas.com/consulta/33292" TargetMode="External"/><Relationship Id="rId216" Type="http://schemas.openxmlformats.org/officeDocument/2006/relationships/hyperlink" Target="https://tupiel.darsistemas.com/consulta_cups/costos?id=25223" TargetMode="External"/><Relationship Id="rId423" Type="http://schemas.openxmlformats.org/officeDocument/2006/relationships/hyperlink" Target="https://tupiel.darsistemas.com/consulta/36262" TargetMode="External"/><Relationship Id="rId868" Type="http://schemas.openxmlformats.org/officeDocument/2006/relationships/hyperlink" Target="https://tupiel.darsistemas.com/consulta_cups/costos?id=25108" TargetMode="External"/><Relationship Id="rId1053" Type="http://schemas.openxmlformats.org/officeDocument/2006/relationships/hyperlink" Target="https://tupiel.darsistemas.com/consulta/31722" TargetMode="External"/><Relationship Id="rId1260" Type="http://schemas.openxmlformats.org/officeDocument/2006/relationships/hyperlink" Target="https://tupiel.darsistemas.com/consulta_cups/costos?id=26716" TargetMode="External"/><Relationship Id="rId1498" Type="http://schemas.openxmlformats.org/officeDocument/2006/relationships/hyperlink" Target="https://tupiel.darsistemas.com/consulta_cups/costos?id=25146" TargetMode="External"/><Relationship Id="rId630" Type="http://schemas.openxmlformats.org/officeDocument/2006/relationships/hyperlink" Target="https://tupiel.darsistemas.com/consulta_cups/costos?id=26216" TargetMode="External"/><Relationship Id="rId728" Type="http://schemas.openxmlformats.org/officeDocument/2006/relationships/hyperlink" Target="https://tupiel.darsistemas.com/consulta_cups/costos?id=26291" TargetMode="External"/><Relationship Id="rId935" Type="http://schemas.openxmlformats.org/officeDocument/2006/relationships/hyperlink" Target="https://tupiel.darsistemas.com/consulta/32877" TargetMode="External"/><Relationship Id="rId1358" Type="http://schemas.openxmlformats.org/officeDocument/2006/relationships/hyperlink" Target="https://tupiel.darsistemas.com/consulta_cups/costos?id=26746" TargetMode="External"/><Relationship Id="rId1565" Type="http://schemas.openxmlformats.org/officeDocument/2006/relationships/hyperlink" Target="https://tupiel.darsistemas.com/consulta/32956" TargetMode="External"/><Relationship Id="rId64" Type="http://schemas.openxmlformats.org/officeDocument/2006/relationships/hyperlink" Target="https://tupiel.darsistemas.com/consulta_cups/costos?id=25859" TargetMode="External"/><Relationship Id="rId1120" Type="http://schemas.openxmlformats.org/officeDocument/2006/relationships/hyperlink" Target="https://tupiel.darsistemas.com/consulta_cups/costos?id=26579" TargetMode="External"/><Relationship Id="rId1218" Type="http://schemas.openxmlformats.org/officeDocument/2006/relationships/hyperlink" Target="https://tupiel.darsistemas.com/consulta_cups/costos?id=26739" TargetMode="External"/><Relationship Id="rId1425" Type="http://schemas.openxmlformats.org/officeDocument/2006/relationships/hyperlink" Target="https://tupiel.darsistemas.com/consulta/35451" TargetMode="External"/><Relationship Id="rId1632" Type="http://schemas.openxmlformats.org/officeDocument/2006/relationships/hyperlink" Target="https://tupiel.darsistemas.com/consulta_cups/costos?id=26139" TargetMode="External"/><Relationship Id="rId280" Type="http://schemas.openxmlformats.org/officeDocument/2006/relationships/hyperlink" Target="https://tupiel.darsistemas.com/consulta_cups/costos?id=21382" TargetMode="External"/><Relationship Id="rId140" Type="http://schemas.openxmlformats.org/officeDocument/2006/relationships/hyperlink" Target="https://tupiel.darsistemas.com/consulta_cups/costos?id=25916" TargetMode="External"/><Relationship Id="rId378" Type="http://schemas.openxmlformats.org/officeDocument/2006/relationships/hyperlink" Target="https://tupiel.darsistemas.com/consulta_cups/costos?id=26128" TargetMode="External"/><Relationship Id="rId585" Type="http://schemas.openxmlformats.org/officeDocument/2006/relationships/hyperlink" Target="https://tupiel.darsistemas.com/consulta/36195" TargetMode="External"/><Relationship Id="rId792" Type="http://schemas.openxmlformats.org/officeDocument/2006/relationships/hyperlink" Target="https://tupiel.darsistemas.com/consulta_cups/costos?id=24716" TargetMode="External"/><Relationship Id="rId6" Type="http://schemas.openxmlformats.org/officeDocument/2006/relationships/hyperlink" Target="https://tupiel.darsistemas.com/consulta_cups/costos?id=24779" TargetMode="External"/><Relationship Id="rId238" Type="http://schemas.openxmlformats.org/officeDocument/2006/relationships/hyperlink" Target="https://tupiel.darsistemas.com/consulta_cups/costos?id=25536" TargetMode="External"/><Relationship Id="rId445" Type="http://schemas.openxmlformats.org/officeDocument/2006/relationships/hyperlink" Target="https://tupiel.darsistemas.com/consulta/35021" TargetMode="External"/><Relationship Id="rId652" Type="http://schemas.openxmlformats.org/officeDocument/2006/relationships/hyperlink" Target="https://tupiel.darsistemas.com/consulta_cups/costos?id=24298" TargetMode="External"/><Relationship Id="rId1075" Type="http://schemas.openxmlformats.org/officeDocument/2006/relationships/hyperlink" Target="https://tupiel.darsistemas.com/consulta/36063" TargetMode="External"/><Relationship Id="rId1282" Type="http://schemas.openxmlformats.org/officeDocument/2006/relationships/hyperlink" Target="https://tupiel.darsistemas.com/consulta_cups/costos?id=26397" TargetMode="External"/><Relationship Id="rId305" Type="http://schemas.openxmlformats.org/officeDocument/2006/relationships/hyperlink" Target="https://tupiel.darsistemas.com/consulta/35956" TargetMode="External"/><Relationship Id="rId512" Type="http://schemas.openxmlformats.org/officeDocument/2006/relationships/hyperlink" Target="https://tupiel.darsistemas.com/consulta_cups/costos?id=25936" TargetMode="External"/><Relationship Id="rId957" Type="http://schemas.openxmlformats.org/officeDocument/2006/relationships/hyperlink" Target="https://tupiel.darsistemas.com/consulta/26515" TargetMode="External"/><Relationship Id="rId1142" Type="http://schemas.openxmlformats.org/officeDocument/2006/relationships/hyperlink" Target="https://tupiel.darsistemas.com/consulta_cups/costos?id=26509" TargetMode="External"/><Relationship Id="rId1587" Type="http://schemas.openxmlformats.org/officeDocument/2006/relationships/hyperlink" Target="https://tupiel.darsistemas.com/consulta/35060" TargetMode="External"/><Relationship Id="rId86" Type="http://schemas.openxmlformats.org/officeDocument/2006/relationships/hyperlink" Target="https://tupiel.darsistemas.com/consulta_cups/costos?id=25844" TargetMode="External"/><Relationship Id="rId817" Type="http://schemas.openxmlformats.org/officeDocument/2006/relationships/hyperlink" Target="https://tupiel.darsistemas.com/consulta/36386" TargetMode="External"/><Relationship Id="rId1002" Type="http://schemas.openxmlformats.org/officeDocument/2006/relationships/hyperlink" Target="https://tupiel.darsistemas.com/consulta_cups/costos?id=26131" TargetMode="External"/><Relationship Id="rId1447" Type="http://schemas.openxmlformats.org/officeDocument/2006/relationships/hyperlink" Target="https://tupiel.darsistemas.com/consulta/21527" TargetMode="External"/><Relationship Id="rId1654" Type="http://schemas.openxmlformats.org/officeDocument/2006/relationships/hyperlink" Target="https://tupiel.darsistemas.com/consulta_cups/costos?id=26463" TargetMode="External"/><Relationship Id="rId1307" Type="http://schemas.openxmlformats.org/officeDocument/2006/relationships/hyperlink" Target="https://tupiel.darsistemas.com/consulta/36578" TargetMode="External"/><Relationship Id="rId1514" Type="http://schemas.openxmlformats.org/officeDocument/2006/relationships/hyperlink" Target="https://tupiel.darsistemas.com/consulta_cups/costos?id=26035" TargetMode="External"/><Relationship Id="rId13" Type="http://schemas.openxmlformats.org/officeDocument/2006/relationships/hyperlink" Target="https://tupiel.darsistemas.com/consulta/35816" TargetMode="External"/><Relationship Id="rId162" Type="http://schemas.openxmlformats.org/officeDocument/2006/relationships/hyperlink" Target="https://tupiel.darsistemas.com/consulta_cups/costos?id=25022" TargetMode="External"/><Relationship Id="rId467" Type="http://schemas.openxmlformats.org/officeDocument/2006/relationships/hyperlink" Target="https://tupiel.darsistemas.com/consulta/36268" TargetMode="External"/><Relationship Id="rId1097" Type="http://schemas.openxmlformats.org/officeDocument/2006/relationships/hyperlink" Target="https://tupiel.darsistemas.com/consulta/35933" TargetMode="External"/><Relationship Id="rId674" Type="http://schemas.openxmlformats.org/officeDocument/2006/relationships/hyperlink" Target="https://tupiel.darsistemas.com/consulta_cups/costos?id=26308" TargetMode="External"/><Relationship Id="rId881" Type="http://schemas.openxmlformats.org/officeDocument/2006/relationships/hyperlink" Target="https://tupiel.darsistemas.com/consulta/36313" TargetMode="External"/><Relationship Id="rId979" Type="http://schemas.openxmlformats.org/officeDocument/2006/relationships/hyperlink" Target="https://tupiel.darsistemas.com/consulta/36216" TargetMode="External"/><Relationship Id="rId327" Type="http://schemas.openxmlformats.org/officeDocument/2006/relationships/hyperlink" Target="https://tupiel.darsistemas.com/consulta/31341" TargetMode="External"/><Relationship Id="rId534" Type="http://schemas.openxmlformats.org/officeDocument/2006/relationships/hyperlink" Target="https://tupiel.darsistemas.com/consulta_cups/costos?id=26242" TargetMode="External"/><Relationship Id="rId741" Type="http://schemas.openxmlformats.org/officeDocument/2006/relationships/hyperlink" Target="https://tupiel.darsistemas.com/consulta/35935" TargetMode="External"/><Relationship Id="rId839" Type="http://schemas.openxmlformats.org/officeDocument/2006/relationships/hyperlink" Target="https://tupiel.darsistemas.com/consulta/36415" TargetMode="External"/><Relationship Id="rId1164" Type="http://schemas.openxmlformats.org/officeDocument/2006/relationships/hyperlink" Target="https://tupiel.darsistemas.com/consulta_cups/costos?id=26485" TargetMode="External"/><Relationship Id="rId1371" Type="http://schemas.openxmlformats.org/officeDocument/2006/relationships/hyperlink" Target="https://tupiel.darsistemas.com/consulta/35407" TargetMode="External"/><Relationship Id="rId1469" Type="http://schemas.openxmlformats.org/officeDocument/2006/relationships/hyperlink" Target="https://tupiel.darsistemas.com/consulta/22763" TargetMode="External"/><Relationship Id="rId601" Type="http://schemas.openxmlformats.org/officeDocument/2006/relationships/hyperlink" Target="https://tupiel.darsistemas.com/consulta/36151" TargetMode="External"/><Relationship Id="rId1024" Type="http://schemas.openxmlformats.org/officeDocument/2006/relationships/hyperlink" Target="https://tupiel.darsistemas.com/consulta_cups/costos?id=25780" TargetMode="External"/><Relationship Id="rId1231" Type="http://schemas.openxmlformats.org/officeDocument/2006/relationships/hyperlink" Target="https://tupiel.darsistemas.com/consulta/36215" TargetMode="External"/><Relationship Id="rId1676" Type="http://schemas.openxmlformats.org/officeDocument/2006/relationships/hyperlink" Target="https://tupiel.darsistemas.com/consulta_cups/costos?id=26549" TargetMode="External"/><Relationship Id="rId906" Type="http://schemas.openxmlformats.org/officeDocument/2006/relationships/hyperlink" Target="https://tupiel.darsistemas.com/consulta_cups/costos?id=25267" TargetMode="External"/><Relationship Id="rId1329" Type="http://schemas.openxmlformats.org/officeDocument/2006/relationships/hyperlink" Target="https://tupiel.darsistemas.com/consulta/36588" TargetMode="External"/><Relationship Id="rId1536" Type="http://schemas.openxmlformats.org/officeDocument/2006/relationships/hyperlink" Target="https://tupiel.darsistemas.com/consulta_cups/costos?id=26267" TargetMode="External"/><Relationship Id="rId35" Type="http://schemas.openxmlformats.org/officeDocument/2006/relationships/hyperlink" Target="https://tupiel.darsistemas.com/consulta/35996" TargetMode="External"/><Relationship Id="rId1603" Type="http://schemas.openxmlformats.org/officeDocument/2006/relationships/hyperlink" Target="https://tupiel.darsistemas.com/consulta/35649" TargetMode="External"/><Relationship Id="rId184" Type="http://schemas.openxmlformats.org/officeDocument/2006/relationships/hyperlink" Target="https://tupiel.darsistemas.com/consulta_cups/costos?id=24753" TargetMode="External"/><Relationship Id="rId391" Type="http://schemas.openxmlformats.org/officeDocument/2006/relationships/hyperlink" Target="https://tupiel.darsistemas.com/consulta/32349" TargetMode="External"/><Relationship Id="rId251" Type="http://schemas.openxmlformats.org/officeDocument/2006/relationships/hyperlink" Target="https://tupiel.darsistemas.com/consulta/31916" TargetMode="External"/><Relationship Id="rId489" Type="http://schemas.openxmlformats.org/officeDocument/2006/relationships/hyperlink" Target="https://tupiel.darsistemas.com/consulta/36202" TargetMode="External"/><Relationship Id="rId696" Type="http://schemas.openxmlformats.org/officeDocument/2006/relationships/hyperlink" Target="https://tupiel.darsistemas.com/consulta_cups/costos?id=26245" TargetMode="External"/><Relationship Id="rId349" Type="http://schemas.openxmlformats.org/officeDocument/2006/relationships/hyperlink" Target="https://tupiel.darsistemas.com/consulta/35267" TargetMode="External"/><Relationship Id="rId556" Type="http://schemas.openxmlformats.org/officeDocument/2006/relationships/hyperlink" Target="https://tupiel.darsistemas.com/consulta_cups/costos?id=12933" TargetMode="External"/><Relationship Id="rId763" Type="http://schemas.openxmlformats.org/officeDocument/2006/relationships/hyperlink" Target="https://tupiel.darsistemas.com/consulta/25413" TargetMode="External"/><Relationship Id="rId1186" Type="http://schemas.openxmlformats.org/officeDocument/2006/relationships/hyperlink" Target="https://tupiel.darsistemas.com/consulta_cups/costos?id=26703" TargetMode="External"/><Relationship Id="rId1393" Type="http://schemas.openxmlformats.org/officeDocument/2006/relationships/hyperlink" Target="https://tupiel.darsistemas.com/consulta/36620" TargetMode="External"/><Relationship Id="rId111" Type="http://schemas.openxmlformats.org/officeDocument/2006/relationships/hyperlink" Target="https://tupiel.darsistemas.com/consulta/35386" TargetMode="External"/><Relationship Id="rId209" Type="http://schemas.openxmlformats.org/officeDocument/2006/relationships/hyperlink" Target="https://tupiel.darsistemas.com/consulta/36145" TargetMode="External"/><Relationship Id="rId416" Type="http://schemas.openxmlformats.org/officeDocument/2006/relationships/hyperlink" Target="https://tupiel.darsistemas.com/consulta_cups/costos?id=25341" TargetMode="External"/><Relationship Id="rId970" Type="http://schemas.openxmlformats.org/officeDocument/2006/relationships/hyperlink" Target="https://tupiel.darsistemas.com/consulta_cups/costos?id=26543" TargetMode="External"/><Relationship Id="rId1046" Type="http://schemas.openxmlformats.org/officeDocument/2006/relationships/hyperlink" Target="https://tupiel.darsistemas.com/consulta_cups/costos?id=23690" TargetMode="External"/><Relationship Id="rId1253" Type="http://schemas.openxmlformats.org/officeDocument/2006/relationships/hyperlink" Target="https://tupiel.darsistemas.com/consulta/36542" TargetMode="External"/><Relationship Id="rId1698" Type="http://schemas.openxmlformats.org/officeDocument/2006/relationships/hyperlink" Target="https://tupiel.darsistemas.com/consulta_cups/costos?id=26774" TargetMode="External"/><Relationship Id="rId623" Type="http://schemas.openxmlformats.org/officeDocument/2006/relationships/hyperlink" Target="https://tupiel.darsistemas.com/consulta/35306" TargetMode="External"/><Relationship Id="rId830" Type="http://schemas.openxmlformats.org/officeDocument/2006/relationships/hyperlink" Target="https://tupiel.darsistemas.com/consulta_cups/costos?id=25982" TargetMode="External"/><Relationship Id="rId928" Type="http://schemas.openxmlformats.org/officeDocument/2006/relationships/hyperlink" Target="https://tupiel.darsistemas.com/consulta_cups/costos?id=21002" TargetMode="External"/><Relationship Id="rId1460" Type="http://schemas.openxmlformats.org/officeDocument/2006/relationships/hyperlink" Target="https://tupiel.darsistemas.com/consulta_cups/costos?id=26530" TargetMode="External"/><Relationship Id="rId1558" Type="http://schemas.openxmlformats.org/officeDocument/2006/relationships/hyperlink" Target="https://tupiel.darsistemas.com/consulta_cups/costos?id=25975" TargetMode="External"/><Relationship Id="rId57" Type="http://schemas.openxmlformats.org/officeDocument/2006/relationships/hyperlink" Target="https://tupiel.darsistemas.com/consulta/35939" TargetMode="External"/><Relationship Id="rId1113" Type="http://schemas.openxmlformats.org/officeDocument/2006/relationships/hyperlink" Target="https://tupiel.darsistemas.com/consulta/33404" TargetMode="External"/><Relationship Id="rId1320" Type="http://schemas.openxmlformats.org/officeDocument/2006/relationships/hyperlink" Target="https://tupiel.darsistemas.com/consulta_cups/costos?id=26529" TargetMode="External"/><Relationship Id="rId1418" Type="http://schemas.openxmlformats.org/officeDocument/2006/relationships/hyperlink" Target="https://tupiel.darsistemas.com/consulta_cups/costos?id=26085" TargetMode="External"/><Relationship Id="rId1625" Type="http://schemas.openxmlformats.org/officeDocument/2006/relationships/hyperlink" Target="https://tupiel.darsistemas.com/consulta/36049" TargetMode="External"/><Relationship Id="rId273" Type="http://schemas.openxmlformats.org/officeDocument/2006/relationships/hyperlink" Target="https://tupiel.darsistemas.com/consulta/21426" TargetMode="External"/><Relationship Id="rId480" Type="http://schemas.openxmlformats.org/officeDocument/2006/relationships/hyperlink" Target="https://tupiel.darsistemas.com/consulta_cups/costos?id=24888" TargetMode="External"/><Relationship Id="rId133" Type="http://schemas.openxmlformats.org/officeDocument/2006/relationships/hyperlink" Target="https://tupiel.darsistemas.com/consulta/36110" TargetMode="External"/><Relationship Id="rId340" Type="http://schemas.openxmlformats.org/officeDocument/2006/relationships/hyperlink" Target="https://tupiel.darsistemas.com/consulta_cups/costos?id=26090" TargetMode="External"/><Relationship Id="rId578" Type="http://schemas.openxmlformats.org/officeDocument/2006/relationships/hyperlink" Target="https://tupiel.darsistemas.com/consulta_cups/costos?id=25000" TargetMode="External"/><Relationship Id="rId785" Type="http://schemas.openxmlformats.org/officeDocument/2006/relationships/hyperlink" Target="https://tupiel.darsistemas.com/consulta/35567" TargetMode="External"/><Relationship Id="rId992" Type="http://schemas.openxmlformats.org/officeDocument/2006/relationships/hyperlink" Target="https://tupiel.darsistemas.com/consulta_cups/costos?id=25874" TargetMode="External"/><Relationship Id="rId200" Type="http://schemas.openxmlformats.org/officeDocument/2006/relationships/hyperlink" Target="https://tupiel.darsistemas.com/consulta_cups/costos?id=25990" TargetMode="External"/><Relationship Id="rId438" Type="http://schemas.openxmlformats.org/officeDocument/2006/relationships/hyperlink" Target="https://tupiel.darsistemas.com/consulta_cups/costos?id=25959" TargetMode="External"/><Relationship Id="rId645" Type="http://schemas.openxmlformats.org/officeDocument/2006/relationships/hyperlink" Target="https://tupiel.darsistemas.com/consulta/34006" TargetMode="External"/><Relationship Id="rId852" Type="http://schemas.openxmlformats.org/officeDocument/2006/relationships/hyperlink" Target="https://tupiel.darsistemas.com/consulta_cups/costos?id=25500" TargetMode="External"/><Relationship Id="rId1068" Type="http://schemas.openxmlformats.org/officeDocument/2006/relationships/hyperlink" Target="https://tupiel.darsistemas.com/consulta_cups/costos?id=25575" TargetMode="External"/><Relationship Id="rId1275" Type="http://schemas.openxmlformats.org/officeDocument/2006/relationships/hyperlink" Target="https://tupiel.darsistemas.com/consulta/28241" TargetMode="External"/><Relationship Id="rId1482" Type="http://schemas.openxmlformats.org/officeDocument/2006/relationships/hyperlink" Target="https://tupiel.darsistemas.com/consulta_cups/costos?id=25992" TargetMode="External"/><Relationship Id="rId505" Type="http://schemas.openxmlformats.org/officeDocument/2006/relationships/hyperlink" Target="https://tupiel.darsistemas.com/consulta/35802" TargetMode="External"/><Relationship Id="rId712" Type="http://schemas.openxmlformats.org/officeDocument/2006/relationships/hyperlink" Target="https://tupiel.darsistemas.com/consulta_cups/costos?id=26368" TargetMode="External"/><Relationship Id="rId1135" Type="http://schemas.openxmlformats.org/officeDocument/2006/relationships/hyperlink" Target="https://tupiel.darsistemas.com/consulta/36301" TargetMode="External"/><Relationship Id="rId1342" Type="http://schemas.openxmlformats.org/officeDocument/2006/relationships/hyperlink" Target="https://tupiel.darsistemas.com/consulta_cups/costos?id=26803" TargetMode="External"/><Relationship Id="rId79" Type="http://schemas.openxmlformats.org/officeDocument/2006/relationships/hyperlink" Target="https://tupiel.darsistemas.com/consulta/36050" TargetMode="External"/><Relationship Id="rId1202" Type="http://schemas.openxmlformats.org/officeDocument/2006/relationships/hyperlink" Target="https://tupiel.darsistemas.com/consulta_cups/costos?id=26524" TargetMode="External"/><Relationship Id="rId1647" Type="http://schemas.openxmlformats.org/officeDocument/2006/relationships/hyperlink" Target="https://tupiel.darsistemas.com/consulta/36139" TargetMode="External"/><Relationship Id="rId1507" Type="http://schemas.openxmlformats.org/officeDocument/2006/relationships/hyperlink" Target="https://tupiel.darsistemas.com/consulta/26990" TargetMode="External"/><Relationship Id="rId295" Type="http://schemas.openxmlformats.org/officeDocument/2006/relationships/hyperlink" Target="https://tupiel.darsistemas.com/consulta/36217" TargetMode="External"/><Relationship Id="rId155" Type="http://schemas.openxmlformats.org/officeDocument/2006/relationships/hyperlink" Target="https://tupiel.darsistemas.com/consulta/35358" TargetMode="External"/><Relationship Id="rId362" Type="http://schemas.openxmlformats.org/officeDocument/2006/relationships/hyperlink" Target="https://tupiel.darsistemas.com/consulta_cups/costos?id=26103" TargetMode="External"/><Relationship Id="rId1297" Type="http://schemas.openxmlformats.org/officeDocument/2006/relationships/hyperlink" Target="https://tupiel.darsistemas.com/consulta/36570" TargetMode="External"/><Relationship Id="rId222" Type="http://schemas.openxmlformats.org/officeDocument/2006/relationships/hyperlink" Target="https://tupiel.darsistemas.com/consulta_cups/costos?id=25998" TargetMode="External"/><Relationship Id="rId667" Type="http://schemas.openxmlformats.org/officeDocument/2006/relationships/hyperlink" Target="https://tupiel.darsistemas.com/consulta/33996" TargetMode="External"/><Relationship Id="rId874" Type="http://schemas.openxmlformats.org/officeDocument/2006/relationships/hyperlink" Target="https://tupiel.darsistemas.com/consulta_cups/costos?id=26476" TargetMode="External"/><Relationship Id="rId527" Type="http://schemas.openxmlformats.org/officeDocument/2006/relationships/hyperlink" Target="https://tupiel.darsistemas.com/consulta/34602" TargetMode="External"/><Relationship Id="rId734" Type="http://schemas.openxmlformats.org/officeDocument/2006/relationships/hyperlink" Target="https://tupiel.darsistemas.com/consulta_cups/costos?id=26372" TargetMode="External"/><Relationship Id="rId941" Type="http://schemas.openxmlformats.org/officeDocument/2006/relationships/hyperlink" Target="https://tupiel.darsistemas.com/consulta/35653" TargetMode="External"/><Relationship Id="rId1157" Type="http://schemas.openxmlformats.org/officeDocument/2006/relationships/hyperlink" Target="https://tupiel.darsistemas.com/consulta/36508" TargetMode="External"/><Relationship Id="rId1364" Type="http://schemas.openxmlformats.org/officeDocument/2006/relationships/hyperlink" Target="https://tupiel.darsistemas.com/consulta_cups/costos?id=25883" TargetMode="External"/><Relationship Id="rId1571" Type="http://schemas.openxmlformats.org/officeDocument/2006/relationships/hyperlink" Target="https://tupiel.darsistemas.com/consulta/33458" TargetMode="External"/><Relationship Id="rId70" Type="http://schemas.openxmlformats.org/officeDocument/2006/relationships/hyperlink" Target="https://tupiel.darsistemas.com/consulta_cups/costos?id=25647" TargetMode="External"/><Relationship Id="rId801" Type="http://schemas.openxmlformats.org/officeDocument/2006/relationships/hyperlink" Target="https://tupiel.darsistemas.com/consulta/34142" TargetMode="External"/><Relationship Id="rId1017" Type="http://schemas.openxmlformats.org/officeDocument/2006/relationships/hyperlink" Target="https://tupiel.darsistemas.com/consulta/36434" TargetMode="External"/><Relationship Id="rId1224" Type="http://schemas.openxmlformats.org/officeDocument/2006/relationships/hyperlink" Target="https://tupiel.darsistemas.com/consulta_cups/costos?id=26253" TargetMode="External"/><Relationship Id="rId1431" Type="http://schemas.openxmlformats.org/officeDocument/2006/relationships/hyperlink" Target="https://tupiel.darsistemas.com/consulta/34532" TargetMode="External"/><Relationship Id="rId1669" Type="http://schemas.openxmlformats.org/officeDocument/2006/relationships/hyperlink" Target="https://tupiel.darsistemas.com/consulta/36363" TargetMode="External"/><Relationship Id="rId1529" Type="http://schemas.openxmlformats.org/officeDocument/2006/relationships/hyperlink" Target="https://tupiel.darsistemas.com/consulta/27247" TargetMode="External"/><Relationship Id="rId28" Type="http://schemas.openxmlformats.org/officeDocument/2006/relationships/hyperlink" Target="https://tupiel.darsistemas.com/consulta_cups/costos?id=24840" TargetMode="External"/><Relationship Id="rId177" Type="http://schemas.openxmlformats.org/officeDocument/2006/relationships/hyperlink" Target="https://tupiel.darsistemas.com/consulta/33293" TargetMode="External"/><Relationship Id="rId384" Type="http://schemas.openxmlformats.org/officeDocument/2006/relationships/hyperlink" Target="https://tupiel.darsistemas.com/consulta_cups/costos?id=26182" TargetMode="External"/><Relationship Id="rId591" Type="http://schemas.openxmlformats.org/officeDocument/2006/relationships/hyperlink" Target="https://tupiel.darsistemas.com/consulta/36170" TargetMode="External"/><Relationship Id="rId244" Type="http://schemas.openxmlformats.org/officeDocument/2006/relationships/hyperlink" Target="https://tupiel.darsistemas.com/consulta_cups/costos?id=25901" TargetMode="External"/><Relationship Id="rId689" Type="http://schemas.openxmlformats.org/officeDocument/2006/relationships/hyperlink" Target="https://tupiel.darsistemas.com/consulta/30870" TargetMode="External"/><Relationship Id="rId896" Type="http://schemas.openxmlformats.org/officeDocument/2006/relationships/hyperlink" Target="https://tupiel.darsistemas.com/consulta_cups/costos?id=26492" TargetMode="External"/><Relationship Id="rId1081" Type="http://schemas.openxmlformats.org/officeDocument/2006/relationships/hyperlink" Target="https://tupiel.darsistemas.com/consulta/35746" TargetMode="External"/><Relationship Id="rId451" Type="http://schemas.openxmlformats.org/officeDocument/2006/relationships/hyperlink" Target="https://tupiel.darsistemas.com/consulta/33509" TargetMode="External"/><Relationship Id="rId549" Type="http://schemas.openxmlformats.org/officeDocument/2006/relationships/hyperlink" Target="https://tupiel.darsistemas.com/consulta/33257" TargetMode="External"/><Relationship Id="rId756" Type="http://schemas.openxmlformats.org/officeDocument/2006/relationships/hyperlink" Target="https://tupiel.darsistemas.com/consulta_cups/costos?id=25856" TargetMode="External"/><Relationship Id="rId1179" Type="http://schemas.openxmlformats.org/officeDocument/2006/relationships/hyperlink" Target="https://tupiel.darsistemas.com/consulta/36501" TargetMode="External"/><Relationship Id="rId1386" Type="http://schemas.openxmlformats.org/officeDocument/2006/relationships/hyperlink" Target="https://tupiel.darsistemas.com/consulta_cups/costos?id=26650" TargetMode="External"/><Relationship Id="rId1593" Type="http://schemas.openxmlformats.org/officeDocument/2006/relationships/hyperlink" Target="https://tupiel.darsistemas.com/consulta/35060" TargetMode="External"/><Relationship Id="rId104" Type="http://schemas.openxmlformats.org/officeDocument/2006/relationships/hyperlink" Target="https://tupiel.darsistemas.com/consulta_cups/costos?id=25811" TargetMode="External"/><Relationship Id="rId311" Type="http://schemas.openxmlformats.org/officeDocument/2006/relationships/hyperlink" Target="https://tupiel.darsistemas.com/consulta/35506" TargetMode="External"/><Relationship Id="rId409" Type="http://schemas.openxmlformats.org/officeDocument/2006/relationships/hyperlink" Target="https://tupiel.darsistemas.com/consulta/36259" TargetMode="External"/><Relationship Id="rId963" Type="http://schemas.openxmlformats.org/officeDocument/2006/relationships/hyperlink" Target="https://tupiel.darsistemas.com/consulta/24545" TargetMode="External"/><Relationship Id="rId1039" Type="http://schemas.openxmlformats.org/officeDocument/2006/relationships/hyperlink" Target="https://tupiel.darsistemas.com/consulta/36266" TargetMode="External"/><Relationship Id="rId1246" Type="http://schemas.openxmlformats.org/officeDocument/2006/relationships/hyperlink" Target="https://tupiel.darsistemas.com/consulta_cups/costos?id=24859" TargetMode="External"/><Relationship Id="rId92" Type="http://schemas.openxmlformats.org/officeDocument/2006/relationships/hyperlink" Target="https://tupiel.darsistemas.com/consulta_cups/costos?id=25508" TargetMode="External"/><Relationship Id="rId616" Type="http://schemas.openxmlformats.org/officeDocument/2006/relationships/hyperlink" Target="https://tupiel.darsistemas.com/consulta_cups/costos?id=26205" TargetMode="External"/><Relationship Id="rId823" Type="http://schemas.openxmlformats.org/officeDocument/2006/relationships/hyperlink" Target="https://tupiel.darsistemas.com/consulta/35262" TargetMode="External"/><Relationship Id="rId1453" Type="http://schemas.openxmlformats.org/officeDocument/2006/relationships/hyperlink" Target="https://tupiel.darsistemas.com/consulta/21750" TargetMode="External"/><Relationship Id="rId1660" Type="http://schemas.openxmlformats.org/officeDocument/2006/relationships/hyperlink" Target="https://tupiel.darsistemas.com/consulta_cups/costos?id=26258" TargetMode="External"/><Relationship Id="rId1106" Type="http://schemas.openxmlformats.org/officeDocument/2006/relationships/hyperlink" Target="https://tupiel.darsistemas.com/consulta_cups/costos?id=18377" TargetMode="External"/><Relationship Id="rId1313" Type="http://schemas.openxmlformats.org/officeDocument/2006/relationships/hyperlink" Target="https://tupiel.darsistemas.com/consulta/36554" TargetMode="External"/><Relationship Id="rId1520" Type="http://schemas.openxmlformats.org/officeDocument/2006/relationships/hyperlink" Target="https://tupiel.darsistemas.com/consulta_cups/costos?id=26506" TargetMode="External"/><Relationship Id="rId1618" Type="http://schemas.openxmlformats.org/officeDocument/2006/relationships/hyperlink" Target="https://tupiel.darsistemas.com/consulta_cups/costos?id=25519" TargetMode="External"/><Relationship Id="rId199" Type="http://schemas.openxmlformats.org/officeDocument/2006/relationships/hyperlink" Target="https://tupiel.darsistemas.com/consulta/36159" TargetMode="External"/><Relationship Id="rId266" Type="http://schemas.openxmlformats.org/officeDocument/2006/relationships/hyperlink" Target="https://tupiel.darsistemas.com/consulta_cups/costos?id=26033" TargetMode="External"/><Relationship Id="rId473" Type="http://schemas.openxmlformats.org/officeDocument/2006/relationships/hyperlink" Target="https://tupiel.darsistemas.com/consulta/35942" TargetMode="External"/><Relationship Id="rId680" Type="http://schemas.openxmlformats.org/officeDocument/2006/relationships/hyperlink" Target="https://tupiel.darsistemas.com/consulta_cups/costos?id=26321" TargetMode="External"/><Relationship Id="rId126" Type="http://schemas.openxmlformats.org/officeDocument/2006/relationships/hyperlink" Target="https://tupiel.darsistemas.com/consulta_cups/costos?id=25615" TargetMode="External"/><Relationship Id="rId333" Type="http://schemas.openxmlformats.org/officeDocument/2006/relationships/hyperlink" Target="https://tupiel.darsistemas.com/consulta/35764" TargetMode="External"/><Relationship Id="rId540" Type="http://schemas.openxmlformats.org/officeDocument/2006/relationships/hyperlink" Target="https://tupiel.darsistemas.com/consulta_cups/costos?id=26236" TargetMode="External"/><Relationship Id="rId778" Type="http://schemas.openxmlformats.org/officeDocument/2006/relationships/hyperlink" Target="https://tupiel.darsistemas.com/consulta_cups/costos?id=24968" TargetMode="External"/><Relationship Id="rId985" Type="http://schemas.openxmlformats.org/officeDocument/2006/relationships/hyperlink" Target="https://tupiel.darsistemas.com/consulta/36461" TargetMode="External"/><Relationship Id="rId1170" Type="http://schemas.openxmlformats.org/officeDocument/2006/relationships/hyperlink" Target="https://tupiel.darsistemas.com/consulta_cups/costos?id=25827" TargetMode="External"/><Relationship Id="rId638" Type="http://schemas.openxmlformats.org/officeDocument/2006/relationships/hyperlink" Target="https://tupiel.darsistemas.com/consulta_cups/costos?id=20382" TargetMode="External"/><Relationship Id="rId845" Type="http://schemas.openxmlformats.org/officeDocument/2006/relationships/hyperlink" Target="https://tupiel.darsistemas.com/consulta/34888" TargetMode="External"/><Relationship Id="rId1030" Type="http://schemas.openxmlformats.org/officeDocument/2006/relationships/hyperlink" Target="https://tupiel.darsistemas.com/consulta_cups/costos?id=26590" TargetMode="External"/><Relationship Id="rId1268" Type="http://schemas.openxmlformats.org/officeDocument/2006/relationships/hyperlink" Target="https://tupiel.darsistemas.com/consulta_cups/costos?id=26678" TargetMode="External"/><Relationship Id="rId1475" Type="http://schemas.openxmlformats.org/officeDocument/2006/relationships/hyperlink" Target="https://tupiel.darsistemas.com/consulta/24523" TargetMode="External"/><Relationship Id="rId1682" Type="http://schemas.openxmlformats.org/officeDocument/2006/relationships/hyperlink" Target="https://tupiel.darsistemas.com/consulta_cups/costos?id=26526" TargetMode="External"/><Relationship Id="rId400" Type="http://schemas.openxmlformats.org/officeDocument/2006/relationships/hyperlink" Target="https://tupiel.darsistemas.com/consulta_cups/costos?id=26133" TargetMode="External"/><Relationship Id="rId705" Type="http://schemas.openxmlformats.org/officeDocument/2006/relationships/hyperlink" Target="https://tupiel.darsistemas.com/consulta/26577" TargetMode="External"/><Relationship Id="rId1128" Type="http://schemas.openxmlformats.org/officeDocument/2006/relationships/hyperlink" Target="https://tupiel.darsistemas.com/consulta_cups/costos?id=26356" TargetMode="External"/><Relationship Id="rId1335" Type="http://schemas.openxmlformats.org/officeDocument/2006/relationships/hyperlink" Target="https://tupiel.darsistemas.com/consulta/33205" TargetMode="External"/><Relationship Id="rId1542" Type="http://schemas.openxmlformats.org/officeDocument/2006/relationships/hyperlink" Target="https://tupiel.darsistemas.com/consulta_cups/costos?id=14867" TargetMode="External"/><Relationship Id="rId912" Type="http://schemas.openxmlformats.org/officeDocument/2006/relationships/hyperlink" Target="https://tupiel.darsistemas.com/consulta_cups/costos?id=25911" TargetMode="External"/><Relationship Id="rId41" Type="http://schemas.openxmlformats.org/officeDocument/2006/relationships/hyperlink" Target="https://tupiel.darsistemas.com/consulta/35634" TargetMode="External"/><Relationship Id="rId1402" Type="http://schemas.openxmlformats.org/officeDocument/2006/relationships/hyperlink" Target="https://tupiel.darsistemas.com/consulta_cups/costos?id=26768" TargetMode="External"/><Relationship Id="rId190" Type="http://schemas.openxmlformats.org/officeDocument/2006/relationships/hyperlink" Target="https://tupiel.darsistemas.com/consulta_cups/costos?id=23359" TargetMode="External"/><Relationship Id="rId288" Type="http://schemas.openxmlformats.org/officeDocument/2006/relationships/hyperlink" Target="https://tupiel.darsistemas.com/consulta_cups/costos?id=26093" TargetMode="External"/><Relationship Id="rId495" Type="http://schemas.openxmlformats.org/officeDocument/2006/relationships/hyperlink" Target="https://tupiel.darsistemas.com/consulta/36279" TargetMode="External"/><Relationship Id="rId148" Type="http://schemas.openxmlformats.org/officeDocument/2006/relationships/hyperlink" Target="https://tupiel.darsistemas.com/consulta_cups/costos?id=25520" TargetMode="External"/><Relationship Id="rId355" Type="http://schemas.openxmlformats.org/officeDocument/2006/relationships/hyperlink" Target="https://tupiel.darsistemas.com/consulta/26936" TargetMode="External"/><Relationship Id="rId562" Type="http://schemas.openxmlformats.org/officeDocument/2006/relationships/hyperlink" Target="https://tupiel.darsistemas.com/consulta_cups/costos?id=26179" TargetMode="External"/><Relationship Id="rId1192" Type="http://schemas.openxmlformats.org/officeDocument/2006/relationships/hyperlink" Target="https://tupiel.darsistemas.com/consulta_cups/costos?id=26386" TargetMode="External"/><Relationship Id="rId215" Type="http://schemas.openxmlformats.org/officeDocument/2006/relationships/hyperlink" Target="https://tupiel.darsistemas.com/consulta/35736" TargetMode="External"/><Relationship Id="rId422" Type="http://schemas.openxmlformats.org/officeDocument/2006/relationships/hyperlink" Target="https://tupiel.darsistemas.com/consulta_cups/costos?id=25111" TargetMode="External"/><Relationship Id="rId867" Type="http://schemas.openxmlformats.org/officeDocument/2006/relationships/hyperlink" Target="https://tupiel.darsistemas.com/consulta/35666" TargetMode="External"/><Relationship Id="rId1052" Type="http://schemas.openxmlformats.org/officeDocument/2006/relationships/hyperlink" Target="https://tupiel.darsistemas.com/consulta_cups/costos?id=26581" TargetMode="External"/><Relationship Id="rId1497" Type="http://schemas.openxmlformats.org/officeDocument/2006/relationships/hyperlink" Target="https://tupiel.darsistemas.com/consulta/26728" TargetMode="External"/><Relationship Id="rId727" Type="http://schemas.openxmlformats.org/officeDocument/2006/relationships/hyperlink" Target="https://tupiel.darsistemas.com/consulta/36316" TargetMode="External"/><Relationship Id="rId934" Type="http://schemas.openxmlformats.org/officeDocument/2006/relationships/hyperlink" Target="https://tupiel.darsistemas.com/consulta_cups/costos?id=26195" TargetMode="External"/><Relationship Id="rId1357" Type="http://schemas.openxmlformats.org/officeDocument/2006/relationships/hyperlink" Target="https://tupiel.darsistemas.com/consulta/36562" TargetMode="External"/><Relationship Id="rId1564" Type="http://schemas.openxmlformats.org/officeDocument/2006/relationships/hyperlink" Target="https://tupiel.darsistemas.com/consulta_cups/costos?id=26589" TargetMode="External"/><Relationship Id="rId63" Type="http://schemas.openxmlformats.org/officeDocument/2006/relationships/hyperlink" Target="https://tupiel.darsistemas.com/consulta/36075" TargetMode="External"/><Relationship Id="rId1217" Type="http://schemas.openxmlformats.org/officeDocument/2006/relationships/hyperlink" Target="https://tupiel.darsistemas.com/consulta/36559" TargetMode="External"/><Relationship Id="rId1424" Type="http://schemas.openxmlformats.org/officeDocument/2006/relationships/hyperlink" Target="https://tupiel.darsistemas.com/consulta_cups/costos?id=26872" TargetMode="External"/><Relationship Id="rId1631" Type="http://schemas.openxmlformats.org/officeDocument/2006/relationships/hyperlink" Target="https://tupiel.darsistemas.com/consulta/36059" TargetMode="External"/><Relationship Id="rId377" Type="http://schemas.openxmlformats.org/officeDocument/2006/relationships/hyperlink" Target="https://tupiel.darsistemas.com/consulta/32793" TargetMode="External"/><Relationship Id="rId584" Type="http://schemas.openxmlformats.org/officeDocument/2006/relationships/hyperlink" Target="https://tupiel.darsistemas.com/consulta_cups/costos?id=26218" TargetMode="External"/><Relationship Id="rId5" Type="http://schemas.openxmlformats.org/officeDocument/2006/relationships/hyperlink" Target="https://tupiel.darsistemas.com/consulta/34445" TargetMode="External"/><Relationship Id="rId237" Type="http://schemas.openxmlformats.org/officeDocument/2006/relationships/hyperlink" Target="https://tupiel.darsistemas.com/consulta/35909" TargetMode="External"/><Relationship Id="rId791" Type="http://schemas.openxmlformats.org/officeDocument/2006/relationships/hyperlink" Target="https://tupiel.darsistemas.com/consulta/35426" TargetMode="External"/><Relationship Id="rId889" Type="http://schemas.openxmlformats.org/officeDocument/2006/relationships/hyperlink" Target="https://tupiel.darsistemas.com/consulta/35861" TargetMode="External"/><Relationship Id="rId1074" Type="http://schemas.openxmlformats.org/officeDocument/2006/relationships/hyperlink" Target="https://tupiel.darsistemas.com/consulta_cups/costos?id=26608" TargetMode="External"/><Relationship Id="rId444" Type="http://schemas.openxmlformats.org/officeDocument/2006/relationships/hyperlink" Target="https://tupiel.darsistemas.com/consulta_cups/costos?id=26045" TargetMode="External"/><Relationship Id="rId651" Type="http://schemas.openxmlformats.org/officeDocument/2006/relationships/hyperlink" Target="https://tupiel.darsistemas.com/consulta/35160" TargetMode="External"/><Relationship Id="rId749" Type="http://schemas.openxmlformats.org/officeDocument/2006/relationships/hyperlink" Target="https://tupiel.darsistemas.com/consulta/36355" TargetMode="External"/><Relationship Id="rId1281" Type="http://schemas.openxmlformats.org/officeDocument/2006/relationships/hyperlink" Target="https://tupiel.darsistemas.com/consulta/36368" TargetMode="External"/><Relationship Id="rId1379" Type="http://schemas.openxmlformats.org/officeDocument/2006/relationships/hyperlink" Target="https://tupiel.darsistemas.com/consulta/36600" TargetMode="External"/><Relationship Id="rId1586" Type="http://schemas.openxmlformats.org/officeDocument/2006/relationships/hyperlink" Target="https://tupiel.darsistemas.com/consulta_cups/costos?id=25636" TargetMode="External"/><Relationship Id="rId304" Type="http://schemas.openxmlformats.org/officeDocument/2006/relationships/hyperlink" Target="https://tupiel.darsistemas.com/consulta_cups/costos?id=25885" TargetMode="External"/><Relationship Id="rId511" Type="http://schemas.openxmlformats.org/officeDocument/2006/relationships/hyperlink" Target="https://tupiel.darsistemas.com/consulta/36135" TargetMode="External"/><Relationship Id="rId609" Type="http://schemas.openxmlformats.org/officeDocument/2006/relationships/hyperlink" Target="https://tupiel.darsistemas.com/consulta/35163" TargetMode="External"/><Relationship Id="rId956" Type="http://schemas.openxmlformats.org/officeDocument/2006/relationships/hyperlink" Target="https://tupiel.darsistemas.com/consulta_cups/costos?id=24537" TargetMode="External"/><Relationship Id="rId1141" Type="http://schemas.openxmlformats.org/officeDocument/2006/relationships/hyperlink" Target="https://tupiel.darsistemas.com/consulta/36433" TargetMode="External"/><Relationship Id="rId1239" Type="http://schemas.openxmlformats.org/officeDocument/2006/relationships/hyperlink" Target="https://tupiel.darsistemas.com/consulta/31570" TargetMode="External"/><Relationship Id="rId85" Type="http://schemas.openxmlformats.org/officeDocument/2006/relationships/hyperlink" Target="https://tupiel.darsistemas.com/consulta/21286" TargetMode="External"/><Relationship Id="rId816" Type="http://schemas.openxmlformats.org/officeDocument/2006/relationships/hyperlink" Target="https://tupiel.darsistemas.com/consulta_cups/costos?id=25507" TargetMode="External"/><Relationship Id="rId1001" Type="http://schemas.openxmlformats.org/officeDocument/2006/relationships/hyperlink" Target="https://tupiel.darsistemas.com/consulta/36231" TargetMode="External"/><Relationship Id="rId1446" Type="http://schemas.openxmlformats.org/officeDocument/2006/relationships/hyperlink" Target="https://tupiel.darsistemas.com/consulta_cups/costos?id=25946" TargetMode="External"/><Relationship Id="rId1653" Type="http://schemas.openxmlformats.org/officeDocument/2006/relationships/hyperlink" Target="https://tupiel.darsistemas.com/consulta/36201" TargetMode="External"/><Relationship Id="rId1306" Type="http://schemas.openxmlformats.org/officeDocument/2006/relationships/hyperlink" Target="https://tupiel.darsistemas.com/consulta_cups/costos?id=26772" TargetMode="External"/><Relationship Id="rId1513" Type="http://schemas.openxmlformats.org/officeDocument/2006/relationships/hyperlink" Target="https://tupiel.darsistemas.com/consulta/27214" TargetMode="External"/><Relationship Id="rId12" Type="http://schemas.openxmlformats.org/officeDocument/2006/relationships/hyperlink" Target="https://tupiel.darsistemas.com/consulta_cups/costos?id=25697" TargetMode="External"/><Relationship Id="rId161" Type="http://schemas.openxmlformats.org/officeDocument/2006/relationships/hyperlink" Target="https://tupiel.darsistemas.com/consulta/35470" TargetMode="External"/><Relationship Id="rId399" Type="http://schemas.openxmlformats.org/officeDocument/2006/relationships/hyperlink" Target="https://tupiel.darsistemas.com/consulta/36232" TargetMode="External"/><Relationship Id="rId259" Type="http://schemas.openxmlformats.org/officeDocument/2006/relationships/hyperlink" Target="https://tupiel.darsistemas.com/consulta/36173" TargetMode="External"/><Relationship Id="rId466" Type="http://schemas.openxmlformats.org/officeDocument/2006/relationships/hyperlink" Target="https://tupiel.darsistemas.com/consulta_cups/costos?id=21003" TargetMode="External"/><Relationship Id="rId673" Type="http://schemas.openxmlformats.org/officeDocument/2006/relationships/hyperlink" Target="https://tupiel.darsistemas.com/consulta/33113" TargetMode="External"/><Relationship Id="rId880" Type="http://schemas.openxmlformats.org/officeDocument/2006/relationships/hyperlink" Target="https://tupiel.darsistemas.com/consulta_cups/costos?id=26482" TargetMode="External"/><Relationship Id="rId1096" Type="http://schemas.openxmlformats.org/officeDocument/2006/relationships/hyperlink" Target="https://tupiel.darsistemas.com/consulta_cups/costos?id=25583" TargetMode="External"/><Relationship Id="rId119" Type="http://schemas.openxmlformats.org/officeDocument/2006/relationships/hyperlink" Target="https://tupiel.darsistemas.com/consulta/36071" TargetMode="External"/><Relationship Id="rId326" Type="http://schemas.openxmlformats.org/officeDocument/2006/relationships/hyperlink" Target="https://tupiel.darsistemas.com/consulta_cups/costos?id=25435" TargetMode="External"/><Relationship Id="rId533" Type="http://schemas.openxmlformats.org/officeDocument/2006/relationships/hyperlink" Target="https://tupiel.darsistemas.com/consulta/36285" TargetMode="External"/><Relationship Id="rId978" Type="http://schemas.openxmlformats.org/officeDocument/2006/relationships/hyperlink" Target="https://tupiel.darsistemas.com/consulta_cups/costos?id=25689" TargetMode="External"/><Relationship Id="rId1163" Type="http://schemas.openxmlformats.org/officeDocument/2006/relationships/hyperlink" Target="https://tupiel.darsistemas.com/consulta/36425" TargetMode="External"/><Relationship Id="rId1370" Type="http://schemas.openxmlformats.org/officeDocument/2006/relationships/hyperlink" Target="https://tupiel.darsistemas.com/consulta_cups/costos?id=24327" TargetMode="External"/><Relationship Id="rId740" Type="http://schemas.openxmlformats.org/officeDocument/2006/relationships/hyperlink" Target="https://tupiel.darsistemas.com/consulta_cups/costos?id=26319" TargetMode="External"/><Relationship Id="rId838" Type="http://schemas.openxmlformats.org/officeDocument/2006/relationships/hyperlink" Target="https://tupiel.darsistemas.com/consulta_cups/costos?id=26458" TargetMode="External"/><Relationship Id="rId1023" Type="http://schemas.openxmlformats.org/officeDocument/2006/relationships/hyperlink" Target="https://tupiel.darsistemas.com/consulta/36030" TargetMode="External"/><Relationship Id="rId1468" Type="http://schemas.openxmlformats.org/officeDocument/2006/relationships/hyperlink" Target="https://tupiel.darsistemas.com/consulta_cups/costos?id=12629" TargetMode="External"/><Relationship Id="rId1675" Type="http://schemas.openxmlformats.org/officeDocument/2006/relationships/hyperlink" Target="https://tupiel.darsistemas.com/consulta/36421" TargetMode="External"/><Relationship Id="rId600" Type="http://schemas.openxmlformats.org/officeDocument/2006/relationships/hyperlink" Target="https://tupiel.darsistemas.com/consulta_cups/costos?id=26293" TargetMode="External"/><Relationship Id="rId1230" Type="http://schemas.openxmlformats.org/officeDocument/2006/relationships/hyperlink" Target="https://tupiel.darsistemas.com/consulta_cups/costos?id=26750" TargetMode="External"/><Relationship Id="rId1328" Type="http://schemas.openxmlformats.org/officeDocument/2006/relationships/hyperlink" Target="https://tupiel.darsistemas.com/consulta_cups/costos?id=26781" TargetMode="External"/><Relationship Id="rId1535" Type="http://schemas.openxmlformats.org/officeDocument/2006/relationships/hyperlink" Target="https://tupiel.darsistemas.com/consulta/28336" TargetMode="External"/><Relationship Id="rId905" Type="http://schemas.openxmlformats.org/officeDocument/2006/relationships/hyperlink" Target="https://tupiel.darsistemas.com/consulta/22200" TargetMode="External"/><Relationship Id="rId34" Type="http://schemas.openxmlformats.org/officeDocument/2006/relationships/hyperlink" Target="https://tupiel.darsistemas.com/consulta_cups/costos?id=25172" TargetMode="External"/><Relationship Id="rId1602" Type="http://schemas.openxmlformats.org/officeDocument/2006/relationships/hyperlink" Target="https://tupiel.darsistemas.com/consulta_cups/costos?id=26384" TargetMode="External"/><Relationship Id="rId183" Type="http://schemas.openxmlformats.org/officeDocument/2006/relationships/hyperlink" Target="https://tupiel.darsistemas.com/consulta/35450" TargetMode="External"/><Relationship Id="rId390" Type="http://schemas.openxmlformats.org/officeDocument/2006/relationships/hyperlink" Target="https://tupiel.darsistemas.com/consulta_cups/costos?id=26129" TargetMode="External"/><Relationship Id="rId250" Type="http://schemas.openxmlformats.org/officeDocument/2006/relationships/hyperlink" Target="https://tupiel.darsistemas.com/consulta_cups/costos?id=26065" TargetMode="External"/><Relationship Id="rId488" Type="http://schemas.openxmlformats.org/officeDocument/2006/relationships/hyperlink" Target="https://tupiel.darsistemas.com/consulta_cups/costos?id=26176" TargetMode="External"/><Relationship Id="rId695" Type="http://schemas.openxmlformats.org/officeDocument/2006/relationships/hyperlink" Target="https://tupiel.darsistemas.com/consulta/34909" TargetMode="External"/><Relationship Id="rId110" Type="http://schemas.openxmlformats.org/officeDocument/2006/relationships/hyperlink" Target="https://tupiel.darsistemas.com/consulta_cups/costos?id=23552" TargetMode="External"/><Relationship Id="rId348" Type="http://schemas.openxmlformats.org/officeDocument/2006/relationships/hyperlink" Target="https://tupiel.darsistemas.com/consulta_cups/costos?id=26138" TargetMode="External"/><Relationship Id="rId555" Type="http://schemas.openxmlformats.org/officeDocument/2006/relationships/hyperlink" Target="https://tupiel.darsistemas.com/consulta/24565" TargetMode="External"/><Relationship Id="rId762" Type="http://schemas.openxmlformats.org/officeDocument/2006/relationships/hyperlink" Target="https://tupiel.darsistemas.com/consulta_cups/costos?id=26398" TargetMode="External"/><Relationship Id="rId1185" Type="http://schemas.openxmlformats.org/officeDocument/2006/relationships/hyperlink" Target="https://tupiel.darsistemas.com/consulta/36495" TargetMode="External"/><Relationship Id="rId1392" Type="http://schemas.openxmlformats.org/officeDocument/2006/relationships/hyperlink" Target="https://tupiel.darsistemas.com/consulta_cups/costos?id=26675" TargetMode="External"/><Relationship Id="rId208" Type="http://schemas.openxmlformats.org/officeDocument/2006/relationships/hyperlink" Target="https://tupiel.darsistemas.com/consulta_cups/costos?id=25913" TargetMode="External"/><Relationship Id="rId415" Type="http://schemas.openxmlformats.org/officeDocument/2006/relationships/hyperlink" Target="https://tupiel.darsistemas.com/consulta/35801" TargetMode="External"/><Relationship Id="rId622" Type="http://schemas.openxmlformats.org/officeDocument/2006/relationships/hyperlink" Target="https://tupiel.darsistemas.com/consulta_cups/costos?id=26309" TargetMode="External"/><Relationship Id="rId1045" Type="http://schemas.openxmlformats.org/officeDocument/2006/relationships/hyperlink" Target="https://tupiel.darsistemas.com/consulta/33352" TargetMode="External"/><Relationship Id="rId1252" Type="http://schemas.openxmlformats.org/officeDocument/2006/relationships/hyperlink" Target="https://tupiel.darsistemas.com/consulta_cups/costos?id=26673" TargetMode="External"/><Relationship Id="rId1697" Type="http://schemas.openxmlformats.org/officeDocument/2006/relationships/hyperlink" Target="https://tupiel.darsistemas.com/consulta/36580" TargetMode="External"/><Relationship Id="rId927" Type="http://schemas.openxmlformats.org/officeDocument/2006/relationships/hyperlink" Target="https://tupiel.darsistemas.com/consulta/33011" TargetMode="External"/><Relationship Id="rId1112" Type="http://schemas.openxmlformats.org/officeDocument/2006/relationships/hyperlink" Target="https://tupiel.darsistemas.com/consulta_cups/costos?id=26634" TargetMode="External"/><Relationship Id="rId1557" Type="http://schemas.openxmlformats.org/officeDocument/2006/relationships/hyperlink" Target="https://tupiel.darsistemas.com/consulta/31747" TargetMode="External"/><Relationship Id="rId56" Type="http://schemas.openxmlformats.org/officeDocument/2006/relationships/hyperlink" Target="https://tupiel.darsistemas.com/consulta_cups/costos?id=25831" TargetMode="External"/><Relationship Id="rId1417" Type="http://schemas.openxmlformats.org/officeDocument/2006/relationships/hyperlink" Target="https://tupiel.darsistemas.com/consulta/36211" TargetMode="External"/><Relationship Id="rId1624" Type="http://schemas.openxmlformats.org/officeDocument/2006/relationships/hyperlink" Target="https://tupiel.darsistemas.com/consulta_cups/costos?id=25684" TargetMode="External"/><Relationship Id="rId272" Type="http://schemas.openxmlformats.org/officeDocument/2006/relationships/hyperlink" Target="https://tupiel.darsistemas.com/consulta_cups/costos?id=26056" TargetMode="External"/><Relationship Id="rId577" Type="http://schemas.openxmlformats.org/officeDocument/2006/relationships/hyperlink" Target="https://tupiel.darsistemas.com/consulta/32184" TargetMode="External"/><Relationship Id="rId132" Type="http://schemas.openxmlformats.org/officeDocument/2006/relationships/hyperlink" Target="https://tupiel.darsistemas.com/consulta_cups/costos?id=25915" TargetMode="External"/><Relationship Id="rId784" Type="http://schemas.openxmlformats.org/officeDocument/2006/relationships/hyperlink" Target="https://tupiel.darsistemas.com/consulta_cups/costos?id=26063" TargetMode="External"/><Relationship Id="rId991" Type="http://schemas.openxmlformats.org/officeDocument/2006/relationships/hyperlink" Target="https://tupiel.darsistemas.com/consulta/36086" TargetMode="External"/><Relationship Id="rId1067" Type="http://schemas.openxmlformats.org/officeDocument/2006/relationships/hyperlink" Target="https://tupiel.darsistemas.com/consulta/35929" TargetMode="External"/><Relationship Id="rId437" Type="http://schemas.openxmlformats.org/officeDocument/2006/relationships/hyperlink" Target="https://tupiel.darsistemas.com/consulta/36142" TargetMode="External"/><Relationship Id="rId644" Type="http://schemas.openxmlformats.org/officeDocument/2006/relationships/hyperlink" Target="https://tupiel.darsistemas.com/consulta_cups/costos?id=26178" TargetMode="External"/><Relationship Id="rId851" Type="http://schemas.openxmlformats.org/officeDocument/2006/relationships/hyperlink" Target="https://tupiel.darsistemas.com/consulta/35889" TargetMode="External"/><Relationship Id="rId1274" Type="http://schemas.openxmlformats.org/officeDocument/2006/relationships/hyperlink" Target="https://tupiel.darsistemas.com/consulta_cups/costos?id=18674" TargetMode="External"/><Relationship Id="rId1481" Type="http://schemas.openxmlformats.org/officeDocument/2006/relationships/hyperlink" Target="https://tupiel.darsistemas.com/consulta/24928" TargetMode="External"/><Relationship Id="rId1579" Type="http://schemas.openxmlformats.org/officeDocument/2006/relationships/hyperlink" Target="https://tupiel.darsistemas.com/consulta/34705" TargetMode="External"/><Relationship Id="rId504" Type="http://schemas.openxmlformats.org/officeDocument/2006/relationships/hyperlink" Target="https://tupiel.darsistemas.com/consulta_cups/costos?id=24984" TargetMode="External"/><Relationship Id="rId711" Type="http://schemas.openxmlformats.org/officeDocument/2006/relationships/hyperlink" Target="https://tupiel.darsistemas.com/consulta/26577" TargetMode="External"/><Relationship Id="rId949" Type="http://schemas.openxmlformats.org/officeDocument/2006/relationships/hyperlink" Target="https://tupiel.darsistemas.com/consulta/34441" TargetMode="External"/><Relationship Id="rId1134" Type="http://schemas.openxmlformats.org/officeDocument/2006/relationships/hyperlink" Target="https://tupiel.darsistemas.com/consulta_cups/costos?id=26661" TargetMode="External"/><Relationship Id="rId1341" Type="http://schemas.openxmlformats.org/officeDocument/2006/relationships/hyperlink" Target="https://tupiel.darsistemas.com/consulta/36599" TargetMode="External"/><Relationship Id="rId78" Type="http://schemas.openxmlformats.org/officeDocument/2006/relationships/hyperlink" Target="https://tupiel.darsistemas.com/consulta_cups/costos?id=24219" TargetMode="External"/><Relationship Id="rId809" Type="http://schemas.openxmlformats.org/officeDocument/2006/relationships/hyperlink" Target="https://tupiel.darsistemas.com/consulta/35870" TargetMode="External"/><Relationship Id="rId1201" Type="http://schemas.openxmlformats.org/officeDocument/2006/relationships/hyperlink" Target="https://tupiel.darsistemas.com/consulta/36444" TargetMode="External"/><Relationship Id="rId1439" Type="http://schemas.openxmlformats.org/officeDocument/2006/relationships/hyperlink" Target="https://tupiel.darsistemas.com/consulta/20151" TargetMode="External"/><Relationship Id="rId1646" Type="http://schemas.openxmlformats.org/officeDocument/2006/relationships/hyperlink" Target="https://tupiel.darsistemas.com/consulta_cups/costos?id=25909" TargetMode="External"/><Relationship Id="rId1506" Type="http://schemas.openxmlformats.org/officeDocument/2006/relationships/hyperlink" Target="https://tupiel.darsistemas.com/consulta_cups/costos?id=26582" TargetMode="External"/><Relationship Id="rId294" Type="http://schemas.openxmlformats.org/officeDocument/2006/relationships/hyperlink" Target="https://tupiel.darsistemas.com/consulta_cups/costos?id=26106" TargetMode="External"/><Relationship Id="rId154" Type="http://schemas.openxmlformats.org/officeDocument/2006/relationships/hyperlink" Target="https://tupiel.darsistemas.com/consulta_cups/costos?id=19094" TargetMode="External"/><Relationship Id="rId361" Type="http://schemas.openxmlformats.org/officeDocument/2006/relationships/hyperlink" Target="https://tupiel.darsistemas.com/consulta/36220" TargetMode="External"/><Relationship Id="rId599" Type="http://schemas.openxmlformats.org/officeDocument/2006/relationships/hyperlink" Target="https://tupiel.darsistemas.com/consulta/36318" TargetMode="External"/><Relationship Id="rId459" Type="http://schemas.openxmlformats.org/officeDocument/2006/relationships/hyperlink" Target="https://tupiel.darsistemas.com/consulta/34425" TargetMode="External"/><Relationship Id="rId666" Type="http://schemas.openxmlformats.org/officeDocument/2006/relationships/hyperlink" Target="https://tupiel.darsistemas.com/consulta_cups/costos?id=25622" TargetMode="External"/><Relationship Id="rId873" Type="http://schemas.openxmlformats.org/officeDocument/2006/relationships/hyperlink" Target="https://tupiel.darsistemas.com/consulta/36418" TargetMode="External"/><Relationship Id="rId1089" Type="http://schemas.openxmlformats.org/officeDocument/2006/relationships/hyperlink" Target="https://tupiel.darsistemas.com/consulta/32768" TargetMode="External"/><Relationship Id="rId1296" Type="http://schemas.openxmlformats.org/officeDocument/2006/relationships/hyperlink" Target="https://tupiel.darsistemas.com/consulta_cups/costos?id=26417" TargetMode="External"/><Relationship Id="rId221" Type="http://schemas.openxmlformats.org/officeDocument/2006/relationships/hyperlink" Target="https://tupiel.darsistemas.com/consulta/36164" TargetMode="External"/><Relationship Id="rId319" Type="http://schemas.openxmlformats.org/officeDocument/2006/relationships/hyperlink" Target="https://tupiel.darsistemas.com/consulta/34071" TargetMode="External"/><Relationship Id="rId526" Type="http://schemas.openxmlformats.org/officeDocument/2006/relationships/hyperlink" Target="https://tupiel.darsistemas.com/consulta_cups/costos?id=26171" TargetMode="External"/><Relationship Id="rId1156" Type="http://schemas.openxmlformats.org/officeDocument/2006/relationships/hyperlink" Target="https://tupiel.darsistemas.com/consulta_cups/costos?id=26626" TargetMode="External"/><Relationship Id="rId1363" Type="http://schemas.openxmlformats.org/officeDocument/2006/relationships/hyperlink" Target="https://tupiel.darsistemas.com/consulta/36094" TargetMode="External"/><Relationship Id="rId733" Type="http://schemas.openxmlformats.org/officeDocument/2006/relationships/hyperlink" Target="https://tupiel.darsistemas.com/consulta/36358" TargetMode="External"/><Relationship Id="rId940" Type="http://schemas.openxmlformats.org/officeDocument/2006/relationships/hyperlink" Target="https://tupiel.darsistemas.com/consulta_cups/costos?id=25257" TargetMode="External"/><Relationship Id="rId1016" Type="http://schemas.openxmlformats.org/officeDocument/2006/relationships/hyperlink" Target="https://tupiel.darsistemas.com/consulta_cups/costos?id=26536" TargetMode="External"/><Relationship Id="rId1570" Type="http://schemas.openxmlformats.org/officeDocument/2006/relationships/hyperlink" Target="https://tupiel.darsistemas.com/consulta_cups/costos?id=25976" TargetMode="External"/><Relationship Id="rId1668" Type="http://schemas.openxmlformats.org/officeDocument/2006/relationships/hyperlink" Target="https://tupiel.darsistemas.com/consulta_cups/costos?id=26360" TargetMode="External"/><Relationship Id="rId800" Type="http://schemas.openxmlformats.org/officeDocument/2006/relationships/hyperlink" Target="https://tupiel.darsistemas.com/consulta_cups/costos?id=26300" TargetMode="External"/><Relationship Id="rId1223" Type="http://schemas.openxmlformats.org/officeDocument/2006/relationships/hyperlink" Target="https://tupiel.darsistemas.com/consulta/36292" TargetMode="External"/><Relationship Id="rId1430" Type="http://schemas.openxmlformats.org/officeDocument/2006/relationships/hyperlink" Target="https://tupiel.darsistemas.com/consulta_cups/costos?id=26844" TargetMode="External"/><Relationship Id="rId1528" Type="http://schemas.openxmlformats.org/officeDocument/2006/relationships/hyperlink" Target="https://tupiel.darsistemas.com/consulta_cups/costos?id=26032" TargetMode="External"/><Relationship Id="rId27" Type="http://schemas.openxmlformats.org/officeDocument/2006/relationships/hyperlink" Target="https://tupiel.darsistemas.com/consulta/35512" TargetMode="External"/><Relationship Id="rId176" Type="http://schemas.openxmlformats.org/officeDocument/2006/relationships/hyperlink" Target="https://tupiel.darsistemas.com/consulta_cups/costos?id=25978" TargetMode="External"/><Relationship Id="rId383" Type="http://schemas.openxmlformats.org/officeDocument/2006/relationships/hyperlink" Target="https://tupiel.darsistemas.com/consulta/32399" TargetMode="External"/><Relationship Id="rId590" Type="http://schemas.openxmlformats.org/officeDocument/2006/relationships/hyperlink" Target="https://tupiel.darsistemas.com/consulta_cups/costos?id=26228" TargetMode="External"/><Relationship Id="rId243" Type="http://schemas.openxmlformats.org/officeDocument/2006/relationships/hyperlink" Target="https://tupiel.darsistemas.com/consulta/36108" TargetMode="External"/><Relationship Id="rId450" Type="http://schemas.openxmlformats.org/officeDocument/2006/relationships/hyperlink" Target="https://tupiel.darsistemas.com/consulta_cups/costos?id=24390" TargetMode="External"/><Relationship Id="rId688" Type="http://schemas.openxmlformats.org/officeDocument/2006/relationships/hyperlink" Target="https://tupiel.darsistemas.com/consulta_cups/costos?id=26247" TargetMode="External"/><Relationship Id="rId895" Type="http://schemas.openxmlformats.org/officeDocument/2006/relationships/hyperlink" Target="https://tupiel.darsistemas.com/consulta/34879" TargetMode="External"/><Relationship Id="rId909" Type="http://schemas.openxmlformats.org/officeDocument/2006/relationships/hyperlink" Target="https://tupiel.darsistemas.com/consulta/22200" TargetMode="External"/><Relationship Id="rId1080" Type="http://schemas.openxmlformats.org/officeDocument/2006/relationships/hyperlink" Target="https://tupiel.darsistemas.com/consulta_cups/costos?id=20635" TargetMode="External"/><Relationship Id="rId1301" Type="http://schemas.openxmlformats.org/officeDocument/2006/relationships/hyperlink" Target="https://tupiel.darsistemas.com/consulta/36578" TargetMode="External"/><Relationship Id="rId1539" Type="http://schemas.openxmlformats.org/officeDocument/2006/relationships/hyperlink" Target="https://tupiel.darsistemas.com/consulta/28584" TargetMode="External"/><Relationship Id="rId38" Type="http://schemas.openxmlformats.org/officeDocument/2006/relationships/hyperlink" Target="https://tupiel.darsistemas.com/consulta_cups/costos?id=25701" TargetMode="External"/><Relationship Id="rId103" Type="http://schemas.openxmlformats.org/officeDocument/2006/relationships/hyperlink" Target="https://tupiel.darsistemas.com/consulta/36047" TargetMode="External"/><Relationship Id="rId310" Type="http://schemas.openxmlformats.org/officeDocument/2006/relationships/hyperlink" Target="https://tupiel.darsistemas.com/consulta_cups/costos?id=26125" TargetMode="External"/><Relationship Id="rId548" Type="http://schemas.openxmlformats.org/officeDocument/2006/relationships/hyperlink" Target="https://tupiel.darsistemas.com/consulta_cups/costos?id=26174" TargetMode="External"/><Relationship Id="rId755" Type="http://schemas.openxmlformats.org/officeDocument/2006/relationships/hyperlink" Target="https://tupiel.darsistemas.com/consulta/36072" TargetMode="External"/><Relationship Id="rId962" Type="http://schemas.openxmlformats.org/officeDocument/2006/relationships/hyperlink" Target="https://tupiel.darsistemas.com/consulta_cups/costos?id=26496" TargetMode="External"/><Relationship Id="rId1178" Type="http://schemas.openxmlformats.org/officeDocument/2006/relationships/hyperlink" Target="https://tupiel.darsistemas.com/consulta_cups/costos?id=26699" TargetMode="External"/><Relationship Id="rId1385" Type="http://schemas.openxmlformats.org/officeDocument/2006/relationships/hyperlink" Target="https://tupiel.darsistemas.com/consulta/36506" TargetMode="External"/><Relationship Id="rId1592" Type="http://schemas.openxmlformats.org/officeDocument/2006/relationships/hyperlink" Target="https://tupiel.darsistemas.com/consulta_cups/costos?id=26343" TargetMode="External"/><Relationship Id="rId1606" Type="http://schemas.openxmlformats.org/officeDocument/2006/relationships/hyperlink" Target="https://tupiel.darsistemas.com/consulta_cups/costos?id=25970" TargetMode="External"/><Relationship Id="rId91" Type="http://schemas.openxmlformats.org/officeDocument/2006/relationships/hyperlink" Target="https://tupiel.darsistemas.com/consulta/35892" TargetMode="External"/><Relationship Id="rId187" Type="http://schemas.openxmlformats.org/officeDocument/2006/relationships/hyperlink" Target="https://tupiel.darsistemas.com/consulta/36160" TargetMode="External"/><Relationship Id="rId394" Type="http://schemas.openxmlformats.org/officeDocument/2006/relationships/hyperlink" Target="https://tupiel.darsistemas.com/consulta_cups/costos?id=25775" TargetMode="External"/><Relationship Id="rId408" Type="http://schemas.openxmlformats.org/officeDocument/2006/relationships/hyperlink" Target="https://tupiel.darsistemas.com/consulta_cups/costos?id=26185" TargetMode="External"/><Relationship Id="rId615" Type="http://schemas.openxmlformats.org/officeDocument/2006/relationships/hyperlink" Target="https://tupiel.darsistemas.com/consulta/36265" TargetMode="External"/><Relationship Id="rId822" Type="http://schemas.openxmlformats.org/officeDocument/2006/relationships/hyperlink" Target="https://tupiel.darsistemas.com/consulta_cups/costos?id=26454" TargetMode="External"/><Relationship Id="rId1038" Type="http://schemas.openxmlformats.org/officeDocument/2006/relationships/hyperlink" Target="https://tupiel.darsistemas.com/consulta_cups/costos?id=25222" TargetMode="External"/><Relationship Id="rId1245" Type="http://schemas.openxmlformats.org/officeDocument/2006/relationships/hyperlink" Target="https://tupiel.darsistemas.com/consulta/35525" TargetMode="External"/><Relationship Id="rId1452" Type="http://schemas.openxmlformats.org/officeDocument/2006/relationships/hyperlink" Target="https://tupiel.darsistemas.com/consulta_cups/costos?id=26728" TargetMode="External"/><Relationship Id="rId254" Type="http://schemas.openxmlformats.org/officeDocument/2006/relationships/hyperlink" Target="https://tupiel.darsistemas.com/consulta_cups/costos?id=26073" TargetMode="External"/><Relationship Id="rId699" Type="http://schemas.openxmlformats.org/officeDocument/2006/relationships/hyperlink" Target="https://tupiel.darsistemas.com/consulta/36329" TargetMode="External"/><Relationship Id="rId1091" Type="http://schemas.openxmlformats.org/officeDocument/2006/relationships/hyperlink" Target="https://tupiel.darsistemas.com/consulta/32768" TargetMode="External"/><Relationship Id="rId1105" Type="http://schemas.openxmlformats.org/officeDocument/2006/relationships/hyperlink" Target="https://tupiel.darsistemas.com/consulta/30600" TargetMode="External"/><Relationship Id="rId1312" Type="http://schemas.openxmlformats.org/officeDocument/2006/relationships/hyperlink" Target="https://tupiel.darsistemas.com/consulta_cups/costos?id=26544" TargetMode="External"/><Relationship Id="rId49" Type="http://schemas.openxmlformats.org/officeDocument/2006/relationships/hyperlink" Target="https://tupiel.darsistemas.com/consulta/36058" TargetMode="External"/><Relationship Id="rId114" Type="http://schemas.openxmlformats.org/officeDocument/2006/relationships/hyperlink" Target="https://tupiel.darsistemas.com/consulta_cups/costos?id=25896" TargetMode="External"/><Relationship Id="rId461" Type="http://schemas.openxmlformats.org/officeDocument/2006/relationships/hyperlink" Target="https://tupiel.darsistemas.com/consulta/34425" TargetMode="External"/><Relationship Id="rId559" Type="http://schemas.openxmlformats.org/officeDocument/2006/relationships/hyperlink" Target="https://tupiel.darsistemas.com/consulta/23794" TargetMode="External"/><Relationship Id="rId766" Type="http://schemas.openxmlformats.org/officeDocument/2006/relationships/hyperlink" Target="https://tupiel.darsistemas.com/consulta_cups/costos?id=26028" TargetMode="External"/><Relationship Id="rId1189" Type="http://schemas.openxmlformats.org/officeDocument/2006/relationships/hyperlink" Target="https://tupiel.darsistemas.com/consulta/36495" TargetMode="External"/><Relationship Id="rId1396" Type="http://schemas.openxmlformats.org/officeDocument/2006/relationships/hyperlink" Target="https://tupiel.darsistemas.com/consulta_cups/costos?id=26795" TargetMode="External"/><Relationship Id="rId1617" Type="http://schemas.openxmlformats.org/officeDocument/2006/relationships/hyperlink" Target="https://tupiel.darsistemas.com/consulta/35897" TargetMode="External"/><Relationship Id="rId198" Type="http://schemas.openxmlformats.org/officeDocument/2006/relationships/hyperlink" Target="https://tupiel.darsistemas.com/consulta_cups/costos?id=25997" TargetMode="External"/><Relationship Id="rId321" Type="http://schemas.openxmlformats.org/officeDocument/2006/relationships/hyperlink" Target="https://tupiel.darsistemas.com/consulta/34071" TargetMode="External"/><Relationship Id="rId419" Type="http://schemas.openxmlformats.org/officeDocument/2006/relationships/hyperlink" Target="https://tupiel.darsistemas.com/consulta/26276" TargetMode="External"/><Relationship Id="rId626" Type="http://schemas.openxmlformats.org/officeDocument/2006/relationships/hyperlink" Target="https://tupiel.darsistemas.com/consulta_cups/costos?id=26328" TargetMode="External"/><Relationship Id="rId973" Type="http://schemas.openxmlformats.org/officeDocument/2006/relationships/hyperlink" Target="https://tupiel.darsistemas.com/consulta/36238" TargetMode="External"/><Relationship Id="rId1049" Type="http://schemas.openxmlformats.org/officeDocument/2006/relationships/hyperlink" Target="https://tupiel.darsistemas.com/consulta/33352" TargetMode="External"/><Relationship Id="rId1256" Type="http://schemas.openxmlformats.org/officeDocument/2006/relationships/hyperlink" Target="https://tupiel.darsistemas.com/consulta_cups/costos?id=26711" TargetMode="External"/><Relationship Id="rId833" Type="http://schemas.openxmlformats.org/officeDocument/2006/relationships/hyperlink" Target="https://tupiel.darsistemas.com/consulta/36414" TargetMode="External"/><Relationship Id="rId1116" Type="http://schemas.openxmlformats.org/officeDocument/2006/relationships/hyperlink" Target="https://tupiel.darsistemas.com/consulta_cups/costos?id=26466" TargetMode="External"/><Relationship Id="rId1463" Type="http://schemas.openxmlformats.org/officeDocument/2006/relationships/hyperlink" Target="https://tupiel.darsistemas.com/consulta/22087" TargetMode="External"/><Relationship Id="rId1670" Type="http://schemas.openxmlformats.org/officeDocument/2006/relationships/hyperlink" Target="https://tupiel.darsistemas.com/consulta_cups/costos?id=26383" TargetMode="External"/><Relationship Id="rId265" Type="http://schemas.openxmlformats.org/officeDocument/2006/relationships/hyperlink" Target="https://tupiel.darsistemas.com/consulta/36186" TargetMode="External"/><Relationship Id="rId472" Type="http://schemas.openxmlformats.org/officeDocument/2006/relationships/hyperlink" Target="https://tupiel.darsistemas.com/consulta_cups/costos?id=23836" TargetMode="External"/><Relationship Id="rId900" Type="http://schemas.openxmlformats.org/officeDocument/2006/relationships/hyperlink" Target="https://tupiel.darsistemas.com/consulta_cups/costos?id=25961" TargetMode="External"/><Relationship Id="rId1323" Type="http://schemas.openxmlformats.org/officeDocument/2006/relationships/hyperlink" Target="https://tupiel.darsistemas.com/consulta/35944" TargetMode="External"/><Relationship Id="rId1530" Type="http://schemas.openxmlformats.org/officeDocument/2006/relationships/hyperlink" Target="https://tupiel.darsistemas.com/consulta_cups/costos?id=25952" TargetMode="External"/><Relationship Id="rId1628" Type="http://schemas.openxmlformats.org/officeDocument/2006/relationships/hyperlink" Target="https://tupiel.darsistemas.com/consulta_cups/costos?id=25833" TargetMode="External"/><Relationship Id="rId125" Type="http://schemas.openxmlformats.org/officeDocument/2006/relationships/hyperlink" Target="https://tupiel.darsistemas.com/consulta/34158" TargetMode="External"/><Relationship Id="rId332" Type="http://schemas.openxmlformats.org/officeDocument/2006/relationships/hyperlink" Target="https://tupiel.darsistemas.com/consulta_cups/costos?id=25965" TargetMode="External"/><Relationship Id="rId777" Type="http://schemas.openxmlformats.org/officeDocument/2006/relationships/hyperlink" Target="https://tupiel.darsistemas.com/consulta/27943" TargetMode="External"/><Relationship Id="rId984" Type="http://schemas.openxmlformats.org/officeDocument/2006/relationships/hyperlink" Target="https://tupiel.darsistemas.com/consulta_cups/costos?id=22863" TargetMode="External"/><Relationship Id="rId637" Type="http://schemas.openxmlformats.org/officeDocument/2006/relationships/hyperlink" Target="https://tupiel.darsistemas.com/consulta/27665" TargetMode="External"/><Relationship Id="rId844" Type="http://schemas.openxmlformats.org/officeDocument/2006/relationships/hyperlink" Target="https://tupiel.darsistemas.com/consulta_cups/costos?id=26338" TargetMode="External"/><Relationship Id="rId1267" Type="http://schemas.openxmlformats.org/officeDocument/2006/relationships/hyperlink" Target="https://tupiel.darsistemas.com/consulta/36522" TargetMode="External"/><Relationship Id="rId1474" Type="http://schemas.openxmlformats.org/officeDocument/2006/relationships/hyperlink" Target="https://tupiel.darsistemas.com/consulta_cups/costos?id=26050" TargetMode="External"/><Relationship Id="rId1681" Type="http://schemas.openxmlformats.org/officeDocument/2006/relationships/hyperlink" Target="https://tupiel.darsistemas.com/consulta/36445" TargetMode="External"/><Relationship Id="rId276" Type="http://schemas.openxmlformats.org/officeDocument/2006/relationships/hyperlink" Target="https://tupiel.darsistemas.com/consulta_cups/costos?id=26041" TargetMode="External"/><Relationship Id="rId483" Type="http://schemas.openxmlformats.org/officeDocument/2006/relationships/hyperlink" Target="https://tupiel.darsistemas.com/consulta/36274" TargetMode="External"/><Relationship Id="rId690" Type="http://schemas.openxmlformats.org/officeDocument/2006/relationships/hyperlink" Target="https://tupiel.darsistemas.com/consulta_cups/costos?id=26334" TargetMode="External"/><Relationship Id="rId704" Type="http://schemas.openxmlformats.org/officeDocument/2006/relationships/hyperlink" Target="https://tupiel.darsistemas.com/consulta_cups/costos?id=25543" TargetMode="External"/><Relationship Id="rId911" Type="http://schemas.openxmlformats.org/officeDocument/2006/relationships/hyperlink" Target="https://tupiel.darsistemas.com/consulta/36117" TargetMode="External"/><Relationship Id="rId1127" Type="http://schemas.openxmlformats.org/officeDocument/2006/relationships/hyperlink" Target="https://tupiel.darsistemas.com/consulta/32912" TargetMode="External"/><Relationship Id="rId1334" Type="http://schemas.openxmlformats.org/officeDocument/2006/relationships/hyperlink" Target="https://tupiel.darsistemas.com/consulta_cups/costos?id=26782" TargetMode="External"/><Relationship Id="rId1541" Type="http://schemas.openxmlformats.org/officeDocument/2006/relationships/hyperlink" Target="https://tupiel.darsistemas.com/consulta/29149" TargetMode="External"/><Relationship Id="rId40" Type="http://schemas.openxmlformats.org/officeDocument/2006/relationships/hyperlink" Target="https://tupiel.darsistemas.com/consulta_cups/costos?id=25830" TargetMode="External"/><Relationship Id="rId136" Type="http://schemas.openxmlformats.org/officeDocument/2006/relationships/hyperlink" Target="https://tupiel.darsistemas.com/consulta_cups/costos?id=25868" TargetMode="External"/><Relationship Id="rId343" Type="http://schemas.openxmlformats.org/officeDocument/2006/relationships/hyperlink" Target="https://tupiel.darsistemas.com/consulta/35891" TargetMode="External"/><Relationship Id="rId550" Type="http://schemas.openxmlformats.org/officeDocument/2006/relationships/hyperlink" Target="https://tupiel.darsistemas.com/consulta_cups/costos?id=22430" TargetMode="External"/><Relationship Id="rId788" Type="http://schemas.openxmlformats.org/officeDocument/2006/relationships/hyperlink" Target="https://tupiel.darsistemas.com/consulta_cups/costos?id=26408" TargetMode="External"/><Relationship Id="rId995" Type="http://schemas.openxmlformats.org/officeDocument/2006/relationships/hyperlink" Target="https://tupiel.darsistemas.com/consulta/35827" TargetMode="External"/><Relationship Id="rId1180" Type="http://schemas.openxmlformats.org/officeDocument/2006/relationships/hyperlink" Target="https://tupiel.darsistemas.com/consulta_cups/costos?id=26643" TargetMode="External"/><Relationship Id="rId1401" Type="http://schemas.openxmlformats.org/officeDocument/2006/relationships/hyperlink" Target="https://tupiel.darsistemas.com/consulta/36576" TargetMode="External"/><Relationship Id="rId1639" Type="http://schemas.openxmlformats.org/officeDocument/2006/relationships/hyperlink" Target="https://tupiel.darsistemas.com/consulta/36106" TargetMode="External"/><Relationship Id="rId203" Type="http://schemas.openxmlformats.org/officeDocument/2006/relationships/hyperlink" Target="https://tupiel.darsistemas.com/consulta/36181" TargetMode="External"/><Relationship Id="rId648" Type="http://schemas.openxmlformats.org/officeDocument/2006/relationships/hyperlink" Target="https://tupiel.darsistemas.com/consulta_cups/costos?id=26134" TargetMode="External"/><Relationship Id="rId855" Type="http://schemas.openxmlformats.org/officeDocument/2006/relationships/hyperlink" Target="https://tupiel.darsistemas.com/consulta/25748" TargetMode="External"/><Relationship Id="rId1040" Type="http://schemas.openxmlformats.org/officeDocument/2006/relationships/hyperlink" Target="https://tupiel.darsistemas.com/consulta_cups/costos?id=26208" TargetMode="External"/><Relationship Id="rId1278" Type="http://schemas.openxmlformats.org/officeDocument/2006/relationships/hyperlink" Target="https://tupiel.darsistemas.com/consulta_cups/costos?id=26310" TargetMode="External"/><Relationship Id="rId1485" Type="http://schemas.openxmlformats.org/officeDocument/2006/relationships/hyperlink" Target="https://tupiel.darsistemas.com/consulta/24928" TargetMode="External"/><Relationship Id="rId1692" Type="http://schemas.openxmlformats.org/officeDocument/2006/relationships/hyperlink" Target="https://tupiel.darsistemas.com/consulta_cups/costos?id=26607" TargetMode="External"/><Relationship Id="rId287" Type="http://schemas.openxmlformats.org/officeDocument/2006/relationships/hyperlink" Target="https://tupiel.darsistemas.com/consulta/34609" TargetMode="External"/><Relationship Id="rId410" Type="http://schemas.openxmlformats.org/officeDocument/2006/relationships/hyperlink" Target="https://tupiel.darsistemas.com/consulta_cups/costos?id=26194" TargetMode="External"/><Relationship Id="rId494" Type="http://schemas.openxmlformats.org/officeDocument/2006/relationships/hyperlink" Target="https://tupiel.darsistemas.com/consulta_cups/costos?id=26230" TargetMode="External"/><Relationship Id="rId508" Type="http://schemas.openxmlformats.org/officeDocument/2006/relationships/hyperlink" Target="https://tupiel.darsistemas.com/consulta_cups/costos?id=25920" TargetMode="External"/><Relationship Id="rId715" Type="http://schemas.openxmlformats.org/officeDocument/2006/relationships/hyperlink" Target="https://tupiel.darsistemas.com/consulta/35912" TargetMode="External"/><Relationship Id="rId922" Type="http://schemas.openxmlformats.org/officeDocument/2006/relationships/hyperlink" Target="https://tupiel.darsistemas.com/consulta_cups/costos?id=25372" TargetMode="External"/><Relationship Id="rId1138" Type="http://schemas.openxmlformats.org/officeDocument/2006/relationships/hyperlink" Target="https://tupiel.darsistemas.com/consulta_cups/costos?id=26655" TargetMode="External"/><Relationship Id="rId1345" Type="http://schemas.openxmlformats.org/officeDocument/2006/relationships/hyperlink" Target="https://tupiel.darsistemas.com/consulta/36093" TargetMode="External"/><Relationship Id="rId1552" Type="http://schemas.openxmlformats.org/officeDocument/2006/relationships/hyperlink" Target="https://tupiel.darsistemas.com/consulta_cups/costos?id=18597" TargetMode="External"/><Relationship Id="rId147" Type="http://schemas.openxmlformats.org/officeDocument/2006/relationships/hyperlink" Target="https://tupiel.darsistemas.com/consulta/22514" TargetMode="External"/><Relationship Id="rId354" Type="http://schemas.openxmlformats.org/officeDocument/2006/relationships/hyperlink" Target="https://tupiel.darsistemas.com/consulta_cups/costos?id=24464" TargetMode="External"/><Relationship Id="rId799" Type="http://schemas.openxmlformats.org/officeDocument/2006/relationships/hyperlink" Target="https://tupiel.darsistemas.com/consulta/32733" TargetMode="External"/><Relationship Id="rId1191" Type="http://schemas.openxmlformats.org/officeDocument/2006/relationships/hyperlink" Target="https://tupiel.darsistemas.com/consulta/33449" TargetMode="External"/><Relationship Id="rId1205" Type="http://schemas.openxmlformats.org/officeDocument/2006/relationships/hyperlink" Target="https://tupiel.darsistemas.com/consulta/36549" TargetMode="External"/><Relationship Id="rId51" Type="http://schemas.openxmlformats.org/officeDocument/2006/relationships/hyperlink" Target="https://tupiel.darsistemas.com/consulta/36058" TargetMode="External"/><Relationship Id="rId561" Type="http://schemas.openxmlformats.org/officeDocument/2006/relationships/hyperlink" Target="https://tupiel.darsistemas.com/consulta/36247" TargetMode="External"/><Relationship Id="rId659" Type="http://schemas.openxmlformats.org/officeDocument/2006/relationships/hyperlink" Target="https://tupiel.darsistemas.com/consulta/36332" TargetMode="External"/><Relationship Id="rId866" Type="http://schemas.openxmlformats.org/officeDocument/2006/relationships/hyperlink" Target="https://tupiel.darsistemas.com/consulta_cups/costos?id=26287" TargetMode="External"/><Relationship Id="rId1289" Type="http://schemas.openxmlformats.org/officeDocument/2006/relationships/hyperlink" Target="https://tupiel.darsistemas.com/consulta/36482" TargetMode="External"/><Relationship Id="rId1412" Type="http://schemas.openxmlformats.org/officeDocument/2006/relationships/hyperlink" Target="https://tupiel.darsistemas.com/consulta_cups/costos?id=26294" TargetMode="External"/><Relationship Id="rId1496" Type="http://schemas.openxmlformats.org/officeDocument/2006/relationships/hyperlink" Target="https://tupiel.darsistemas.com/consulta_cups/costos?id=14012" TargetMode="External"/><Relationship Id="rId214" Type="http://schemas.openxmlformats.org/officeDocument/2006/relationships/hyperlink" Target="https://tupiel.darsistemas.com/consulta_cups/costos?id=24923" TargetMode="External"/><Relationship Id="rId298" Type="http://schemas.openxmlformats.org/officeDocument/2006/relationships/hyperlink" Target="https://tupiel.darsistemas.com/consulta_cups/costos?id=25968" TargetMode="External"/><Relationship Id="rId421" Type="http://schemas.openxmlformats.org/officeDocument/2006/relationships/hyperlink" Target="https://tupiel.darsistemas.com/consulta/35671" TargetMode="External"/><Relationship Id="rId519" Type="http://schemas.openxmlformats.org/officeDocument/2006/relationships/hyperlink" Target="https://tupiel.darsistemas.com/consulta/36253" TargetMode="External"/><Relationship Id="rId1051" Type="http://schemas.openxmlformats.org/officeDocument/2006/relationships/hyperlink" Target="https://tupiel.darsistemas.com/consulta/36476" TargetMode="External"/><Relationship Id="rId1149" Type="http://schemas.openxmlformats.org/officeDocument/2006/relationships/hyperlink" Target="https://tupiel.darsistemas.com/consulta/33615" TargetMode="External"/><Relationship Id="rId1356" Type="http://schemas.openxmlformats.org/officeDocument/2006/relationships/hyperlink" Target="https://tupiel.darsistemas.com/consulta_cups/costos?id=26776" TargetMode="External"/><Relationship Id="rId158" Type="http://schemas.openxmlformats.org/officeDocument/2006/relationships/hyperlink" Target="https://tupiel.darsistemas.com/consulta_cups/costos?id=25891" TargetMode="External"/><Relationship Id="rId726" Type="http://schemas.openxmlformats.org/officeDocument/2006/relationships/hyperlink" Target="https://tupiel.darsistemas.com/consulta_cups/costos?id=26181" TargetMode="External"/><Relationship Id="rId933" Type="http://schemas.openxmlformats.org/officeDocument/2006/relationships/hyperlink" Target="https://tupiel.darsistemas.com/consulta/36260" TargetMode="External"/><Relationship Id="rId1009" Type="http://schemas.openxmlformats.org/officeDocument/2006/relationships/hyperlink" Target="https://tupiel.darsistemas.com/consulta/35807" TargetMode="External"/><Relationship Id="rId1563" Type="http://schemas.openxmlformats.org/officeDocument/2006/relationships/hyperlink" Target="https://tupiel.darsistemas.com/consulta/31801" TargetMode="External"/><Relationship Id="rId62" Type="http://schemas.openxmlformats.org/officeDocument/2006/relationships/hyperlink" Target="https://tupiel.darsistemas.com/consulta_cups/costos?id=25820" TargetMode="External"/><Relationship Id="rId365" Type="http://schemas.openxmlformats.org/officeDocument/2006/relationships/hyperlink" Target="https://tupiel.darsistemas.com/consulta/36248" TargetMode="External"/><Relationship Id="rId572" Type="http://schemas.openxmlformats.org/officeDocument/2006/relationships/hyperlink" Target="https://tupiel.darsistemas.com/consulta_cups/costos?id=22691" TargetMode="External"/><Relationship Id="rId1216" Type="http://schemas.openxmlformats.org/officeDocument/2006/relationships/hyperlink" Target="https://tupiel.darsistemas.com/consulta_cups/costos?id=26725" TargetMode="External"/><Relationship Id="rId1423" Type="http://schemas.openxmlformats.org/officeDocument/2006/relationships/hyperlink" Target="https://tupiel.darsistemas.com/consulta/35223" TargetMode="External"/><Relationship Id="rId1630" Type="http://schemas.openxmlformats.org/officeDocument/2006/relationships/hyperlink" Target="https://tupiel.darsistemas.com/consulta_cups/costos?id=26136" TargetMode="External"/><Relationship Id="rId225" Type="http://schemas.openxmlformats.org/officeDocument/2006/relationships/hyperlink" Target="https://tupiel.darsistemas.com/consulta/36148" TargetMode="External"/><Relationship Id="rId432" Type="http://schemas.openxmlformats.org/officeDocument/2006/relationships/hyperlink" Target="https://tupiel.darsistemas.com/consulta_cups/costos?id=26163" TargetMode="External"/><Relationship Id="rId877" Type="http://schemas.openxmlformats.org/officeDocument/2006/relationships/hyperlink" Target="https://tupiel.darsistemas.com/consulta/36373" TargetMode="External"/><Relationship Id="rId1062" Type="http://schemas.openxmlformats.org/officeDocument/2006/relationships/hyperlink" Target="https://tupiel.darsistemas.com/consulta_cups/costos?id=25251" TargetMode="External"/><Relationship Id="rId737" Type="http://schemas.openxmlformats.org/officeDocument/2006/relationships/hyperlink" Target="https://tupiel.darsistemas.com/consulta/36364" TargetMode="External"/><Relationship Id="rId944" Type="http://schemas.openxmlformats.org/officeDocument/2006/relationships/hyperlink" Target="https://tupiel.darsistemas.com/consulta_cups/costos?id=25852" TargetMode="External"/><Relationship Id="rId1367" Type="http://schemas.openxmlformats.org/officeDocument/2006/relationships/hyperlink" Target="https://tupiel.darsistemas.com/consulta/36573" TargetMode="External"/><Relationship Id="rId1574" Type="http://schemas.openxmlformats.org/officeDocument/2006/relationships/hyperlink" Target="https://tupiel.darsistemas.com/consulta_cups/costos?id=26037" TargetMode="External"/><Relationship Id="rId73" Type="http://schemas.openxmlformats.org/officeDocument/2006/relationships/hyperlink" Target="https://tupiel.darsistemas.com/consulta/28241" TargetMode="External"/><Relationship Id="rId169" Type="http://schemas.openxmlformats.org/officeDocument/2006/relationships/hyperlink" Target="https://tupiel.darsistemas.com/consulta/31342" TargetMode="External"/><Relationship Id="rId376" Type="http://schemas.openxmlformats.org/officeDocument/2006/relationships/hyperlink" Target="https://tupiel.darsistemas.com/consulta_cups/costos?id=26114" TargetMode="External"/><Relationship Id="rId583" Type="http://schemas.openxmlformats.org/officeDocument/2006/relationships/hyperlink" Target="https://tupiel.darsistemas.com/consulta/36272" TargetMode="External"/><Relationship Id="rId790" Type="http://schemas.openxmlformats.org/officeDocument/2006/relationships/hyperlink" Target="https://tupiel.darsistemas.com/consulta_cups/costos?id=26410" TargetMode="External"/><Relationship Id="rId804" Type="http://schemas.openxmlformats.org/officeDocument/2006/relationships/hyperlink" Target="https://tupiel.darsistemas.com/consulta_cups/costos?id=26284" TargetMode="External"/><Relationship Id="rId1227" Type="http://schemas.openxmlformats.org/officeDocument/2006/relationships/hyperlink" Target="https://tupiel.darsistemas.com/consulta/36140" TargetMode="External"/><Relationship Id="rId1434" Type="http://schemas.openxmlformats.org/officeDocument/2006/relationships/hyperlink" Target="https://tupiel.darsistemas.com/consulta_cups/costos?id=26864" TargetMode="External"/><Relationship Id="rId1641" Type="http://schemas.openxmlformats.org/officeDocument/2006/relationships/hyperlink" Target="https://tupiel.darsistemas.com/consulta/36114" TargetMode="External"/><Relationship Id="rId4" Type="http://schemas.openxmlformats.org/officeDocument/2006/relationships/hyperlink" Target="https://tupiel.darsistemas.com/consulta_cups/costos?id=25474" TargetMode="External"/><Relationship Id="rId236" Type="http://schemas.openxmlformats.org/officeDocument/2006/relationships/hyperlink" Target="https://tupiel.darsistemas.com/consulta_cups/costos?id=25963" TargetMode="External"/><Relationship Id="rId443" Type="http://schemas.openxmlformats.org/officeDocument/2006/relationships/hyperlink" Target="https://tupiel.darsistemas.com/consulta/26436" TargetMode="External"/><Relationship Id="rId650" Type="http://schemas.openxmlformats.org/officeDocument/2006/relationships/hyperlink" Target="https://tupiel.darsistemas.com/consulta_cups/costos?id=26349" TargetMode="External"/><Relationship Id="rId888" Type="http://schemas.openxmlformats.org/officeDocument/2006/relationships/hyperlink" Target="https://tupiel.darsistemas.com/consulta_cups/costos?id=26184" TargetMode="External"/><Relationship Id="rId1073" Type="http://schemas.openxmlformats.org/officeDocument/2006/relationships/hyperlink" Target="https://tupiel.darsistemas.com/consulta/36485" TargetMode="External"/><Relationship Id="rId1280" Type="http://schemas.openxmlformats.org/officeDocument/2006/relationships/hyperlink" Target="https://tupiel.darsistemas.com/consulta_cups/costos?id=26403" TargetMode="External"/><Relationship Id="rId1501" Type="http://schemas.openxmlformats.org/officeDocument/2006/relationships/hyperlink" Target="https://tupiel.darsistemas.com/consulta/26925" TargetMode="External"/><Relationship Id="rId303" Type="http://schemas.openxmlformats.org/officeDocument/2006/relationships/hyperlink" Target="https://tupiel.darsistemas.com/consulta/36095" TargetMode="External"/><Relationship Id="rId748" Type="http://schemas.openxmlformats.org/officeDocument/2006/relationships/hyperlink" Target="https://tupiel.darsistemas.com/consulta_cups/costos?id=25596" TargetMode="External"/><Relationship Id="rId955" Type="http://schemas.openxmlformats.org/officeDocument/2006/relationships/hyperlink" Target="https://tupiel.darsistemas.com/consulta/30139" TargetMode="External"/><Relationship Id="rId1140" Type="http://schemas.openxmlformats.org/officeDocument/2006/relationships/hyperlink" Target="https://tupiel.darsistemas.com/consulta_cups/costos?id=26467" TargetMode="External"/><Relationship Id="rId1378" Type="http://schemas.openxmlformats.org/officeDocument/2006/relationships/hyperlink" Target="https://tupiel.darsistemas.com/consulta_cups/costos?id=26824" TargetMode="External"/><Relationship Id="rId1585" Type="http://schemas.openxmlformats.org/officeDocument/2006/relationships/hyperlink" Target="https://tupiel.darsistemas.com/consulta/35060" TargetMode="External"/><Relationship Id="rId84" Type="http://schemas.openxmlformats.org/officeDocument/2006/relationships/hyperlink" Target="https://tupiel.darsistemas.com/consulta_cups/costos?id=25845" TargetMode="External"/><Relationship Id="rId387" Type="http://schemas.openxmlformats.org/officeDocument/2006/relationships/hyperlink" Target="https://tupiel.darsistemas.com/consulta/35664" TargetMode="External"/><Relationship Id="rId510" Type="http://schemas.openxmlformats.org/officeDocument/2006/relationships/hyperlink" Target="https://tupiel.darsistemas.com/consulta_cups/costos?id=26235" TargetMode="External"/><Relationship Id="rId594" Type="http://schemas.openxmlformats.org/officeDocument/2006/relationships/hyperlink" Target="https://tupiel.darsistemas.com/consulta_cups/costos?id=25966" TargetMode="External"/><Relationship Id="rId608" Type="http://schemas.openxmlformats.org/officeDocument/2006/relationships/hyperlink" Target="https://tupiel.darsistemas.com/consulta_cups/costos?id=24556" TargetMode="External"/><Relationship Id="rId815" Type="http://schemas.openxmlformats.org/officeDocument/2006/relationships/hyperlink" Target="https://tupiel.darsistemas.com/consulta/26580" TargetMode="External"/><Relationship Id="rId1238" Type="http://schemas.openxmlformats.org/officeDocument/2006/relationships/hyperlink" Target="https://tupiel.darsistemas.com/consulta_cups/costos?id=26726" TargetMode="External"/><Relationship Id="rId1445" Type="http://schemas.openxmlformats.org/officeDocument/2006/relationships/hyperlink" Target="https://tupiel.darsistemas.com/consulta/21013" TargetMode="External"/><Relationship Id="rId1652" Type="http://schemas.openxmlformats.org/officeDocument/2006/relationships/hyperlink" Target="https://tupiel.darsistemas.com/consulta_cups/costos?id=26070" TargetMode="External"/><Relationship Id="rId247" Type="http://schemas.openxmlformats.org/officeDocument/2006/relationships/hyperlink" Target="https://tupiel.darsistemas.com/consulta/35311" TargetMode="External"/><Relationship Id="rId899" Type="http://schemas.openxmlformats.org/officeDocument/2006/relationships/hyperlink" Target="https://tupiel.darsistemas.com/consulta/22327" TargetMode="External"/><Relationship Id="rId1000" Type="http://schemas.openxmlformats.org/officeDocument/2006/relationships/hyperlink" Target="https://tupiel.darsistemas.com/consulta_cups/costos?id=26539" TargetMode="External"/><Relationship Id="rId1084" Type="http://schemas.openxmlformats.org/officeDocument/2006/relationships/hyperlink" Target="https://tupiel.darsistemas.com/consulta_cups/costos?id=24876" TargetMode="External"/><Relationship Id="rId1305" Type="http://schemas.openxmlformats.org/officeDocument/2006/relationships/hyperlink" Target="https://tupiel.darsistemas.com/consulta/36578" TargetMode="External"/><Relationship Id="rId107" Type="http://schemas.openxmlformats.org/officeDocument/2006/relationships/hyperlink" Target="https://tupiel.darsistemas.com/consulta/34323" TargetMode="External"/><Relationship Id="rId454" Type="http://schemas.openxmlformats.org/officeDocument/2006/relationships/hyperlink" Target="https://tupiel.darsistemas.com/consulta_cups/costos?id=24339" TargetMode="External"/><Relationship Id="rId661" Type="http://schemas.openxmlformats.org/officeDocument/2006/relationships/hyperlink" Target="https://tupiel.darsistemas.com/consulta/36332" TargetMode="External"/><Relationship Id="rId759" Type="http://schemas.openxmlformats.org/officeDocument/2006/relationships/hyperlink" Target="https://tupiel.darsistemas.com/consulta/36341" TargetMode="External"/><Relationship Id="rId966" Type="http://schemas.openxmlformats.org/officeDocument/2006/relationships/hyperlink" Target="https://tupiel.darsistemas.com/consulta_cups/costos?id=26450" TargetMode="External"/><Relationship Id="rId1291" Type="http://schemas.openxmlformats.org/officeDocument/2006/relationships/hyperlink" Target="https://tupiel.darsistemas.com/consulta/36572" TargetMode="External"/><Relationship Id="rId1389" Type="http://schemas.openxmlformats.org/officeDocument/2006/relationships/hyperlink" Target="https://tupiel.darsistemas.com/consulta/36610" TargetMode="External"/><Relationship Id="rId1512" Type="http://schemas.openxmlformats.org/officeDocument/2006/relationships/hyperlink" Target="https://tupiel.darsistemas.com/consulta_cups/costos?id=26657" TargetMode="External"/><Relationship Id="rId1596" Type="http://schemas.openxmlformats.org/officeDocument/2006/relationships/hyperlink" Target="https://tupiel.darsistemas.com/consulta_cups/costos?id=26641" TargetMode="External"/><Relationship Id="rId11" Type="http://schemas.openxmlformats.org/officeDocument/2006/relationships/hyperlink" Target="https://tupiel.darsistemas.com/consulta/35990" TargetMode="External"/><Relationship Id="rId314" Type="http://schemas.openxmlformats.org/officeDocument/2006/relationships/hyperlink" Target="https://tupiel.darsistemas.com/consulta_cups/costos?id=26039" TargetMode="External"/><Relationship Id="rId398" Type="http://schemas.openxmlformats.org/officeDocument/2006/relationships/hyperlink" Target="https://tupiel.darsistemas.com/consulta_cups/costos?id=26172" TargetMode="External"/><Relationship Id="rId521" Type="http://schemas.openxmlformats.org/officeDocument/2006/relationships/hyperlink" Target="https://tupiel.darsistemas.com/consulta/35302" TargetMode="External"/><Relationship Id="rId619" Type="http://schemas.openxmlformats.org/officeDocument/2006/relationships/hyperlink" Target="https://tupiel.darsistemas.com/consulta/36137" TargetMode="External"/><Relationship Id="rId1151" Type="http://schemas.openxmlformats.org/officeDocument/2006/relationships/hyperlink" Target="https://tupiel.darsistemas.com/consulta/33615" TargetMode="External"/><Relationship Id="rId1249" Type="http://schemas.openxmlformats.org/officeDocument/2006/relationships/hyperlink" Target="https://tupiel.darsistemas.com/consulta/26515" TargetMode="External"/><Relationship Id="rId95" Type="http://schemas.openxmlformats.org/officeDocument/2006/relationships/hyperlink" Target="https://tupiel.darsistemas.com/consulta/35835" TargetMode="External"/><Relationship Id="rId160" Type="http://schemas.openxmlformats.org/officeDocument/2006/relationships/hyperlink" Target="https://tupiel.darsistemas.com/consulta_cups/costos?id=25107" TargetMode="External"/><Relationship Id="rId826" Type="http://schemas.openxmlformats.org/officeDocument/2006/relationships/hyperlink" Target="https://tupiel.darsistemas.com/consulta_cups/costos?id=26409" TargetMode="External"/><Relationship Id="rId1011" Type="http://schemas.openxmlformats.org/officeDocument/2006/relationships/hyperlink" Target="https://tupiel.darsistemas.com/consulta/36360" TargetMode="External"/><Relationship Id="rId1109" Type="http://schemas.openxmlformats.org/officeDocument/2006/relationships/hyperlink" Target="https://tupiel.darsistemas.com/consulta/35981" TargetMode="External"/><Relationship Id="rId1456" Type="http://schemas.openxmlformats.org/officeDocument/2006/relationships/hyperlink" Target="https://tupiel.darsistemas.com/consulta_cups/costos?id=25945" TargetMode="External"/><Relationship Id="rId1663" Type="http://schemas.openxmlformats.org/officeDocument/2006/relationships/hyperlink" Target="https://tupiel.darsistemas.com/consulta/36344" TargetMode="External"/><Relationship Id="rId258" Type="http://schemas.openxmlformats.org/officeDocument/2006/relationships/hyperlink" Target="https://tupiel.darsistemas.com/consulta_cups/costos?id=25396" TargetMode="External"/><Relationship Id="rId465" Type="http://schemas.openxmlformats.org/officeDocument/2006/relationships/hyperlink" Target="https://tupiel.darsistemas.com/consulta/33012" TargetMode="External"/><Relationship Id="rId672" Type="http://schemas.openxmlformats.org/officeDocument/2006/relationships/hyperlink" Target="https://tupiel.darsistemas.com/consulta_cups/costos?id=26307" TargetMode="External"/><Relationship Id="rId1095" Type="http://schemas.openxmlformats.org/officeDocument/2006/relationships/hyperlink" Target="https://tupiel.darsistemas.com/consulta/35933" TargetMode="External"/><Relationship Id="rId1316" Type="http://schemas.openxmlformats.org/officeDocument/2006/relationships/hyperlink" Target="https://tupiel.darsistemas.com/consulta_cups/costos?id=26527" TargetMode="External"/><Relationship Id="rId1523" Type="http://schemas.openxmlformats.org/officeDocument/2006/relationships/hyperlink" Target="https://tupiel.darsistemas.com/consulta/27219" TargetMode="External"/><Relationship Id="rId22" Type="http://schemas.openxmlformats.org/officeDocument/2006/relationships/hyperlink" Target="https://tupiel.darsistemas.com/consulta_cups/costos?id=25718" TargetMode="External"/><Relationship Id="rId118" Type="http://schemas.openxmlformats.org/officeDocument/2006/relationships/hyperlink" Target="https://tupiel.darsistemas.com/consulta_cups/costos?id=25887" TargetMode="External"/><Relationship Id="rId325" Type="http://schemas.openxmlformats.org/officeDocument/2006/relationships/hyperlink" Target="https://tupiel.darsistemas.com/consulta/34071" TargetMode="External"/><Relationship Id="rId532" Type="http://schemas.openxmlformats.org/officeDocument/2006/relationships/hyperlink" Target="https://tupiel.darsistemas.com/consulta_cups/costos?id=22322" TargetMode="External"/><Relationship Id="rId977" Type="http://schemas.openxmlformats.org/officeDocument/2006/relationships/hyperlink" Target="https://tupiel.darsistemas.com/consulta/35986" TargetMode="External"/><Relationship Id="rId1162" Type="http://schemas.openxmlformats.org/officeDocument/2006/relationships/hyperlink" Target="https://tupiel.darsistemas.com/consulta_cups/costos?id=25744" TargetMode="External"/><Relationship Id="rId171" Type="http://schemas.openxmlformats.org/officeDocument/2006/relationships/hyperlink" Target="https://tupiel.darsistemas.com/consulta/36123" TargetMode="External"/><Relationship Id="rId837" Type="http://schemas.openxmlformats.org/officeDocument/2006/relationships/hyperlink" Target="https://tupiel.darsistemas.com/consulta/36406" TargetMode="External"/><Relationship Id="rId1022" Type="http://schemas.openxmlformats.org/officeDocument/2006/relationships/hyperlink" Target="https://tupiel.darsistemas.com/consulta_cups/costos?id=23668" TargetMode="External"/><Relationship Id="rId1467" Type="http://schemas.openxmlformats.org/officeDocument/2006/relationships/hyperlink" Target="https://tupiel.darsistemas.com/consulta/22521" TargetMode="External"/><Relationship Id="rId1674" Type="http://schemas.openxmlformats.org/officeDocument/2006/relationships/hyperlink" Target="https://tupiel.darsistemas.com/consulta_cups/costos?id=26547" TargetMode="External"/><Relationship Id="rId269" Type="http://schemas.openxmlformats.org/officeDocument/2006/relationships/hyperlink" Target="https://tupiel.darsistemas.com/consulta/21426" TargetMode="External"/><Relationship Id="rId476" Type="http://schemas.openxmlformats.org/officeDocument/2006/relationships/hyperlink" Target="https://tupiel.darsistemas.com/consulta_cups/costos?id=24946" TargetMode="External"/><Relationship Id="rId683" Type="http://schemas.openxmlformats.org/officeDocument/2006/relationships/hyperlink" Target="https://tupiel.darsistemas.com/consulta/33848" TargetMode="External"/><Relationship Id="rId890" Type="http://schemas.openxmlformats.org/officeDocument/2006/relationships/hyperlink" Target="https://tupiel.darsistemas.com/consulta_cups/costos?id=25464" TargetMode="External"/><Relationship Id="rId904" Type="http://schemas.openxmlformats.org/officeDocument/2006/relationships/hyperlink" Target="https://tupiel.darsistemas.com/consulta_cups/costos?id=26276" TargetMode="External"/><Relationship Id="rId1327" Type="http://schemas.openxmlformats.org/officeDocument/2006/relationships/hyperlink" Target="https://tupiel.darsistemas.com/consulta/36298" TargetMode="External"/><Relationship Id="rId1534" Type="http://schemas.openxmlformats.org/officeDocument/2006/relationships/hyperlink" Target="https://tupiel.darsistemas.com/consulta_cups/costos?id=18027" TargetMode="External"/><Relationship Id="rId33" Type="http://schemas.openxmlformats.org/officeDocument/2006/relationships/hyperlink" Target="https://tupiel.darsistemas.com/consulta/35497" TargetMode="External"/><Relationship Id="rId129" Type="http://schemas.openxmlformats.org/officeDocument/2006/relationships/hyperlink" Target="https://tupiel.darsistemas.com/consulta/36067" TargetMode="External"/><Relationship Id="rId336" Type="http://schemas.openxmlformats.org/officeDocument/2006/relationships/hyperlink" Target="https://tupiel.darsistemas.com/consulta_cups/costos?id=25412" TargetMode="External"/><Relationship Id="rId543" Type="http://schemas.openxmlformats.org/officeDocument/2006/relationships/hyperlink" Target="https://tupiel.darsistemas.com/consulta/35288" TargetMode="External"/><Relationship Id="rId988" Type="http://schemas.openxmlformats.org/officeDocument/2006/relationships/hyperlink" Target="https://tupiel.darsistemas.com/consulta_cups/costos?id=26564" TargetMode="External"/><Relationship Id="rId1173" Type="http://schemas.openxmlformats.org/officeDocument/2006/relationships/hyperlink" Target="https://tupiel.darsistemas.com/consulta/35564" TargetMode="External"/><Relationship Id="rId1380" Type="http://schemas.openxmlformats.org/officeDocument/2006/relationships/hyperlink" Target="https://tupiel.darsistemas.com/consulta_cups/costos?id=26808" TargetMode="External"/><Relationship Id="rId1601" Type="http://schemas.openxmlformats.org/officeDocument/2006/relationships/hyperlink" Target="https://tupiel.darsistemas.com/consulta/35592" TargetMode="External"/><Relationship Id="rId182" Type="http://schemas.openxmlformats.org/officeDocument/2006/relationships/hyperlink" Target="https://tupiel.darsistemas.com/consulta_cups/costos?id=25937" TargetMode="External"/><Relationship Id="rId403" Type="http://schemas.openxmlformats.org/officeDocument/2006/relationships/hyperlink" Target="https://tupiel.darsistemas.com/consulta/26436" TargetMode="External"/><Relationship Id="rId750" Type="http://schemas.openxmlformats.org/officeDocument/2006/relationships/hyperlink" Target="https://tupiel.darsistemas.com/consulta_cups/costos?id=26364" TargetMode="External"/><Relationship Id="rId848" Type="http://schemas.openxmlformats.org/officeDocument/2006/relationships/hyperlink" Target="https://tupiel.darsistemas.com/consulta_cups/costos?id=26469" TargetMode="External"/><Relationship Id="rId1033" Type="http://schemas.openxmlformats.org/officeDocument/2006/relationships/hyperlink" Target="https://tupiel.darsistemas.com/consulta/35581" TargetMode="External"/><Relationship Id="rId1478" Type="http://schemas.openxmlformats.org/officeDocument/2006/relationships/hyperlink" Target="https://tupiel.darsistemas.com/consulta_cups/costos?id=26052" TargetMode="External"/><Relationship Id="rId1685" Type="http://schemas.openxmlformats.org/officeDocument/2006/relationships/hyperlink" Target="https://tupiel.darsistemas.com/consulta/36456" TargetMode="External"/><Relationship Id="rId487" Type="http://schemas.openxmlformats.org/officeDocument/2006/relationships/hyperlink" Target="https://tupiel.darsistemas.com/consulta/36244" TargetMode="External"/><Relationship Id="rId610" Type="http://schemas.openxmlformats.org/officeDocument/2006/relationships/hyperlink" Target="https://tupiel.darsistemas.com/consulta_cups/costos?id=24290" TargetMode="External"/><Relationship Id="rId694" Type="http://schemas.openxmlformats.org/officeDocument/2006/relationships/hyperlink" Target="https://tupiel.darsistemas.com/consulta_cups/costos?id=26335" TargetMode="External"/><Relationship Id="rId708" Type="http://schemas.openxmlformats.org/officeDocument/2006/relationships/hyperlink" Target="https://tupiel.darsistemas.com/consulta_cups/costos?id=26366" TargetMode="External"/><Relationship Id="rId915" Type="http://schemas.openxmlformats.org/officeDocument/2006/relationships/hyperlink" Target="https://tupiel.darsistemas.com/consulta/35752" TargetMode="External"/><Relationship Id="rId1240" Type="http://schemas.openxmlformats.org/officeDocument/2006/relationships/hyperlink" Target="https://tupiel.darsistemas.com/consulta_cups/costos?id=26585" TargetMode="External"/><Relationship Id="rId1338" Type="http://schemas.openxmlformats.org/officeDocument/2006/relationships/hyperlink" Target="https://tupiel.darsistemas.com/consulta_cups/costos?id=26494" TargetMode="External"/><Relationship Id="rId1545" Type="http://schemas.openxmlformats.org/officeDocument/2006/relationships/hyperlink" Target="https://tupiel.darsistemas.com/consulta/29586" TargetMode="External"/><Relationship Id="rId347" Type="http://schemas.openxmlformats.org/officeDocument/2006/relationships/hyperlink" Target="https://tupiel.darsistemas.com/consulta/36232" TargetMode="External"/><Relationship Id="rId999" Type="http://schemas.openxmlformats.org/officeDocument/2006/relationships/hyperlink" Target="https://tupiel.darsistemas.com/consulta/36452" TargetMode="External"/><Relationship Id="rId1100" Type="http://schemas.openxmlformats.org/officeDocument/2006/relationships/hyperlink" Target="https://tupiel.darsistemas.com/consulta_cups/costos?id=26486" TargetMode="External"/><Relationship Id="rId1184" Type="http://schemas.openxmlformats.org/officeDocument/2006/relationships/hyperlink" Target="https://tupiel.darsistemas.com/consulta_cups/costos?id=25152" TargetMode="External"/><Relationship Id="rId1405" Type="http://schemas.openxmlformats.org/officeDocument/2006/relationships/hyperlink" Target="https://tupiel.darsistemas.com/consulta/36619" TargetMode="External"/><Relationship Id="rId44" Type="http://schemas.openxmlformats.org/officeDocument/2006/relationships/hyperlink" Target="https://tupiel.darsistemas.com/consulta_cups/costos?id=25821" TargetMode="External"/><Relationship Id="rId554" Type="http://schemas.openxmlformats.org/officeDocument/2006/relationships/hyperlink" Target="https://tupiel.darsistemas.com/consulta_cups/costos?id=26268" TargetMode="External"/><Relationship Id="rId761" Type="http://schemas.openxmlformats.org/officeDocument/2006/relationships/hyperlink" Target="https://tupiel.darsistemas.com/consulta/35708" TargetMode="External"/><Relationship Id="rId859" Type="http://schemas.openxmlformats.org/officeDocument/2006/relationships/hyperlink" Target="https://tupiel.darsistemas.com/consulta/36348" TargetMode="External"/><Relationship Id="rId1391" Type="http://schemas.openxmlformats.org/officeDocument/2006/relationships/hyperlink" Target="https://tupiel.darsistemas.com/consulta/36520" TargetMode="External"/><Relationship Id="rId1489" Type="http://schemas.openxmlformats.org/officeDocument/2006/relationships/hyperlink" Target="https://tupiel.darsistemas.com/consulta/25053" TargetMode="External"/><Relationship Id="rId1612" Type="http://schemas.openxmlformats.org/officeDocument/2006/relationships/hyperlink" Target="https://tupiel.darsistemas.com/consulta_cups/costos?id=25448" TargetMode="External"/><Relationship Id="rId1696" Type="http://schemas.openxmlformats.org/officeDocument/2006/relationships/hyperlink" Target="https://tupiel.darsistemas.com/consulta_cups/costos?id=26662" TargetMode="External"/><Relationship Id="rId193" Type="http://schemas.openxmlformats.org/officeDocument/2006/relationships/hyperlink" Target="https://tupiel.darsistemas.com/consulta/36027" TargetMode="External"/><Relationship Id="rId207" Type="http://schemas.openxmlformats.org/officeDocument/2006/relationships/hyperlink" Target="https://tupiel.darsistemas.com/consulta/31807" TargetMode="External"/><Relationship Id="rId414" Type="http://schemas.openxmlformats.org/officeDocument/2006/relationships/hyperlink" Target="https://tupiel.darsistemas.com/consulta_cups/costos?id=26196" TargetMode="External"/><Relationship Id="rId498" Type="http://schemas.openxmlformats.org/officeDocument/2006/relationships/hyperlink" Target="https://tupiel.darsistemas.com/consulta_cups/costos?id=26049" TargetMode="External"/><Relationship Id="rId621" Type="http://schemas.openxmlformats.org/officeDocument/2006/relationships/hyperlink" Target="https://tupiel.darsistemas.com/consulta/36326" TargetMode="External"/><Relationship Id="rId1044" Type="http://schemas.openxmlformats.org/officeDocument/2006/relationships/hyperlink" Target="https://tupiel.darsistemas.com/consulta_cups/costos?id=26586" TargetMode="External"/><Relationship Id="rId1251" Type="http://schemas.openxmlformats.org/officeDocument/2006/relationships/hyperlink" Target="https://tupiel.darsistemas.com/consulta/26515" TargetMode="External"/><Relationship Id="rId1349" Type="http://schemas.openxmlformats.org/officeDocument/2006/relationships/hyperlink" Target="https://tupiel.darsistemas.com/consulta/36072" TargetMode="External"/><Relationship Id="rId260" Type="http://schemas.openxmlformats.org/officeDocument/2006/relationships/hyperlink" Target="https://tupiel.darsistemas.com/consulta_cups/costos?id=26013" TargetMode="External"/><Relationship Id="rId719" Type="http://schemas.openxmlformats.org/officeDocument/2006/relationships/hyperlink" Target="https://tupiel.darsistemas.com/consulta/35276" TargetMode="External"/><Relationship Id="rId926" Type="http://schemas.openxmlformats.org/officeDocument/2006/relationships/hyperlink" Target="https://tupiel.darsistemas.com/consulta_cups/costos?id=25814" TargetMode="External"/><Relationship Id="rId1111" Type="http://schemas.openxmlformats.org/officeDocument/2006/relationships/hyperlink" Target="https://tupiel.darsistemas.com/consulta/21196" TargetMode="External"/><Relationship Id="rId1556" Type="http://schemas.openxmlformats.org/officeDocument/2006/relationships/hyperlink" Target="https://tupiel.darsistemas.com/consulta_cups/costos?id=26628" TargetMode="External"/><Relationship Id="rId55" Type="http://schemas.openxmlformats.org/officeDocument/2006/relationships/hyperlink" Target="https://tupiel.darsistemas.com/consulta/35497" TargetMode="External"/><Relationship Id="rId120" Type="http://schemas.openxmlformats.org/officeDocument/2006/relationships/hyperlink" Target="https://tupiel.darsistemas.com/consulta_cups/costos?id=25853" TargetMode="External"/><Relationship Id="rId358" Type="http://schemas.openxmlformats.org/officeDocument/2006/relationships/hyperlink" Target="https://tupiel.darsistemas.com/consulta_cups/costos?id=26122" TargetMode="External"/><Relationship Id="rId565" Type="http://schemas.openxmlformats.org/officeDocument/2006/relationships/hyperlink" Target="https://tupiel.darsistemas.com/consulta/36252" TargetMode="External"/><Relationship Id="rId772" Type="http://schemas.openxmlformats.org/officeDocument/2006/relationships/hyperlink" Target="https://tupiel.darsistemas.com/consulta_cups/costos?id=26390" TargetMode="External"/><Relationship Id="rId1195" Type="http://schemas.openxmlformats.org/officeDocument/2006/relationships/hyperlink" Target="https://tupiel.darsistemas.com/consulta/36254" TargetMode="External"/><Relationship Id="rId1209" Type="http://schemas.openxmlformats.org/officeDocument/2006/relationships/hyperlink" Target="https://tupiel.darsistemas.com/consulta/36390" TargetMode="External"/><Relationship Id="rId1416" Type="http://schemas.openxmlformats.org/officeDocument/2006/relationships/hyperlink" Target="https://tupiel.darsistemas.com/consulta_cups/costos?id=26674" TargetMode="External"/><Relationship Id="rId1623" Type="http://schemas.openxmlformats.org/officeDocument/2006/relationships/hyperlink" Target="https://tupiel.darsistemas.com/consulta/35982" TargetMode="External"/><Relationship Id="rId218" Type="http://schemas.openxmlformats.org/officeDocument/2006/relationships/hyperlink" Target="https://tupiel.darsistemas.com/consulta_cups/costos?id=25921" TargetMode="External"/><Relationship Id="rId425" Type="http://schemas.openxmlformats.org/officeDocument/2006/relationships/hyperlink" Target="https://tupiel.darsistemas.com/consulta/36262" TargetMode="External"/><Relationship Id="rId632" Type="http://schemas.openxmlformats.org/officeDocument/2006/relationships/hyperlink" Target="https://tupiel.darsistemas.com/consulta_cups/costos?id=25888" TargetMode="External"/><Relationship Id="rId1055" Type="http://schemas.openxmlformats.org/officeDocument/2006/relationships/hyperlink" Target="https://tupiel.darsistemas.com/consulta/33008" TargetMode="External"/><Relationship Id="rId1262" Type="http://schemas.openxmlformats.org/officeDocument/2006/relationships/hyperlink" Target="https://tupiel.darsistemas.com/consulta_cups/costos?id=26744" TargetMode="External"/><Relationship Id="rId271" Type="http://schemas.openxmlformats.org/officeDocument/2006/relationships/hyperlink" Target="https://tupiel.darsistemas.com/consulta/36183" TargetMode="External"/><Relationship Id="rId937" Type="http://schemas.openxmlformats.org/officeDocument/2006/relationships/hyperlink" Target="https://tupiel.darsistemas.com/consulta/34424" TargetMode="External"/><Relationship Id="rId1122" Type="http://schemas.openxmlformats.org/officeDocument/2006/relationships/hyperlink" Target="https://tupiel.darsistemas.com/consulta_cups/costos?id=26651" TargetMode="External"/><Relationship Id="rId1567" Type="http://schemas.openxmlformats.org/officeDocument/2006/relationships/hyperlink" Target="https://tupiel.darsistemas.com/consulta/32956" TargetMode="External"/><Relationship Id="rId66" Type="http://schemas.openxmlformats.org/officeDocument/2006/relationships/hyperlink" Target="https://tupiel.darsistemas.com/consulta_cups/costos?id=25609" TargetMode="External"/><Relationship Id="rId131" Type="http://schemas.openxmlformats.org/officeDocument/2006/relationships/hyperlink" Target="https://tupiel.darsistemas.com/consulta/36120" TargetMode="External"/><Relationship Id="rId369" Type="http://schemas.openxmlformats.org/officeDocument/2006/relationships/hyperlink" Target="https://tupiel.darsistemas.com/consulta/36009" TargetMode="External"/><Relationship Id="rId576" Type="http://schemas.openxmlformats.org/officeDocument/2006/relationships/hyperlink" Target="https://tupiel.darsistemas.com/consulta_cups/costos?id=24999" TargetMode="External"/><Relationship Id="rId783" Type="http://schemas.openxmlformats.org/officeDocument/2006/relationships/hyperlink" Target="https://tupiel.darsistemas.com/consulta/36199" TargetMode="External"/><Relationship Id="rId990" Type="http://schemas.openxmlformats.org/officeDocument/2006/relationships/hyperlink" Target="https://tupiel.darsistemas.com/consulta_cups/costos?id=26478" TargetMode="External"/><Relationship Id="rId1427" Type="http://schemas.openxmlformats.org/officeDocument/2006/relationships/hyperlink" Target="https://tupiel.darsistemas.com/consulta/26515" TargetMode="External"/><Relationship Id="rId1634" Type="http://schemas.openxmlformats.org/officeDocument/2006/relationships/hyperlink" Target="https://tupiel.darsistemas.com/consulta_cups/costos?id=25892" TargetMode="External"/><Relationship Id="rId229" Type="http://schemas.openxmlformats.org/officeDocument/2006/relationships/hyperlink" Target="https://tupiel.darsistemas.com/consulta/36040" TargetMode="External"/><Relationship Id="rId436" Type="http://schemas.openxmlformats.org/officeDocument/2006/relationships/hyperlink" Target="https://tupiel.darsistemas.com/consulta_cups/costos?id=25900" TargetMode="External"/><Relationship Id="rId643" Type="http://schemas.openxmlformats.org/officeDocument/2006/relationships/hyperlink" Target="https://tupiel.darsistemas.com/consulta/36246" TargetMode="External"/><Relationship Id="rId1066" Type="http://schemas.openxmlformats.org/officeDocument/2006/relationships/hyperlink" Target="https://tupiel.darsistemas.com/consulta_cups/costos?id=26606" TargetMode="External"/><Relationship Id="rId1273" Type="http://schemas.openxmlformats.org/officeDocument/2006/relationships/hyperlink" Target="https://tupiel.darsistemas.com/consulta/29504" TargetMode="External"/><Relationship Id="rId1480" Type="http://schemas.openxmlformats.org/officeDocument/2006/relationships/hyperlink" Target="https://tupiel.darsistemas.com/consulta_cups/costos?id=8798" TargetMode="External"/><Relationship Id="rId850" Type="http://schemas.openxmlformats.org/officeDocument/2006/relationships/hyperlink" Target="https://tupiel.darsistemas.com/consulta_cups/costos?id=26471" TargetMode="External"/><Relationship Id="rId948" Type="http://schemas.openxmlformats.org/officeDocument/2006/relationships/hyperlink" Target="https://tupiel.darsistemas.com/consulta_cups/costos?id=25741" TargetMode="External"/><Relationship Id="rId1133" Type="http://schemas.openxmlformats.org/officeDocument/2006/relationships/hyperlink" Target="https://tupiel.darsistemas.com/consulta/35988" TargetMode="External"/><Relationship Id="rId1578" Type="http://schemas.openxmlformats.org/officeDocument/2006/relationships/hyperlink" Target="https://tupiel.darsistemas.com/consulta_cups/costos?id=23645" TargetMode="External"/><Relationship Id="rId77" Type="http://schemas.openxmlformats.org/officeDocument/2006/relationships/hyperlink" Target="https://tupiel.darsistemas.com/consulta/34985" TargetMode="External"/><Relationship Id="rId282" Type="http://schemas.openxmlformats.org/officeDocument/2006/relationships/hyperlink" Target="https://tupiel.darsistemas.com/consulta_cups/costos?id=26038" TargetMode="External"/><Relationship Id="rId503" Type="http://schemas.openxmlformats.org/officeDocument/2006/relationships/hyperlink" Target="https://tupiel.darsistemas.com/consulta/35602" TargetMode="External"/><Relationship Id="rId587" Type="http://schemas.openxmlformats.org/officeDocument/2006/relationships/hyperlink" Target="https://tupiel.darsistemas.com/consulta/34074" TargetMode="External"/><Relationship Id="rId710" Type="http://schemas.openxmlformats.org/officeDocument/2006/relationships/hyperlink" Target="https://tupiel.darsistemas.com/consulta_cups/costos?id=25139" TargetMode="External"/><Relationship Id="rId808" Type="http://schemas.openxmlformats.org/officeDocument/2006/relationships/hyperlink" Target="https://tupiel.darsistemas.com/consulta_cups/costos?id=26256" TargetMode="External"/><Relationship Id="rId1340" Type="http://schemas.openxmlformats.org/officeDocument/2006/relationships/hyperlink" Target="https://tupiel.darsistemas.com/consulta_cups/costos?id=26801" TargetMode="External"/><Relationship Id="rId1438" Type="http://schemas.openxmlformats.org/officeDocument/2006/relationships/hyperlink" Target="https://tupiel.darsistemas.com/consulta_cups/costos?id=25097" TargetMode="External"/><Relationship Id="rId1645" Type="http://schemas.openxmlformats.org/officeDocument/2006/relationships/hyperlink" Target="https://tupiel.darsistemas.com/consulta/36116" TargetMode="External"/><Relationship Id="rId8" Type="http://schemas.openxmlformats.org/officeDocument/2006/relationships/hyperlink" Target="https://tupiel.darsistemas.com/consulta_cups/costos?id=25461" TargetMode="External"/><Relationship Id="rId142" Type="http://schemas.openxmlformats.org/officeDocument/2006/relationships/hyperlink" Target="https://tupiel.darsistemas.com/consulta_cups/costos?id=25841" TargetMode="External"/><Relationship Id="rId447" Type="http://schemas.openxmlformats.org/officeDocument/2006/relationships/hyperlink" Target="https://tupiel.darsistemas.com/consulta/35021" TargetMode="External"/><Relationship Id="rId794" Type="http://schemas.openxmlformats.org/officeDocument/2006/relationships/hyperlink" Target="https://tupiel.darsistemas.com/consulta_cups/costos?id=25842" TargetMode="External"/><Relationship Id="rId1077" Type="http://schemas.openxmlformats.org/officeDocument/2006/relationships/hyperlink" Target="https://tupiel.darsistemas.com/consulta/36063" TargetMode="External"/><Relationship Id="rId1200" Type="http://schemas.openxmlformats.org/officeDocument/2006/relationships/hyperlink" Target="https://tupiel.darsistemas.com/consulta_cups/costos?id=26623" TargetMode="External"/><Relationship Id="rId654" Type="http://schemas.openxmlformats.org/officeDocument/2006/relationships/hyperlink" Target="https://tupiel.darsistemas.com/consulta_cups/costos?id=26115" TargetMode="External"/><Relationship Id="rId861" Type="http://schemas.openxmlformats.org/officeDocument/2006/relationships/hyperlink" Target="https://tupiel.darsistemas.com/consulta/36420" TargetMode="External"/><Relationship Id="rId959" Type="http://schemas.openxmlformats.org/officeDocument/2006/relationships/hyperlink" Target="https://tupiel.darsistemas.com/consulta/35997" TargetMode="External"/><Relationship Id="rId1284" Type="http://schemas.openxmlformats.org/officeDocument/2006/relationships/hyperlink" Target="https://tupiel.darsistemas.com/consulta_cups/costos?id=26705" TargetMode="External"/><Relationship Id="rId1491" Type="http://schemas.openxmlformats.org/officeDocument/2006/relationships/hyperlink" Target="https://tupiel.darsistemas.com/consulta/25186" TargetMode="External"/><Relationship Id="rId1505" Type="http://schemas.openxmlformats.org/officeDocument/2006/relationships/hyperlink" Target="https://tupiel.darsistemas.com/consulta/26990" TargetMode="External"/><Relationship Id="rId1589" Type="http://schemas.openxmlformats.org/officeDocument/2006/relationships/hyperlink" Target="https://tupiel.darsistemas.com/consulta/35060" TargetMode="External"/><Relationship Id="rId293" Type="http://schemas.openxmlformats.org/officeDocument/2006/relationships/hyperlink" Target="https://tupiel.darsistemas.com/consulta/34628" TargetMode="External"/><Relationship Id="rId307" Type="http://schemas.openxmlformats.org/officeDocument/2006/relationships/hyperlink" Target="https://tupiel.darsistemas.com/consulta/36226" TargetMode="External"/><Relationship Id="rId514" Type="http://schemas.openxmlformats.org/officeDocument/2006/relationships/hyperlink" Target="https://tupiel.darsistemas.com/consulta_cups/costos?id=24590" TargetMode="External"/><Relationship Id="rId721" Type="http://schemas.openxmlformats.org/officeDocument/2006/relationships/hyperlink" Target="https://tupiel.darsistemas.com/consulta/34299" TargetMode="External"/><Relationship Id="rId1144" Type="http://schemas.openxmlformats.org/officeDocument/2006/relationships/hyperlink" Target="https://tupiel.darsistemas.com/consulta_cups/costos?id=26406" TargetMode="External"/><Relationship Id="rId1351" Type="http://schemas.openxmlformats.org/officeDocument/2006/relationships/hyperlink" Target="https://tupiel.darsistemas.com/consulta/26515" TargetMode="External"/><Relationship Id="rId1449" Type="http://schemas.openxmlformats.org/officeDocument/2006/relationships/hyperlink" Target="https://tupiel.darsistemas.com/consulta/21527" TargetMode="External"/><Relationship Id="rId88" Type="http://schemas.openxmlformats.org/officeDocument/2006/relationships/hyperlink" Target="https://tupiel.darsistemas.com/consulta_cups/costos?id=10577" TargetMode="External"/><Relationship Id="rId153" Type="http://schemas.openxmlformats.org/officeDocument/2006/relationships/hyperlink" Target="https://tupiel.darsistemas.com/consulta/31327" TargetMode="External"/><Relationship Id="rId360" Type="http://schemas.openxmlformats.org/officeDocument/2006/relationships/hyperlink" Target="https://tupiel.darsistemas.com/consulta_cups/costos?id=26111" TargetMode="External"/><Relationship Id="rId598" Type="http://schemas.openxmlformats.org/officeDocument/2006/relationships/hyperlink" Target="https://tupiel.darsistemas.com/consulta_cups/costos?id=26311" TargetMode="External"/><Relationship Id="rId819" Type="http://schemas.openxmlformats.org/officeDocument/2006/relationships/hyperlink" Target="https://tupiel.darsistemas.com/consulta/36300" TargetMode="External"/><Relationship Id="rId1004" Type="http://schemas.openxmlformats.org/officeDocument/2006/relationships/hyperlink" Target="https://tupiel.darsistemas.com/consulta_cups/costos?id=26132" TargetMode="External"/><Relationship Id="rId1211" Type="http://schemas.openxmlformats.org/officeDocument/2006/relationships/hyperlink" Target="https://tupiel.darsistemas.com/consulta/36552" TargetMode="External"/><Relationship Id="rId1656" Type="http://schemas.openxmlformats.org/officeDocument/2006/relationships/hyperlink" Target="https://tupiel.darsistemas.com/consulta_cups/costos?id=26203" TargetMode="External"/><Relationship Id="rId220" Type="http://schemas.openxmlformats.org/officeDocument/2006/relationships/hyperlink" Target="https://tupiel.darsistemas.com/consulta_cups/costos?id=25747" TargetMode="External"/><Relationship Id="rId458" Type="http://schemas.openxmlformats.org/officeDocument/2006/relationships/hyperlink" Target="https://tupiel.darsistemas.com/consulta_cups/costos?id=26197" TargetMode="External"/><Relationship Id="rId665" Type="http://schemas.openxmlformats.org/officeDocument/2006/relationships/hyperlink" Target="https://tupiel.darsistemas.com/consulta/33996" TargetMode="External"/><Relationship Id="rId872" Type="http://schemas.openxmlformats.org/officeDocument/2006/relationships/hyperlink" Target="https://tupiel.darsistemas.com/consulta_cups/costos?id=26351" TargetMode="External"/><Relationship Id="rId1088" Type="http://schemas.openxmlformats.org/officeDocument/2006/relationships/hyperlink" Target="https://tupiel.darsistemas.com/consulta_cups/costos?id=26007" TargetMode="External"/><Relationship Id="rId1295" Type="http://schemas.openxmlformats.org/officeDocument/2006/relationships/hyperlink" Target="https://tupiel.darsistemas.com/consulta/36376" TargetMode="External"/><Relationship Id="rId1309" Type="http://schemas.openxmlformats.org/officeDocument/2006/relationships/hyperlink" Target="https://tupiel.darsistemas.com/consulta/33953" TargetMode="External"/><Relationship Id="rId1516" Type="http://schemas.openxmlformats.org/officeDocument/2006/relationships/hyperlink" Target="https://tupiel.darsistemas.com/consulta_cups/costos?id=26412" TargetMode="External"/><Relationship Id="rId15" Type="http://schemas.openxmlformats.org/officeDocument/2006/relationships/hyperlink" Target="https://tupiel.darsistemas.com/consulta/36052" TargetMode="External"/><Relationship Id="rId318" Type="http://schemas.openxmlformats.org/officeDocument/2006/relationships/hyperlink" Target="https://tupiel.darsistemas.com/consulta_cups/costos?id=26088" TargetMode="External"/><Relationship Id="rId525" Type="http://schemas.openxmlformats.org/officeDocument/2006/relationships/hyperlink" Target="https://tupiel.darsistemas.com/consulta/36240" TargetMode="External"/><Relationship Id="rId732" Type="http://schemas.openxmlformats.org/officeDocument/2006/relationships/hyperlink" Target="https://tupiel.darsistemas.com/consulta_cups/costos?id=26382" TargetMode="External"/><Relationship Id="rId1155" Type="http://schemas.openxmlformats.org/officeDocument/2006/relationships/hyperlink" Target="https://tupiel.darsistemas.com/consulta/22035" TargetMode="External"/><Relationship Id="rId1362" Type="http://schemas.openxmlformats.org/officeDocument/2006/relationships/hyperlink" Target="https://tupiel.darsistemas.com/consulta_cups/costos?id=26757" TargetMode="External"/><Relationship Id="rId99" Type="http://schemas.openxmlformats.org/officeDocument/2006/relationships/hyperlink" Target="https://tupiel.darsistemas.com/consulta/35708" TargetMode="External"/><Relationship Id="rId164" Type="http://schemas.openxmlformats.org/officeDocument/2006/relationships/hyperlink" Target="https://tupiel.darsistemas.com/consulta_cups/costos?id=25884" TargetMode="External"/><Relationship Id="rId371" Type="http://schemas.openxmlformats.org/officeDocument/2006/relationships/hyperlink" Target="https://tupiel.darsistemas.com/consulta/36257" TargetMode="External"/><Relationship Id="rId1015" Type="http://schemas.openxmlformats.org/officeDocument/2006/relationships/hyperlink" Target="https://tupiel.darsistemas.com/consulta/36450" TargetMode="External"/><Relationship Id="rId1222" Type="http://schemas.openxmlformats.org/officeDocument/2006/relationships/hyperlink" Target="https://tupiel.darsistemas.com/consulta_cups/costos?id=26449" TargetMode="External"/><Relationship Id="rId1667" Type="http://schemas.openxmlformats.org/officeDocument/2006/relationships/hyperlink" Target="https://tupiel.darsistemas.com/consulta/36351" TargetMode="External"/><Relationship Id="rId469" Type="http://schemas.openxmlformats.org/officeDocument/2006/relationships/hyperlink" Target="https://tupiel.darsistemas.com/consulta/35776" TargetMode="External"/><Relationship Id="rId676" Type="http://schemas.openxmlformats.org/officeDocument/2006/relationships/hyperlink" Target="https://tupiel.darsistemas.com/consulta_cups/costos?id=26175" TargetMode="External"/><Relationship Id="rId883" Type="http://schemas.openxmlformats.org/officeDocument/2006/relationships/hyperlink" Target="https://tupiel.darsistemas.com/consulta/36398" TargetMode="External"/><Relationship Id="rId1099" Type="http://schemas.openxmlformats.org/officeDocument/2006/relationships/hyperlink" Target="https://tupiel.darsistemas.com/consulta/36426" TargetMode="External"/><Relationship Id="rId1527" Type="http://schemas.openxmlformats.org/officeDocument/2006/relationships/hyperlink" Target="https://tupiel.darsistemas.com/consulta/27219" TargetMode="External"/><Relationship Id="rId26" Type="http://schemas.openxmlformats.org/officeDocument/2006/relationships/hyperlink" Target="https://tupiel.darsistemas.com/consulta_cups/costos?id=23461" TargetMode="External"/><Relationship Id="rId231" Type="http://schemas.openxmlformats.org/officeDocument/2006/relationships/hyperlink" Target="https://tupiel.darsistemas.com/consulta/36150" TargetMode="External"/><Relationship Id="rId329" Type="http://schemas.openxmlformats.org/officeDocument/2006/relationships/hyperlink" Target="https://tupiel.darsistemas.com/consulta/31341" TargetMode="External"/><Relationship Id="rId536" Type="http://schemas.openxmlformats.org/officeDocument/2006/relationships/hyperlink" Target="https://tupiel.darsistemas.com/consulta_cups/costos?id=24136" TargetMode="External"/><Relationship Id="rId1166" Type="http://schemas.openxmlformats.org/officeDocument/2006/relationships/hyperlink" Target="https://tupiel.darsistemas.com/consulta_cups/costos?id=25958" TargetMode="External"/><Relationship Id="rId1373" Type="http://schemas.openxmlformats.org/officeDocument/2006/relationships/hyperlink" Target="https://tupiel.darsistemas.com/consulta/36606" TargetMode="External"/><Relationship Id="rId175" Type="http://schemas.openxmlformats.org/officeDocument/2006/relationships/hyperlink" Target="https://tupiel.darsistemas.com/consulta/35824" TargetMode="External"/><Relationship Id="rId743" Type="http://schemas.openxmlformats.org/officeDocument/2006/relationships/hyperlink" Target="https://tupiel.darsistemas.com/consulta/35571" TargetMode="External"/><Relationship Id="rId950" Type="http://schemas.openxmlformats.org/officeDocument/2006/relationships/hyperlink" Target="https://tupiel.darsistemas.com/consulta_cups/costos?id=24585" TargetMode="External"/><Relationship Id="rId1026" Type="http://schemas.openxmlformats.org/officeDocument/2006/relationships/hyperlink" Target="https://tupiel.darsistemas.com/consulta_cups/costos?id=26593" TargetMode="External"/><Relationship Id="rId1580" Type="http://schemas.openxmlformats.org/officeDocument/2006/relationships/hyperlink" Target="https://tupiel.darsistemas.com/consulta_cups/costos?id=24203" TargetMode="External"/><Relationship Id="rId1678" Type="http://schemas.openxmlformats.org/officeDocument/2006/relationships/hyperlink" Target="https://tupiel.darsistemas.com/consulta_cups/costos?id=26514" TargetMode="External"/><Relationship Id="rId382" Type="http://schemas.openxmlformats.org/officeDocument/2006/relationships/hyperlink" Target="https://tupiel.darsistemas.com/consulta_cups/costos?id=25755" TargetMode="External"/><Relationship Id="rId603" Type="http://schemas.openxmlformats.org/officeDocument/2006/relationships/hyperlink" Target="https://tupiel.darsistemas.com/consulta/36335" TargetMode="External"/><Relationship Id="rId687" Type="http://schemas.openxmlformats.org/officeDocument/2006/relationships/hyperlink" Target="https://tupiel.darsistemas.com/consulta/36287" TargetMode="External"/><Relationship Id="rId810" Type="http://schemas.openxmlformats.org/officeDocument/2006/relationships/hyperlink" Target="https://tupiel.darsistemas.com/consulta_cups/costos?id=25475" TargetMode="External"/><Relationship Id="rId908" Type="http://schemas.openxmlformats.org/officeDocument/2006/relationships/hyperlink" Target="https://tupiel.darsistemas.com/consulta_cups/costos?id=26420" TargetMode="External"/><Relationship Id="rId1233" Type="http://schemas.openxmlformats.org/officeDocument/2006/relationships/hyperlink" Target="https://tupiel.darsistemas.com/consulta/33476" TargetMode="External"/><Relationship Id="rId1440" Type="http://schemas.openxmlformats.org/officeDocument/2006/relationships/hyperlink" Target="https://tupiel.darsistemas.com/consulta_cups/costos?id=25873" TargetMode="External"/><Relationship Id="rId1538" Type="http://schemas.openxmlformats.org/officeDocument/2006/relationships/hyperlink" Target="https://tupiel.darsistemas.com/consulta_cups/costos?id=25763" TargetMode="External"/><Relationship Id="rId242" Type="http://schemas.openxmlformats.org/officeDocument/2006/relationships/hyperlink" Target="https://tupiel.darsistemas.com/consulta_cups/costos?id=24758" TargetMode="External"/><Relationship Id="rId894" Type="http://schemas.openxmlformats.org/officeDocument/2006/relationships/hyperlink" Target="https://tupiel.darsistemas.com/consulta_cups/costos?id=26491" TargetMode="External"/><Relationship Id="rId1177" Type="http://schemas.openxmlformats.org/officeDocument/2006/relationships/hyperlink" Target="https://tupiel.darsistemas.com/consulta/36535" TargetMode="External"/><Relationship Id="rId1300" Type="http://schemas.openxmlformats.org/officeDocument/2006/relationships/hyperlink" Target="https://tupiel.darsistemas.com/consulta_cups/costos?id=25603" TargetMode="External"/><Relationship Id="rId37" Type="http://schemas.openxmlformats.org/officeDocument/2006/relationships/hyperlink" Target="https://tupiel.darsistemas.com/consulta/35993" TargetMode="External"/><Relationship Id="rId102" Type="http://schemas.openxmlformats.org/officeDocument/2006/relationships/hyperlink" Target="https://tupiel.darsistemas.com/consulta_cups/costos?id=25850" TargetMode="External"/><Relationship Id="rId547" Type="http://schemas.openxmlformats.org/officeDocument/2006/relationships/hyperlink" Target="https://tupiel.darsistemas.com/consulta/36242" TargetMode="External"/><Relationship Id="rId754" Type="http://schemas.openxmlformats.org/officeDocument/2006/relationships/hyperlink" Target="https://tupiel.darsistemas.com/consulta_cups/costos?id=25855" TargetMode="External"/><Relationship Id="rId961" Type="http://schemas.openxmlformats.org/officeDocument/2006/relationships/hyperlink" Target="https://tupiel.darsistemas.com/consulta/26515" TargetMode="External"/><Relationship Id="rId1384" Type="http://schemas.openxmlformats.org/officeDocument/2006/relationships/hyperlink" Target="https://tupiel.darsistemas.com/consulta_cups/costos?id=25533" TargetMode="External"/><Relationship Id="rId1591" Type="http://schemas.openxmlformats.org/officeDocument/2006/relationships/hyperlink" Target="https://tupiel.darsistemas.com/consulta/35060" TargetMode="External"/><Relationship Id="rId1605" Type="http://schemas.openxmlformats.org/officeDocument/2006/relationships/hyperlink" Target="https://tupiel.darsistemas.com/consulta/35656" TargetMode="External"/><Relationship Id="rId1689" Type="http://schemas.openxmlformats.org/officeDocument/2006/relationships/hyperlink" Target="https://tupiel.darsistemas.com/consulta/36471" TargetMode="External"/><Relationship Id="rId90" Type="http://schemas.openxmlformats.org/officeDocument/2006/relationships/hyperlink" Target="https://tupiel.darsistemas.com/consulta_cups/costos?id=25866" TargetMode="External"/><Relationship Id="rId186" Type="http://schemas.openxmlformats.org/officeDocument/2006/relationships/hyperlink" Target="https://tupiel.darsistemas.com/consulta_cups/costos?id=25877" TargetMode="External"/><Relationship Id="rId393" Type="http://schemas.openxmlformats.org/officeDocument/2006/relationships/hyperlink" Target="https://tupiel.darsistemas.com/consulta/29843" TargetMode="External"/><Relationship Id="rId407" Type="http://schemas.openxmlformats.org/officeDocument/2006/relationships/hyperlink" Target="https://tupiel.darsistemas.com/consulta/36251" TargetMode="External"/><Relationship Id="rId614" Type="http://schemas.openxmlformats.org/officeDocument/2006/relationships/hyperlink" Target="https://tupiel.darsistemas.com/consulta_cups/costos?id=26316" TargetMode="External"/><Relationship Id="rId821" Type="http://schemas.openxmlformats.org/officeDocument/2006/relationships/hyperlink" Target="https://tupiel.darsistemas.com/consulta/36404" TargetMode="External"/><Relationship Id="rId1037" Type="http://schemas.openxmlformats.org/officeDocument/2006/relationships/hyperlink" Target="https://tupiel.darsistemas.com/consulta/35735" TargetMode="External"/><Relationship Id="rId1244" Type="http://schemas.openxmlformats.org/officeDocument/2006/relationships/hyperlink" Target="https://tupiel.darsistemas.com/consulta_cups/costos?id=26737" TargetMode="External"/><Relationship Id="rId1451" Type="http://schemas.openxmlformats.org/officeDocument/2006/relationships/hyperlink" Target="https://tupiel.darsistemas.com/consulta/21527" TargetMode="External"/><Relationship Id="rId253" Type="http://schemas.openxmlformats.org/officeDocument/2006/relationships/hyperlink" Target="https://tupiel.darsistemas.com/consulta/35223" TargetMode="External"/><Relationship Id="rId460" Type="http://schemas.openxmlformats.org/officeDocument/2006/relationships/hyperlink" Target="https://tupiel.darsistemas.com/consulta_cups/costos?id=20802" TargetMode="External"/><Relationship Id="rId698" Type="http://schemas.openxmlformats.org/officeDocument/2006/relationships/hyperlink" Target="https://tupiel.darsistemas.com/consulta_cups/costos?id=26315" TargetMode="External"/><Relationship Id="rId919" Type="http://schemas.openxmlformats.org/officeDocument/2006/relationships/hyperlink" Target="https://tupiel.darsistemas.com/consulta/36263" TargetMode="External"/><Relationship Id="rId1090" Type="http://schemas.openxmlformats.org/officeDocument/2006/relationships/hyperlink" Target="https://tupiel.darsistemas.com/consulta_cups/costos?id=26610" TargetMode="External"/><Relationship Id="rId1104" Type="http://schemas.openxmlformats.org/officeDocument/2006/relationships/hyperlink" Target="https://tupiel.darsistemas.com/consulta_cups/costos?id=25938" TargetMode="External"/><Relationship Id="rId1311" Type="http://schemas.openxmlformats.org/officeDocument/2006/relationships/hyperlink" Target="https://tupiel.darsistemas.com/consulta/36454" TargetMode="External"/><Relationship Id="rId1549" Type="http://schemas.openxmlformats.org/officeDocument/2006/relationships/hyperlink" Target="https://tupiel.darsistemas.com/consulta/31212" TargetMode="External"/><Relationship Id="rId48" Type="http://schemas.openxmlformats.org/officeDocument/2006/relationships/hyperlink" Target="https://tupiel.darsistemas.com/consulta_cups/costos?id=25829" TargetMode="External"/><Relationship Id="rId113" Type="http://schemas.openxmlformats.org/officeDocument/2006/relationships/hyperlink" Target="https://tupiel.darsistemas.com/consulta/36104" TargetMode="External"/><Relationship Id="rId320" Type="http://schemas.openxmlformats.org/officeDocument/2006/relationships/hyperlink" Target="https://tupiel.darsistemas.com/consulta_cups/costos?id=25438" TargetMode="External"/><Relationship Id="rId558" Type="http://schemas.openxmlformats.org/officeDocument/2006/relationships/hyperlink" Target="https://tupiel.darsistemas.com/consulta_cups/costos?id=26048" TargetMode="External"/><Relationship Id="rId765" Type="http://schemas.openxmlformats.org/officeDocument/2006/relationships/hyperlink" Target="https://tupiel.darsistemas.com/consulta/36184" TargetMode="External"/><Relationship Id="rId972" Type="http://schemas.openxmlformats.org/officeDocument/2006/relationships/hyperlink" Target="https://tupiel.darsistemas.com/consulta_cups/costos?id=24774" TargetMode="External"/><Relationship Id="rId1188" Type="http://schemas.openxmlformats.org/officeDocument/2006/relationships/hyperlink" Target="https://tupiel.darsistemas.com/consulta_cups/costos?id=26630" TargetMode="External"/><Relationship Id="rId1395" Type="http://schemas.openxmlformats.org/officeDocument/2006/relationships/hyperlink" Target="https://tupiel.darsistemas.com/consulta/36593" TargetMode="External"/><Relationship Id="rId1409" Type="http://schemas.openxmlformats.org/officeDocument/2006/relationships/hyperlink" Target="https://tupiel.darsistemas.com/consulta/36533" TargetMode="External"/><Relationship Id="rId1616" Type="http://schemas.openxmlformats.org/officeDocument/2006/relationships/hyperlink" Target="https://tupiel.darsistemas.com/consulta_cups/costos?id=25510" TargetMode="External"/><Relationship Id="rId197" Type="http://schemas.openxmlformats.org/officeDocument/2006/relationships/hyperlink" Target="https://tupiel.darsistemas.com/consulta/36163" TargetMode="External"/><Relationship Id="rId418" Type="http://schemas.openxmlformats.org/officeDocument/2006/relationships/hyperlink" Target="https://tupiel.darsistemas.com/consulta_cups/costos?id=26112" TargetMode="External"/><Relationship Id="rId625" Type="http://schemas.openxmlformats.org/officeDocument/2006/relationships/hyperlink" Target="https://tupiel.darsistemas.com/consulta/36336" TargetMode="External"/><Relationship Id="rId832" Type="http://schemas.openxmlformats.org/officeDocument/2006/relationships/hyperlink" Target="https://tupiel.darsistemas.com/consulta_cups/costos?id=26374" TargetMode="External"/><Relationship Id="rId1048" Type="http://schemas.openxmlformats.org/officeDocument/2006/relationships/hyperlink" Target="https://tupiel.darsistemas.com/consulta_cups/costos?id=23691" TargetMode="External"/><Relationship Id="rId1255" Type="http://schemas.openxmlformats.org/officeDocument/2006/relationships/hyperlink" Target="https://tupiel.darsistemas.com/consulta/36542" TargetMode="External"/><Relationship Id="rId1462" Type="http://schemas.openxmlformats.org/officeDocument/2006/relationships/hyperlink" Target="https://tupiel.darsistemas.com/consulta_cups/costos?id=26240" TargetMode="External"/><Relationship Id="rId264" Type="http://schemas.openxmlformats.org/officeDocument/2006/relationships/hyperlink" Target="https://tupiel.darsistemas.com/consulta_cups/costos?id=22944" TargetMode="External"/><Relationship Id="rId471" Type="http://schemas.openxmlformats.org/officeDocument/2006/relationships/hyperlink" Target="https://tupiel.darsistemas.com/consulta/34841" TargetMode="External"/><Relationship Id="rId1115" Type="http://schemas.openxmlformats.org/officeDocument/2006/relationships/hyperlink" Target="https://tupiel.darsistemas.com/consulta/36412" TargetMode="External"/><Relationship Id="rId1322" Type="http://schemas.openxmlformats.org/officeDocument/2006/relationships/hyperlink" Target="https://tupiel.darsistemas.com/consulta_cups/costos?id=26733" TargetMode="External"/><Relationship Id="rId59" Type="http://schemas.openxmlformats.org/officeDocument/2006/relationships/hyperlink" Target="https://tupiel.darsistemas.com/consulta/35854" TargetMode="External"/><Relationship Id="rId124" Type="http://schemas.openxmlformats.org/officeDocument/2006/relationships/hyperlink" Target="https://tupiel.darsistemas.com/consulta_cups/costos?id=25138" TargetMode="External"/><Relationship Id="rId569" Type="http://schemas.openxmlformats.org/officeDocument/2006/relationships/hyperlink" Target="https://tupiel.darsistemas.com/consulta/34074" TargetMode="External"/><Relationship Id="rId776" Type="http://schemas.openxmlformats.org/officeDocument/2006/relationships/hyperlink" Target="https://tupiel.darsistemas.com/consulta_cups/costos?id=26421" TargetMode="External"/><Relationship Id="rId983" Type="http://schemas.openxmlformats.org/officeDocument/2006/relationships/hyperlink" Target="https://tupiel.darsistemas.com/consulta/34187" TargetMode="External"/><Relationship Id="rId1199" Type="http://schemas.openxmlformats.org/officeDocument/2006/relationships/hyperlink" Target="https://tupiel.darsistemas.com/consulta/36493" TargetMode="External"/><Relationship Id="rId1627" Type="http://schemas.openxmlformats.org/officeDocument/2006/relationships/hyperlink" Target="https://tupiel.darsistemas.com/consulta/36059" TargetMode="External"/><Relationship Id="rId331" Type="http://schemas.openxmlformats.org/officeDocument/2006/relationships/hyperlink" Target="https://tupiel.darsistemas.com/consulta/36146" TargetMode="External"/><Relationship Id="rId429" Type="http://schemas.openxmlformats.org/officeDocument/2006/relationships/hyperlink" Target="https://tupiel.darsistemas.com/consulta/35815" TargetMode="External"/><Relationship Id="rId636" Type="http://schemas.openxmlformats.org/officeDocument/2006/relationships/hyperlink" Target="https://tupiel.darsistemas.com/consulta_cups/costos?id=26320" TargetMode="External"/><Relationship Id="rId1059" Type="http://schemas.openxmlformats.org/officeDocument/2006/relationships/hyperlink" Target="https://tupiel.darsistemas.com/consulta/29084" TargetMode="External"/><Relationship Id="rId1266" Type="http://schemas.openxmlformats.org/officeDocument/2006/relationships/hyperlink" Target="https://tupiel.darsistemas.com/consulta_cups/costos?id=26745" TargetMode="External"/><Relationship Id="rId1473" Type="http://schemas.openxmlformats.org/officeDocument/2006/relationships/hyperlink" Target="https://tupiel.darsistemas.com/consulta/24523" TargetMode="External"/><Relationship Id="rId843" Type="http://schemas.openxmlformats.org/officeDocument/2006/relationships/hyperlink" Target="https://tupiel.darsistemas.com/consulta/34695" TargetMode="External"/><Relationship Id="rId1126" Type="http://schemas.openxmlformats.org/officeDocument/2006/relationships/hyperlink" Target="https://tupiel.darsistemas.com/consulta_cups/costos?id=26394" TargetMode="External"/><Relationship Id="rId1680" Type="http://schemas.openxmlformats.org/officeDocument/2006/relationships/hyperlink" Target="https://tupiel.darsistemas.com/consulta_cups/costos?id=26518" TargetMode="External"/><Relationship Id="rId275" Type="http://schemas.openxmlformats.org/officeDocument/2006/relationships/hyperlink" Target="https://tupiel.darsistemas.com/consulta/36183" TargetMode="External"/><Relationship Id="rId482" Type="http://schemas.openxmlformats.org/officeDocument/2006/relationships/hyperlink" Target="https://tupiel.darsistemas.com/consulta_cups/costos?id=26224" TargetMode="External"/><Relationship Id="rId703" Type="http://schemas.openxmlformats.org/officeDocument/2006/relationships/hyperlink" Target="https://tupiel.darsistemas.com/consulta/35914" TargetMode="External"/><Relationship Id="rId910" Type="http://schemas.openxmlformats.org/officeDocument/2006/relationships/hyperlink" Target="https://tupiel.darsistemas.com/consulta_cups/costos?id=25268" TargetMode="External"/><Relationship Id="rId1333" Type="http://schemas.openxmlformats.org/officeDocument/2006/relationships/hyperlink" Target="https://tupiel.darsistemas.com/consulta/36298" TargetMode="External"/><Relationship Id="rId1540" Type="http://schemas.openxmlformats.org/officeDocument/2006/relationships/hyperlink" Target="https://tupiel.darsistemas.com/consulta_cups/costos?id=25864" TargetMode="External"/><Relationship Id="rId1638" Type="http://schemas.openxmlformats.org/officeDocument/2006/relationships/hyperlink" Target="https://tupiel.darsistemas.com/consulta_cups/costos?id=25897" TargetMode="External"/><Relationship Id="rId135" Type="http://schemas.openxmlformats.org/officeDocument/2006/relationships/hyperlink" Target="https://tupiel.darsistemas.com/consulta/36083" TargetMode="External"/><Relationship Id="rId342" Type="http://schemas.openxmlformats.org/officeDocument/2006/relationships/hyperlink" Target="https://tupiel.darsistemas.com/consulta_cups/costos?id=25889" TargetMode="External"/><Relationship Id="rId787" Type="http://schemas.openxmlformats.org/officeDocument/2006/relationships/hyperlink" Target="https://tupiel.darsistemas.com/consulta/36371" TargetMode="External"/><Relationship Id="rId994" Type="http://schemas.openxmlformats.org/officeDocument/2006/relationships/hyperlink" Target="https://tupiel.darsistemas.com/consulta_cups/costos?id=26575" TargetMode="External"/><Relationship Id="rId1400" Type="http://schemas.openxmlformats.org/officeDocument/2006/relationships/hyperlink" Target="https://tupiel.darsistemas.com/consulta_cups/costos?id=26847" TargetMode="External"/><Relationship Id="rId202" Type="http://schemas.openxmlformats.org/officeDocument/2006/relationships/hyperlink" Target="https://tupiel.darsistemas.com/consulta_cups/costos?id=26001" TargetMode="External"/><Relationship Id="rId647" Type="http://schemas.openxmlformats.org/officeDocument/2006/relationships/hyperlink" Target="https://tupiel.darsistemas.com/consulta/36233" TargetMode="External"/><Relationship Id="rId854" Type="http://schemas.openxmlformats.org/officeDocument/2006/relationships/hyperlink" Target="https://tupiel.darsistemas.com/consulta_cups/costos?id=26460" TargetMode="External"/><Relationship Id="rId1277" Type="http://schemas.openxmlformats.org/officeDocument/2006/relationships/hyperlink" Target="https://tupiel.darsistemas.com/consulta/36327" TargetMode="External"/><Relationship Id="rId1484" Type="http://schemas.openxmlformats.org/officeDocument/2006/relationships/hyperlink" Target="https://tupiel.darsistemas.com/consulta_cups/costos?id=26340" TargetMode="External"/><Relationship Id="rId1691" Type="http://schemas.openxmlformats.org/officeDocument/2006/relationships/hyperlink" Target="https://tupiel.darsistemas.com/consulta/36484" TargetMode="External"/><Relationship Id="rId286" Type="http://schemas.openxmlformats.org/officeDocument/2006/relationships/hyperlink" Target="https://tupiel.darsistemas.com/consulta_cups/costos?id=20731" TargetMode="External"/><Relationship Id="rId493" Type="http://schemas.openxmlformats.org/officeDocument/2006/relationships/hyperlink" Target="https://tupiel.darsistemas.com/consulta/36278" TargetMode="External"/><Relationship Id="rId507" Type="http://schemas.openxmlformats.org/officeDocument/2006/relationships/hyperlink" Target="https://tupiel.darsistemas.com/consulta/36125" TargetMode="External"/><Relationship Id="rId714" Type="http://schemas.openxmlformats.org/officeDocument/2006/relationships/hyperlink" Target="https://tupiel.darsistemas.com/consulta_cups/costos?id=26361" TargetMode="External"/><Relationship Id="rId921" Type="http://schemas.openxmlformats.org/officeDocument/2006/relationships/hyperlink" Target="https://tupiel.darsistemas.com/consulta/35814" TargetMode="External"/><Relationship Id="rId1137" Type="http://schemas.openxmlformats.org/officeDocument/2006/relationships/hyperlink" Target="https://tupiel.darsistemas.com/consulta/36511" TargetMode="External"/><Relationship Id="rId1344" Type="http://schemas.openxmlformats.org/officeDocument/2006/relationships/hyperlink" Target="https://tupiel.darsistemas.com/consulta_cups/costos?id=26081" TargetMode="External"/><Relationship Id="rId1551" Type="http://schemas.openxmlformats.org/officeDocument/2006/relationships/hyperlink" Target="https://tupiel.darsistemas.com/consulta/31470" TargetMode="External"/><Relationship Id="rId50" Type="http://schemas.openxmlformats.org/officeDocument/2006/relationships/hyperlink" Target="https://tupiel.darsistemas.com/consulta_cups/costos?id=25828" TargetMode="External"/><Relationship Id="rId146" Type="http://schemas.openxmlformats.org/officeDocument/2006/relationships/hyperlink" Target="https://tupiel.darsistemas.com/consulta_cups/costos?id=25912" TargetMode="External"/><Relationship Id="rId353" Type="http://schemas.openxmlformats.org/officeDocument/2006/relationships/hyperlink" Target="https://tupiel.darsistemas.com/consulta/35267" TargetMode="External"/><Relationship Id="rId560" Type="http://schemas.openxmlformats.org/officeDocument/2006/relationships/hyperlink" Target="https://tupiel.darsistemas.com/consulta_cups/costos?id=25133" TargetMode="External"/><Relationship Id="rId798" Type="http://schemas.openxmlformats.org/officeDocument/2006/relationships/hyperlink" Target="https://tupiel.darsistemas.com/consulta_cups/costos?id=26441" TargetMode="External"/><Relationship Id="rId1190" Type="http://schemas.openxmlformats.org/officeDocument/2006/relationships/hyperlink" Target="https://tupiel.darsistemas.com/consulta_cups/costos?id=26702" TargetMode="External"/><Relationship Id="rId1204" Type="http://schemas.openxmlformats.org/officeDocument/2006/relationships/hyperlink" Target="https://tupiel.darsistemas.com/consulta_cups/costos?id=26533" TargetMode="External"/><Relationship Id="rId1411" Type="http://schemas.openxmlformats.org/officeDocument/2006/relationships/hyperlink" Target="https://tupiel.darsistemas.com/consulta/36227" TargetMode="External"/><Relationship Id="rId1649" Type="http://schemas.openxmlformats.org/officeDocument/2006/relationships/hyperlink" Target="https://tupiel.darsistemas.com/consulta/36180" TargetMode="External"/><Relationship Id="rId213" Type="http://schemas.openxmlformats.org/officeDocument/2006/relationships/hyperlink" Target="https://tupiel.darsistemas.com/consulta/35560" TargetMode="External"/><Relationship Id="rId420" Type="http://schemas.openxmlformats.org/officeDocument/2006/relationships/hyperlink" Target="https://tupiel.darsistemas.com/consulta_cups/costos?id=13234" TargetMode="External"/><Relationship Id="rId658" Type="http://schemas.openxmlformats.org/officeDocument/2006/relationships/hyperlink" Target="https://tupiel.darsistemas.com/consulta_cups/costos?id=26350" TargetMode="External"/><Relationship Id="rId865" Type="http://schemas.openxmlformats.org/officeDocument/2006/relationships/hyperlink" Target="https://tupiel.darsistemas.com/consulta/36312" TargetMode="External"/><Relationship Id="rId1050" Type="http://schemas.openxmlformats.org/officeDocument/2006/relationships/hyperlink" Target="https://tupiel.darsistemas.com/consulta_cups/costos?id=26566" TargetMode="External"/><Relationship Id="rId1288" Type="http://schemas.openxmlformats.org/officeDocument/2006/relationships/hyperlink" Target="https://tupiel.darsistemas.com/consulta_cups/costos?id=26731" TargetMode="External"/><Relationship Id="rId1495" Type="http://schemas.openxmlformats.org/officeDocument/2006/relationships/hyperlink" Target="https://tupiel.darsistemas.com/consulta/26248" TargetMode="External"/><Relationship Id="rId1509" Type="http://schemas.openxmlformats.org/officeDocument/2006/relationships/hyperlink" Target="https://tupiel.darsistemas.com/consulta/27112" TargetMode="External"/><Relationship Id="rId297" Type="http://schemas.openxmlformats.org/officeDocument/2006/relationships/hyperlink" Target="https://tupiel.darsistemas.com/consulta/36149" TargetMode="External"/><Relationship Id="rId518" Type="http://schemas.openxmlformats.org/officeDocument/2006/relationships/hyperlink" Target="https://tupiel.darsistemas.com/consulta_cups/costos?id=25932" TargetMode="External"/><Relationship Id="rId725" Type="http://schemas.openxmlformats.org/officeDocument/2006/relationships/hyperlink" Target="https://tupiel.darsistemas.com/consulta/36249" TargetMode="External"/><Relationship Id="rId932" Type="http://schemas.openxmlformats.org/officeDocument/2006/relationships/hyperlink" Target="https://tupiel.darsistemas.com/consulta_cups/costos?id=25875" TargetMode="External"/><Relationship Id="rId1148" Type="http://schemas.openxmlformats.org/officeDocument/2006/relationships/hyperlink" Target="https://tupiel.darsistemas.com/consulta_cups/costos?id=25016" TargetMode="External"/><Relationship Id="rId1355" Type="http://schemas.openxmlformats.org/officeDocument/2006/relationships/hyperlink" Target="https://tupiel.darsistemas.com/consulta/36582" TargetMode="External"/><Relationship Id="rId1562" Type="http://schemas.openxmlformats.org/officeDocument/2006/relationships/hyperlink" Target="https://tupiel.darsistemas.com/consulta_cups/costos?id=26588" TargetMode="External"/><Relationship Id="rId157" Type="http://schemas.openxmlformats.org/officeDocument/2006/relationships/hyperlink" Target="https://tupiel.darsistemas.com/consulta/35358" TargetMode="External"/><Relationship Id="rId364" Type="http://schemas.openxmlformats.org/officeDocument/2006/relationships/hyperlink" Target="https://tupiel.darsistemas.com/consulta_cups/costos?id=25942" TargetMode="External"/><Relationship Id="rId1008" Type="http://schemas.openxmlformats.org/officeDocument/2006/relationships/hyperlink" Target="https://tupiel.darsistemas.com/consulta_cups/costos?id=26578" TargetMode="External"/><Relationship Id="rId1215" Type="http://schemas.openxmlformats.org/officeDocument/2006/relationships/hyperlink" Target="https://tupiel.darsistemas.com/consulta/25748" TargetMode="External"/><Relationship Id="rId1422" Type="http://schemas.openxmlformats.org/officeDocument/2006/relationships/hyperlink" Target="https://tupiel.darsistemas.com/consulta_cups/costos?id=26858" TargetMode="External"/><Relationship Id="rId61" Type="http://schemas.openxmlformats.org/officeDocument/2006/relationships/hyperlink" Target="https://tupiel.darsistemas.com/consulta/36053" TargetMode="External"/><Relationship Id="rId571" Type="http://schemas.openxmlformats.org/officeDocument/2006/relationships/hyperlink" Target="https://tupiel.darsistemas.com/consulta/34074" TargetMode="External"/><Relationship Id="rId669" Type="http://schemas.openxmlformats.org/officeDocument/2006/relationships/hyperlink" Target="https://tupiel.darsistemas.com/consulta/36269" TargetMode="External"/><Relationship Id="rId876" Type="http://schemas.openxmlformats.org/officeDocument/2006/relationships/hyperlink" Target="https://tupiel.darsistemas.com/consulta_cups/costos?id=26376" TargetMode="External"/><Relationship Id="rId1299" Type="http://schemas.openxmlformats.org/officeDocument/2006/relationships/hyperlink" Target="https://tupiel.darsistemas.com/consulta/34161" TargetMode="External"/><Relationship Id="rId19" Type="http://schemas.openxmlformats.org/officeDocument/2006/relationships/hyperlink" Target="https://tupiel.darsistemas.com/consulta/36028" TargetMode="External"/><Relationship Id="rId224" Type="http://schemas.openxmlformats.org/officeDocument/2006/relationships/hyperlink" Target="https://tupiel.darsistemas.com/consulta_cups/costos?id=26047" TargetMode="External"/><Relationship Id="rId431" Type="http://schemas.openxmlformats.org/officeDocument/2006/relationships/hyperlink" Target="https://tupiel.darsistemas.com/consulta/35762" TargetMode="External"/><Relationship Id="rId529" Type="http://schemas.openxmlformats.org/officeDocument/2006/relationships/hyperlink" Target="https://tupiel.darsistemas.com/consulta/36239" TargetMode="External"/><Relationship Id="rId736" Type="http://schemas.openxmlformats.org/officeDocument/2006/relationships/hyperlink" Target="https://tupiel.darsistemas.com/consulta_cups/costos?id=23291" TargetMode="External"/><Relationship Id="rId1061" Type="http://schemas.openxmlformats.org/officeDocument/2006/relationships/hyperlink" Target="https://tupiel.darsistemas.com/consulta/35745" TargetMode="External"/><Relationship Id="rId1159" Type="http://schemas.openxmlformats.org/officeDocument/2006/relationships/hyperlink" Target="https://tupiel.darsistemas.com/consulta/22035" TargetMode="External"/><Relationship Id="rId1366" Type="http://schemas.openxmlformats.org/officeDocument/2006/relationships/hyperlink" Target="https://tupiel.darsistemas.com/consulta_cups/costos?id=26797" TargetMode="External"/><Relationship Id="rId168" Type="http://schemas.openxmlformats.org/officeDocument/2006/relationships/hyperlink" Target="https://tupiel.darsistemas.com/consulta_cups/costos?id=24896" TargetMode="External"/><Relationship Id="rId943" Type="http://schemas.openxmlformats.org/officeDocument/2006/relationships/hyperlink" Target="https://tupiel.darsistemas.com/consulta/36070" TargetMode="External"/><Relationship Id="rId1019" Type="http://schemas.openxmlformats.org/officeDocument/2006/relationships/hyperlink" Target="https://tupiel.darsistemas.com/consulta/30891" TargetMode="External"/><Relationship Id="rId1573" Type="http://schemas.openxmlformats.org/officeDocument/2006/relationships/hyperlink" Target="https://tupiel.darsistemas.com/consulta/33934" TargetMode="External"/><Relationship Id="rId72" Type="http://schemas.openxmlformats.org/officeDocument/2006/relationships/hyperlink" Target="https://tupiel.darsistemas.com/consulta_cups/costos?id=24223" TargetMode="External"/><Relationship Id="rId375" Type="http://schemas.openxmlformats.org/officeDocument/2006/relationships/hyperlink" Target="https://tupiel.darsistemas.com/consulta/36225" TargetMode="External"/><Relationship Id="rId582" Type="http://schemas.openxmlformats.org/officeDocument/2006/relationships/hyperlink" Target="https://tupiel.darsistemas.com/consulta_cups/costos?id=26244" TargetMode="External"/><Relationship Id="rId803" Type="http://schemas.openxmlformats.org/officeDocument/2006/relationships/hyperlink" Target="https://tupiel.darsistemas.com/consulta/36205" TargetMode="External"/><Relationship Id="rId1226" Type="http://schemas.openxmlformats.org/officeDocument/2006/relationships/hyperlink" Target="https://tupiel.darsistemas.com/consulta_cups/costos?id=26447" TargetMode="External"/><Relationship Id="rId1433" Type="http://schemas.openxmlformats.org/officeDocument/2006/relationships/hyperlink" Target="https://tupiel.darsistemas.com/consulta/34532" TargetMode="External"/><Relationship Id="rId1640" Type="http://schemas.openxmlformats.org/officeDocument/2006/relationships/hyperlink" Target="https://tupiel.darsistemas.com/consulta_cups/costos?id=25898" TargetMode="External"/><Relationship Id="rId3" Type="http://schemas.openxmlformats.org/officeDocument/2006/relationships/hyperlink" Target="https://tupiel.darsistemas.com/consulta/35869" TargetMode="External"/><Relationship Id="rId235" Type="http://schemas.openxmlformats.org/officeDocument/2006/relationships/hyperlink" Target="https://tupiel.darsistemas.com/consulta/36144" TargetMode="External"/><Relationship Id="rId442" Type="http://schemas.openxmlformats.org/officeDocument/2006/relationships/hyperlink" Target="https://tupiel.darsistemas.com/consulta_cups/costos?id=22199" TargetMode="External"/><Relationship Id="rId887" Type="http://schemas.openxmlformats.org/officeDocument/2006/relationships/hyperlink" Target="https://tupiel.darsistemas.com/consulta/36250" TargetMode="External"/><Relationship Id="rId1072" Type="http://schemas.openxmlformats.org/officeDocument/2006/relationships/hyperlink" Target="https://tupiel.darsistemas.com/consulta_cups/costos?id=26499" TargetMode="External"/><Relationship Id="rId1500" Type="http://schemas.openxmlformats.org/officeDocument/2006/relationships/hyperlink" Target="https://tupiel.darsistemas.com/consulta_cups/costos?id=25699" TargetMode="External"/><Relationship Id="rId302" Type="http://schemas.openxmlformats.org/officeDocument/2006/relationships/hyperlink" Target="https://tupiel.darsistemas.com/consulta_cups/costos?id=26109" TargetMode="External"/><Relationship Id="rId747" Type="http://schemas.openxmlformats.org/officeDocument/2006/relationships/hyperlink" Target="https://tupiel.darsistemas.com/consulta/35940" TargetMode="External"/><Relationship Id="rId954" Type="http://schemas.openxmlformats.org/officeDocument/2006/relationships/hyperlink" Target="https://tupiel.darsistemas.com/consulta_cups/costos?id=26395" TargetMode="External"/><Relationship Id="rId1377" Type="http://schemas.openxmlformats.org/officeDocument/2006/relationships/hyperlink" Target="https://tupiel.darsistemas.com/consulta/36608" TargetMode="External"/><Relationship Id="rId1584" Type="http://schemas.openxmlformats.org/officeDocument/2006/relationships/hyperlink" Target="https://tupiel.darsistemas.com/consulta_cups/costos?id=26108" TargetMode="External"/><Relationship Id="rId83" Type="http://schemas.openxmlformats.org/officeDocument/2006/relationships/hyperlink" Target="https://tupiel.darsistemas.com/consulta/21286" TargetMode="External"/><Relationship Id="rId179" Type="http://schemas.openxmlformats.org/officeDocument/2006/relationships/hyperlink" Target="https://tupiel.darsistemas.com/consulta/33292" TargetMode="External"/><Relationship Id="rId386" Type="http://schemas.openxmlformats.org/officeDocument/2006/relationships/hyperlink" Target="https://tupiel.darsistemas.com/consulta_cups/costos?id=26183" TargetMode="External"/><Relationship Id="rId593" Type="http://schemas.openxmlformats.org/officeDocument/2006/relationships/hyperlink" Target="https://tupiel.darsistemas.com/consulta/36147" TargetMode="External"/><Relationship Id="rId607" Type="http://schemas.openxmlformats.org/officeDocument/2006/relationships/hyperlink" Target="https://tupiel.darsistemas.com/consulta/35333" TargetMode="External"/><Relationship Id="rId814" Type="http://schemas.openxmlformats.org/officeDocument/2006/relationships/hyperlink" Target="https://tupiel.darsistemas.com/consulta_cups/costos?id=26365" TargetMode="External"/><Relationship Id="rId1237" Type="http://schemas.openxmlformats.org/officeDocument/2006/relationships/hyperlink" Target="https://tupiel.darsistemas.com/consulta/25748" TargetMode="External"/><Relationship Id="rId1444" Type="http://schemas.openxmlformats.org/officeDocument/2006/relationships/hyperlink" Target="https://tupiel.darsistemas.com/consulta_cups/costos?id=25949" TargetMode="External"/><Relationship Id="rId1651" Type="http://schemas.openxmlformats.org/officeDocument/2006/relationships/hyperlink" Target="https://tupiel.darsistemas.com/consulta/36201" TargetMode="External"/><Relationship Id="rId246" Type="http://schemas.openxmlformats.org/officeDocument/2006/relationships/hyperlink" Target="https://tupiel.darsistemas.com/consulta_cups/costos?id=24759" TargetMode="External"/><Relationship Id="rId453" Type="http://schemas.openxmlformats.org/officeDocument/2006/relationships/hyperlink" Target="https://tupiel.darsistemas.com/consulta/35191" TargetMode="External"/><Relationship Id="rId660" Type="http://schemas.openxmlformats.org/officeDocument/2006/relationships/hyperlink" Target="https://tupiel.darsistemas.com/consulta_cups/costos?id=26323" TargetMode="External"/><Relationship Id="rId898" Type="http://schemas.openxmlformats.org/officeDocument/2006/relationships/hyperlink" Target="https://tupiel.darsistemas.com/consulta_cups/costos?id=24392" TargetMode="External"/><Relationship Id="rId1083" Type="http://schemas.openxmlformats.org/officeDocument/2006/relationships/hyperlink" Target="https://tupiel.darsistemas.com/consulta/35534" TargetMode="External"/><Relationship Id="rId1290" Type="http://schemas.openxmlformats.org/officeDocument/2006/relationships/hyperlink" Target="https://tupiel.darsistemas.com/consulta_cups/costos?id=26604" TargetMode="External"/><Relationship Id="rId1304" Type="http://schemas.openxmlformats.org/officeDocument/2006/relationships/hyperlink" Target="https://tupiel.darsistemas.com/consulta_cups/costos?id=26735" TargetMode="External"/><Relationship Id="rId1511" Type="http://schemas.openxmlformats.org/officeDocument/2006/relationships/hyperlink" Target="https://tupiel.darsistemas.com/consulta/27112" TargetMode="External"/><Relationship Id="rId106" Type="http://schemas.openxmlformats.org/officeDocument/2006/relationships/hyperlink" Target="https://tupiel.darsistemas.com/consulta_cups/costos?id=25477" TargetMode="External"/><Relationship Id="rId313" Type="http://schemas.openxmlformats.org/officeDocument/2006/relationships/hyperlink" Target="https://tupiel.darsistemas.com/consulta/36189" TargetMode="External"/><Relationship Id="rId758" Type="http://schemas.openxmlformats.org/officeDocument/2006/relationships/hyperlink" Target="https://tupiel.darsistemas.com/consulta_cups/costos?id=25667" TargetMode="External"/><Relationship Id="rId965" Type="http://schemas.openxmlformats.org/officeDocument/2006/relationships/hyperlink" Target="https://tupiel.darsistemas.com/consulta/36401" TargetMode="External"/><Relationship Id="rId1150" Type="http://schemas.openxmlformats.org/officeDocument/2006/relationships/hyperlink" Target="https://tupiel.darsistemas.com/consulta_cups/costos?id=26668" TargetMode="External"/><Relationship Id="rId1388" Type="http://schemas.openxmlformats.org/officeDocument/2006/relationships/hyperlink" Target="https://tupiel.darsistemas.com/consulta_cups/costos?id=26769" TargetMode="External"/><Relationship Id="rId1595" Type="http://schemas.openxmlformats.org/officeDocument/2006/relationships/hyperlink" Target="https://tupiel.darsistemas.com/consulta/35060" TargetMode="External"/><Relationship Id="rId1609" Type="http://schemas.openxmlformats.org/officeDocument/2006/relationships/hyperlink" Target="https://tupiel.darsistemas.com/consulta/35737" TargetMode="External"/><Relationship Id="rId10" Type="http://schemas.openxmlformats.org/officeDocument/2006/relationships/hyperlink" Target="https://tupiel.darsistemas.com/consulta_cups/costos?id=25631" TargetMode="External"/><Relationship Id="rId94" Type="http://schemas.openxmlformats.org/officeDocument/2006/relationships/hyperlink" Target="https://tupiel.darsistemas.com/consulta_cups/costos?id=25851" TargetMode="External"/><Relationship Id="rId397" Type="http://schemas.openxmlformats.org/officeDocument/2006/relationships/hyperlink" Target="https://tupiel.darsistemas.com/consulta/30743" TargetMode="External"/><Relationship Id="rId520" Type="http://schemas.openxmlformats.org/officeDocument/2006/relationships/hyperlink" Target="https://tupiel.darsistemas.com/consulta_cups/costos?id=26187" TargetMode="External"/><Relationship Id="rId618" Type="http://schemas.openxmlformats.org/officeDocument/2006/relationships/hyperlink" Target="https://tupiel.darsistemas.com/consulta_cups/costos?id=26318" TargetMode="External"/><Relationship Id="rId825" Type="http://schemas.openxmlformats.org/officeDocument/2006/relationships/hyperlink" Target="https://tupiel.darsistemas.com/consulta/35264" TargetMode="External"/><Relationship Id="rId1248" Type="http://schemas.openxmlformats.org/officeDocument/2006/relationships/hyperlink" Target="https://tupiel.darsistemas.com/consulta_cups/costos?id=24860" TargetMode="External"/><Relationship Id="rId1455" Type="http://schemas.openxmlformats.org/officeDocument/2006/relationships/hyperlink" Target="https://tupiel.darsistemas.com/consulta/21825" TargetMode="External"/><Relationship Id="rId1662" Type="http://schemas.openxmlformats.org/officeDocument/2006/relationships/hyperlink" Target="https://tupiel.darsistemas.com/consulta_cups/costos?id=26283" TargetMode="External"/><Relationship Id="rId257" Type="http://schemas.openxmlformats.org/officeDocument/2006/relationships/hyperlink" Target="https://tupiel.darsistemas.com/consulta/35822" TargetMode="External"/><Relationship Id="rId464" Type="http://schemas.openxmlformats.org/officeDocument/2006/relationships/hyperlink" Target="https://tupiel.darsistemas.com/consulta_cups/costos?id=25660" TargetMode="External"/><Relationship Id="rId1010" Type="http://schemas.openxmlformats.org/officeDocument/2006/relationships/hyperlink" Target="https://tupiel.darsistemas.com/consulta_cups/costos?id=25355" TargetMode="External"/><Relationship Id="rId1094" Type="http://schemas.openxmlformats.org/officeDocument/2006/relationships/hyperlink" Target="https://tupiel.darsistemas.com/consulta_cups/costos?id=26020" TargetMode="External"/><Relationship Id="rId1108" Type="http://schemas.openxmlformats.org/officeDocument/2006/relationships/hyperlink" Target="https://tupiel.darsistemas.com/consulta_cups/costos?id=24701" TargetMode="External"/><Relationship Id="rId1315" Type="http://schemas.openxmlformats.org/officeDocument/2006/relationships/hyperlink" Target="https://tupiel.darsistemas.com/consulta/22200" TargetMode="External"/><Relationship Id="rId117" Type="http://schemas.openxmlformats.org/officeDocument/2006/relationships/hyperlink" Target="https://tupiel.darsistemas.com/consulta/36097" TargetMode="External"/><Relationship Id="rId671" Type="http://schemas.openxmlformats.org/officeDocument/2006/relationships/hyperlink" Target="https://tupiel.darsistemas.com/consulta/33113" TargetMode="External"/><Relationship Id="rId769" Type="http://schemas.openxmlformats.org/officeDocument/2006/relationships/hyperlink" Target="https://tupiel.darsistemas.com/consulta/35912" TargetMode="External"/><Relationship Id="rId976" Type="http://schemas.openxmlformats.org/officeDocument/2006/relationships/hyperlink" Target="https://tupiel.darsistemas.com/consulta_cups/costos?id=22470" TargetMode="External"/><Relationship Id="rId1399" Type="http://schemas.openxmlformats.org/officeDocument/2006/relationships/hyperlink" Target="https://tupiel.darsistemas.com/consulta/34832" TargetMode="External"/><Relationship Id="rId324" Type="http://schemas.openxmlformats.org/officeDocument/2006/relationships/hyperlink" Target="https://tupiel.darsistemas.com/consulta_cups/costos?id=25434" TargetMode="External"/><Relationship Id="rId531" Type="http://schemas.openxmlformats.org/officeDocument/2006/relationships/hyperlink" Target="https://tupiel.darsistemas.com/consulta/33747" TargetMode="External"/><Relationship Id="rId629" Type="http://schemas.openxmlformats.org/officeDocument/2006/relationships/hyperlink" Target="https://tupiel.darsistemas.com/consulta/36271" TargetMode="External"/><Relationship Id="rId1161" Type="http://schemas.openxmlformats.org/officeDocument/2006/relationships/hyperlink" Target="https://tupiel.darsistemas.com/consulta/27672" TargetMode="External"/><Relationship Id="rId1259" Type="http://schemas.openxmlformats.org/officeDocument/2006/relationships/hyperlink" Target="https://tupiel.darsistemas.com/consulta/33848" TargetMode="External"/><Relationship Id="rId1466" Type="http://schemas.openxmlformats.org/officeDocument/2006/relationships/hyperlink" Target="https://tupiel.darsistemas.com/consulta_cups/costos?id=25980" TargetMode="External"/><Relationship Id="rId836" Type="http://schemas.openxmlformats.org/officeDocument/2006/relationships/hyperlink" Target="https://tupiel.darsistemas.com/consulta_cups/costos?id=26475" TargetMode="External"/><Relationship Id="rId1021" Type="http://schemas.openxmlformats.org/officeDocument/2006/relationships/hyperlink" Target="https://tupiel.darsistemas.com/consulta/34717" TargetMode="External"/><Relationship Id="rId1119" Type="http://schemas.openxmlformats.org/officeDocument/2006/relationships/hyperlink" Target="https://tupiel.darsistemas.com/consulta/36475" TargetMode="External"/><Relationship Id="rId1673" Type="http://schemas.openxmlformats.org/officeDocument/2006/relationships/hyperlink" Target="https://tupiel.darsistemas.com/consulta/36421" TargetMode="External"/><Relationship Id="rId903" Type="http://schemas.openxmlformats.org/officeDocument/2006/relationships/hyperlink" Target="https://tupiel.darsistemas.com/consulta/30993" TargetMode="External"/><Relationship Id="rId1326" Type="http://schemas.openxmlformats.org/officeDocument/2006/relationships/hyperlink" Target="https://tupiel.darsistemas.com/consulta_cups/costos?id=26261" TargetMode="External"/><Relationship Id="rId1533" Type="http://schemas.openxmlformats.org/officeDocument/2006/relationships/hyperlink" Target="https://tupiel.darsistemas.com/consulta/27918" TargetMode="External"/><Relationship Id="rId32" Type="http://schemas.openxmlformats.org/officeDocument/2006/relationships/hyperlink" Target="https://tupiel.darsistemas.com/consulta_cups/costos?id=25818" TargetMode="External"/><Relationship Id="rId1600" Type="http://schemas.openxmlformats.org/officeDocument/2006/relationships/hyperlink" Target="https://tupiel.darsistemas.com/consulta_cups/costos?id=24970" TargetMode="External"/><Relationship Id="rId181" Type="http://schemas.openxmlformats.org/officeDocument/2006/relationships/hyperlink" Target="https://tupiel.darsistemas.com/consulta/36136" TargetMode="External"/><Relationship Id="rId279" Type="http://schemas.openxmlformats.org/officeDocument/2006/relationships/hyperlink" Target="https://tupiel.darsistemas.com/consulta/29113" TargetMode="External"/><Relationship Id="rId486" Type="http://schemas.openxmlformats.org/officeDocument/2006/relationships/hyperlink" Target="https://tupiel.darsistemas.com/consulta_cups/costos?id=25804" TargetMode="External"/><Relationship Id="rId693" Type="http://schemas.openxmlformats.org/officeDocument/2006/relationships/hyperlink" Target="https://tupiel.darsistemas.com/consulta/36296" TargetMode="External"/><Relationship Id="rId139" Type="http://schemas.openxmlformats.org/officeDocument/2006/relationships/hyperlink" Target="https://tupiel.darsistemas.com/consulta/36121" TargetMode="External"/><Relationship Id="rId346" Type="http://schemas.openxmlformats.org/officeDocument/2006/relationships/hyperlink" Target="https://tupiel.darsistemas.com/consulta_cups/costos?id=25248" TargetMode="External"/><Relationship Id="rId553" Type="http://schemas.openxmlformats.org/officeDocument/2006/relationships/hyperlink" Target="https://tupiel.darsistemas.com/consulta/35722" TargetMode="External"/><Relationship Id="rId760" Type="http://schemas.openxmlformats.org/officeDocument/2006/relationships/hyperlink" Target="https://tupiel.darsistemas.com/consulta_cups/costos?id=26342" TargetMode="External"/><Relationship Id="rId998" Type="http://schemas.openxmlformats.org/officeDocument/2006/relationships/hyperlink" Target="https://tupiel.darsistemas.com/consulta_cups/costos?id=20993" TargetMode="External"/><Relationship Id="rId1183" Type="http://schemas.openxmlformats.org/officeDocument/2006/relationships/hyperlink" Target="https://tupiel.darsistemas.com/consulta/25978" TargetMode="External"/><Relationship Id="rId1390" Type="http://schemas.openxmlformats.org/officeDocument/2006/relationships/hyperlink" Target="https://tupiel.darsistemas.com/consulta_cups/costos?id=26826" TargetMode="External"/><Relationship Id="rId206" Type="http://schemas.openxmlformats.org/officeDocument/2006/relationships/hyperlink" Target="https://tupiel.darsistemas.com/consulta_cups/costos?id=26026" TargetMode="External"/><Relationship Id="rId413" Type="http://schemas.openxmlformats.org/officeDocument/2006/relationships/hyperlink" Target="https://tupiel.darsistemas.com/consulta/35800" TargetMode="External"/><Relationship Id="rId858" Type="http://schemas.openxmlformats.org/officeDocument/2006/relationships/hyperlink" Target="https://tupiel.darsistemas.com/consulta_cups/costos?id=26373" TargetMode="External"/><Relationship Id="rId1043" Type="http://schemas.openxmlformats.org/officeDocument/2006/relationships/hyperlink" Target="https://tupiel.darsistemas.com/consulta/36034" TargetMode="External"/><Relationship Id="rId1488" Type="http://schemas.openxmlformats.org/officeDocument/2006/relationships/hyperlink" Target="https://tupiel.darsistemas.com/consulta_cups/costos?id=18564" TargetMode="External"/><Relationship Id="rId1695" Type="http://schemas.openxmlformats.org/officeDocument/2006/relationships/hyperlink" Target="https://tupiel.darsistemas.com/consulta/36515" TargetMode="External"/><Relationship Id="rId620" Type="http://schemas.openxmlformats.org/officeDocument/2006/relationships/hyperlink" Target="https://tupiel.darsistemas.com/consulta_cups/costos?id=25941" TargetMode="External"/><Relationship Id="rId718" Type="http://schemas.openxmlformats.org/officeDocument/2006/relationships/hyperlink" Target="https://tupiel.darsistemas.com/consulta_cups/costos?id=25825" TargetMode="External"/><Relationship Id="rId925" Type="http://schemas.openxmlformats.org/officeDocument/2006/relationships/hyperlink" Target="https://tupiel.darsistemas.com/consulta/28018" TargetMode="External"/><Relationship Id="rId1250" Type="http://schemas.openxmlformats.org/officeDocument/2006/relationships/hyperlink" Target="https://tupiel.darsistemas.com/consulta_cups/costos?id=26663" TargetMode="External"/><Relationship Id="rId1348" Type="http://schemas.openxmlformats.org/officeDocument/2006/relationships/hyperlink" Target="https://tupiel.darsistemas.com/consulta_cups/costos?id=26388" TargetMode="External"/><Relationship Id="rId1555" Type="http://schemas.openxmlformats.org/officeDocument/2006/relationships/hyperlink" Target="https://tupiel.darsistemas.com/consulta/31626" TargetMode="External"/><Relationship Id="rId1110" Type="http://schemas.openxmlformats.org/officeDocument/2006/relationships/hyperlink" Target="https://tupiel.darsistemas.com/consulta_cups/costos?id=25683" TargetMode="External"/><Relationship Id="rId1208" Type="http://schemas.openxmlformats.org/officeDocument/2006/relationships/hyperlink" Target="https://tupiel.darsistemas.com/consulta_cups/costos?id=26348" TargetMode="External"/><Relationship Id="rId1415" Type="http://schemas.openxmlformats.org/officeDocument/2006/relationships/hyperlink" Target="https://tupiel.darsistemas.com/consulta/36519" TargetMode="External"/><Relationship Id="rId54" Type="http://schemas.openxmlformats.org/officeDocument/2006/relationships/hyperlink" Target="https://tupiel.darsistemas.com/consulta_cups/costos?id=25407" TargetMode="External"/><Relationship Id="rId1622" Type="http://schemas.openxmlformats.org/officeDocument/2006/relationships/hyperlink" Target="https://tupiel.darsistemas.com/consulta_cups/costos?id=25594" TargetMode="External"/><Relationship Id="rId270" Type="http://schemas.openxmlformats.org/officeDocument/2006/relationships/hyperlink" Target="https://tupiel.darsistemas.com/consulta_cups/costos?id=26000" TargetMode="External"/><Relationship Id="rId130" Type="http://schemas.openxmlformats.org/officeDocument/2006/relationships/hyperlink" Target="https://tupiel.darsistemas.com/consulta_cups/costos?id=25847" TargetMode="External"/><Relationship Id="rId368" Type="http://schemas.openxmlformats.org/officeDocument/2006/relationships/hyperlink" Target="https://tupiel.darsistemas.com/consulta_cups/costos?id=21403" TargetMode="External"/><Relationship Id="rId575" Type="http://schemas.openxmlformats.org/officeDocument/2006/relationships/hyperlink" Target="https://tupiel.darsistemas.com/consulta/32917" TargetMode="External"/><Relationship Id="rId782" Type="http://schemas.openxmlformats.org/officeDocument/2006/relationships/hyperlink" Target="https://tupiel.darsistemas.com/consulta_cups/costos?id=26352" TargetMode="External"/><Relationship Id="rId228" Type="http://schemas.openxmlformats.org/officeDocument/2006/relationships/hyperlink" Target="https://tupiel.darsistemas.com/consulta_cups/costos?id=25987" TargetMode="External"/><Relationship Id="rId435" Type="http://schemas.openxmlformats.org/officeDocument/2006/relationships/hyperlink" Target="https://tupiel.darsistemas.com/consulta/33482" TargetMode="External"/><Relationship Id="rId642" Type="http://schemas.openxmlformats.org/officeDocument/2006/relationships/hyperlink" Target="https://tupiel.darsistemas.com/consulta_cups/costos?id=26344" TargetMode="External"/><Relationship Id="rId1065" Type="http://schemas.openxmlformats.org/officeDocument/2006/relationships/hyperlink" Target="https://tupiel.darsistemas.com/consulta/36483" TargetMode="External"/><Relationship Id="rId1272" Type="http://schemas.openxmlformats.org/officeDocument/2006/relationships/hyperlink" Target="https://tupiel.darsistemas.com/consulta_cups/costos?id=18673" TargetMode="External"/><Relationship Id="rId502" Type="http://schemas.openxmlformats.org/officeDocument/2006/relationships/hyperlink" Target="https://tupiel.darsistemas.com/consulta_cups/costos?id=25007" TargetMode="External"/><Relationship Id="rId947" Type="http://schemas.openxmlformats.org/officeDocument/2006/relationships/hyperlink" Target="https://tupiel.darsistemas.com/consulta/36017" TargetMode="External"/><Relationship Id="rId1132" Type="http://schemas.openxmlformats.org/officeDocument/2006/relationships/hyperlink" Target="https://tupiel.darsistemas.com/consulta_cups/costos?id=26500" TargetMode="External"/><Relationship Id="rId1577" Type="http://schemas.openxmlformats.org/officeDocument/2006/relationships/hyperlink" Target="https://tupiel.darsistemas.com/consulta/34704" TargetMode="External"/><Relationship Id="rId76" Type="http://schemas.openxmlformats.org/officeDocument/2006/relationships/hyperlink" Target="https://tupiel.darsistemas.com/consulta_cups/costos?id=25781" TargetMode="External"/><Relationship Id="rId807" Type="http://schemas.openxmlformats.org/officeDocument/2006/relationships/hyperlink" Target="https://tupiel.darsistemas.com/consulta/36294" TargetMode="External"/><Relationship Id="rId1437" Type="http://schemas.openxmlformats.org/officeDocument/2006/relationships/hyperlink" Target="https://tupiel.darsistemas.com/consulta/35662" TargetMode="External"/><Relationship Id="rId1644" Type="http://schemas.openxmlformats.org/officeDocument/2006/relationships/hyperlink" Target="https://tupiel.darsistemas.com/consulta_cups/costos?id=25908" TargetMode="External"/><Relationship Id="rId1504" Type="http://schemas.openxmlformats.org/officeDocument/2006/relationships/hyperlink" Target="https://tupiel.darsistemas.com/consulta_cups/costos?id=25480" TargetMode="External"/><Relationship Id="rId292" Type="http://schemas.openxmlformats.org/officeDocument/2006/relationships/hyperlink" Target="https://tupiel.darsistemas.com/consulta_cups/costos?id=24853" TargetMode="External"/><Relationship Id="rId597" Type="http://schemas.openxmlformats.org/officeDocument/2006/relationships/hyperlink" Target="https://tupiel.darsistemas.com/consulta/36328" TargetMode="External"/><Relationship Id="rId152" Type="http://schemas.openxmlformats.org/officeDocument/2006/relationships/hyperlink" Target="https://tupiel.darsistemas.com/consulta_cups/costos?id=25085" TargetMode="External"/><Relationship Id="rId457" Type="http://schemas.openxmlformats.org/officeDocument/2006/relationships/hyperlink" Target="https://tupiel.darsistemas.com/consulta/35815" TargetMode="External"/><Relationship Id="rId1087" Type="http://schemas.openxmlformats.org/officeDocument/2006/relationships/hyperlink" Target="https://tupiel.darsistemas.com/consulta/32408" TargetMode="External"/><Relationship Id="rId1294" Type="http://schemas.openxmlformats.org/officeDocument/2006/relationships/hyperlink" Target="https://tupiel.darsistemas.com/consulta_cups/costos?id=26761" TargetMode="External"/><Relationship Id="rId664" Type="http://schemas.openxmlformats.org/officeDocument/2006/relationships/hyperlink" Target="https://tupiel.darsistemas.com/consulta_cups/costos?id=26324" TargetMode="External"/><Relationship Id="rId871" Type="http://schemas.openxmlformats.org/officeDocument/2006/relationships/hyperlink" Target="https://tupiel.darsistemas.com/consulta/36345" TargetMode="External"/><Relationship Id="rId969" Type="http://schemas.openxmlformats.org/officeDocument/2006/relationships/hyperlink" Target="https://tupiel.darsistemas.com/consulta/32108" TargetMode="External"/><Relationship Id="rId1599" Type="http://schemas.openxmlformats.org/officeDocument/2006/relationships/hyperlink" Target="https://tupiel.darsistemas.com/consulta/35592" TargetMode="External"/><Relationship Id="rId317" Type="http://schemas.openxmlformats.org/officeDocument/2006/relationships/hyperlink" Target="https://tupiel.darsistemas.com/consulta/28241" TargetMode="External"/><Relationship Id="rId524" Type="http://schemas.openxmlformats.org/officeDocument/2006/relationships/hyperlink" Target="https://tupiel.darsistemas.com/consulta_cups/costos?id=26170" TargetMode="External"/><Relationship Id="rId731" Type="http://schemas.openxmlformats.org/officeDocument/2006/relationships/hyperlink" Target="https://tupiel.darsistemas.com/consulta/33292" TargetMode="External"/><Relationship Id="rId1154" Type="http://schemas.openxmlformats.org/officeDocument/2006/relationships/hyperlink" Target="https://tupiel.darsistemas.com/consulta_cups/costos?id=25017" TargetMode="External"/><Relationship Id="rId1361" Type="http://schemas.openxmlformats.org/officeDocument/2006/relationships/hyperlink" Target="https://tupiel.darsistemas.com/consulta/36569" TargetMode="External"/><Relationship Id="rId1459" Type="http://schemas.openxmlformats.org/officeDocument/2006/relationships/hyperlink" Target="https://tupiel.darsistemas.com/consulta/21825" TargetMode="External"/><Relationship Id="rId98" Type="http://schemas.openxmlformats.org/officeDocument/2006/relationships/hyperlink" Target="https://tupiel.darsistemas.com/consulta_cups/costos?id=25878" TargetMode="External"/><Relationship Id="rId829" Type="http://schemas.openxmlformats.org/officeDocument/2006/relationships/hyperlink" Target="https://tupiel.darsistemas.com/consulta/34602" TargetMode="External"/><Relationship Id="rId1014" Type="http://schemas.openxmlformats.org/officeDocument/2006/relationships/hyperlink" Target="https://tupiel.darsistemas.com/consulta_cups/costos?id=26570" TargetMode="External"/><Relationship Id="rId1221" Type="http://schemas.openxmlformats.org/officeDocument/2006/relationships/hyperlink" Target="https://tupiel.darsistemas.com/consulta/36400" TargetMode="External"/><Relationship Id="rId1666" Type="http://schemas.openxmlformats.org/officeDocument/2006/relationships/hyperlink" Target="https://tupiel.darsistemas.com/consulta_cups/costos?id=26359" TargetMode="External"/><Relationship Id="rId1319" Type="http://schemas.openxmlformats.org/officeDocument/2006/relationships/hyperlink" Target="https://tupiel.darsistemas.com/consulta/22200" TargetMode="External"/><Relationship Id="rId1526" Type="http://schemas.openxmlformats.org/officeDocument/2006/relationships/hyperlink" Target="https://tupiel.darsistemas.com/consulta_cups/costos?id=26010" TargetMode="External"/><Relationship Id="rId25" Type="http://schemas.openxmlformats.org/officeDocument/2006/relationships/hyperlink" Target="https://tupiel.darsistemas.com/consulta/34589" TargetMode="External"/><Relationship Id="rId174" Type="http://schemas.openxmlformats.org/officeDocument/2006/relationships/hyperlink" Target="https://tupiel.darsistemas.com/consulta_cups/costos?id=25696" TargetMode="External"/><Relationship Id="rId381" Type="http://schemas.openxmlformats.org/officeDocument/2006/relationships/hyperlink" Target="https://tupiel.darsistemas.com/consulta/36007" TargetMode="External"/><Relationship Id="rId241" Type="http://schemas.openxmlformats.org/officeDocument/2006/relationships/hyperlink" Target="https://tupiel.darsistemas.com/consulta/33334" TargetMode="External"/><Relationship Id="rId479" Type="http://schemas.openxmlformats.org/officeDocument/2006/relationships/hyperlink" Target="https://tupiel.darsistemas.com/consulta/35335" TargetMode="External"/><Relationship Id="rId686" Type="http://schemas.openxmlformats.org/officeDocument/2006/relationships/hyperlink" Target="https://tupiel.darsistemas.com/consulta_cups/costos?id=26248" TargetMode="External"/><Relationship Id="rId893" Type="http://schemas.openxmlformats.org/officeDocument/2006/relationships/hyperlink" Target="https://tupiel.darsistemas.com/consulta/34879" TargetMode="External"/><Relationship Id="rId339" Type="http://schemas.openxmlformats.org/officeDocument/2006/relationships/hyperlink" Target="https://tupiel.darsistemas.com/consulta/36214" TargetMode="External"/><Relationship Id="rId546" Type="http://schemas.openxmlformats.org/officeDocument/2006/relationships/hyperlink" Target="https://tupiel.darsistemas.com/consulta_cups/costos?id=25321" TargetMode="External"/><Relationship Id="rId753" Type="http://schemas.openxmlformats.org/officeDocument/2006/relationships/hyperlink" Target="https://tupiel.darsistemas.com/consulta/36072" TargetMode="External"/><Relationship Id="rId1176" Type="http://schemas.openxmlformats.org/officeDocument/2006/relationships/hyperlink" Target="https://tupiel.darsistemas.com/consulta_cups/costos?id=24813" TargetMode="External"/><Relationship Id="rId1383" Type="http://schemas.openxmlformats.org/officeDocument/2006/relationships/hyperlink" Target="https://tupiel.darsistemas.com/consulta/35907" TargetMode="External"/><Relationship Id="rId101" Type="http://schemas.openxmlformats.org/officeDocument/2006/relationships/hyperlink" Target="https://tupiel.darsistemas.com/consulta/35708" TargetMode="External"/><Relationship Id="rId406" Type="http://schemas.openxmlformats.org/officeDocument/2006/relationships/hyperlink" Target="https://tupiel.darsistemas.com/consulta_cups/costos?id=24411" TargetMode="External"/><Relationship Id="rId960" Type="http://schemas.openxmlformats.org/officeDocument/2006/relationships/hyperlink" Target="https://tupiel.darsistemas.com/consulta_cups/costos?id=25714" TargetMode="External"/><Relationship Id="rId1036" Type="http://schemas.openxmlformats.org/officeDocument/2006/relationships/hyperlink" Target="https://tupiel.darsistemas.com/consulta_cups/costos?id=26337" TargetMode="External"/><Relationship Id="rId1243" Type="http://schemas.openxmlformats.org/officeDocument/2006/relationships/hyperlink" Target="https://tupiel.darsistemas.com/consulta/36557" TargetMode="External"/><Relationship Id="rId1590" Type="http://schemas.openxmlformats.org/officeDocument/2006/relationships/hyperlink" Target="https://tupiel.darsistemas.com/consulta_cups/costos?id=26053" TargetMode="External"/><Relationship Id="rId1688" Type="http://schemas.openxmlformats.org/officeDocument/2006/relationships/hyperlink" Target="https://tupiel.darsistemas.com/consulta_cups/costos?id=26552" TargetMode="External"/><Relationship Id="rId613" Type="http://schemas.openxmlformats.org/officeDocument/2006/relationships/hyperlink" Target="https://tupiel.darsistemas.com/consulta/34580" TargetMode="External"/><Relationship Id="rId820" Type="http://schemas.openxmlformats.org/officeDocument/2006/relationships/hyperlink" Target="https://tupiel.darsistemas.com/consulta_cups/costos?id=26263" TargetMode="External"/><Relationship Id="rId918" Type="http://schemas.openxmlformats.org/officeDocument/2006/relationships/hyperlink" Target="https://tupiel.darsistemas.com/consulta_cups/costos?id=25858" TargetMode="External"/><Relationship Id="rId1450" Type="http://schemas.openxmlformats.org/officeDocument/2006/relationships/hyperlink" Target="https://tupiel.darsistemas.com/consulta_cups/costos?id=26727" TargetMode="External"/><Relationship Id="rId1548" Type="http://schemas.openxmlformats.org/officeDocument/2006/relationships/hyperlink" Target="https://tupiel.darsistemas.com/consulta_cups/costos?id=25944" TargetMode="External"/><Relationship Id="rId1103" Type="http://schemas.openxmlformats.org/officeDocument/2006/relationships/hyperlink" Target="https://tupiel.darsistemas.com/consulta/35668" TargetMode="External"/><Relationship Id="rId1310" Type="http://schemas.openxmlformats.org/officeDocument/2006/relationships/hyperlink" Target="https://tupiel.darsistemas.com/consulta_cups/costos?id=24375" TargetMode="External"/><Relationship Id="rId1408" Type="http://schemas.openxmlformats.org/officeDocument/2006/relationships/hyperlink" Target="https://tupiel.darsistemas.com/consulta_cups/costos?id=26849" TargetMode="External"/><Relationship Id="rId47" Type="http://schemas.openxmlformats.org/officeDocument/2006/relationships/hyperlink" Target="https://tupiel.darsistemas.com/consulta/36058" TargetMode="External"/><Relationship Id="rId1615" Type="http://schemas.openxmlformats.org/officeDocument/2006/relationships/hyperlink" Target="https://tupiel.darsistemas.com/consulta/35893" TargetMode="External"/><Relationship Id="rId196" Type="http://schemas.openxmlformats.org/officeDocument/2006/relationships/hyperlink" Target="https://tupiel.darsistemas.com/consulta_cups/costos?id=25984" TargetMode="External"/><Relationship Id="rId263" Type="http://schemas.openxmlformats.org/officeDocument/2006/relationships/hyperlink" Target="https://tupiel.darsistemas.com/consulta/32829" TargetMode="External"/><Relationship Id="rId470" Type="http://schemas.openxmlformats.org/officeDocument/2006/relationships/hyperlink" Target="https://tupiel.darsistemas.com/consulta_cups/costos?id=25302" TargetMode="External"/><Relationship Id="rId123" Type="http://schemas.openxmlformats.org/officeDocument/2006/relationships/hyperlink" Target="https://tupiel.darsistemas.com/consulta/23794" TargetMode="External"/><Relationship Id="rId330" Type="http://schemas.openxmlformats.org/officeDocument/2006/relationships/hyperlink" Target="https://tupiel.darsistemas.com/consulta_cups/costos?id=23893" TargetMode="External"/><Relationship Id="rId568" Type="http://schemas.openxmlformats.org/officeDocument/2006/relationships/hyperlink" Target="https://tupiel.darsistemas.com/consulta_cups/costos?id=26298" TargetMode="External"/><Relationship Id="rId775" Type="http://schemas.openxmlformats.org/officeDocument/2006/relationships/hyperlink" Target="https://tupiel.darsistemas.com/consulta/36378" TargetMode="External"/><Relationship Id="rId982" Type="http://schemas.openxmlformats.org/officeDocument/2006/relationships/hyperlink" Target="https://tupiel.darsistemas.com/consulta_cups/costos?id=25126" TargetMode="External"/><Relationship Id="rId1198" Type="http://schemas.openxmlformats.org/officeDocument/2006/relationships/hyperlink" Target="https://tupiel.darsistemas.com/consulta_cups/costos?id=26719" TargetMode="External"/><Relationship Id="rId428" Type="http://schemas.openxmlformats.org/officeDocument/2006/relationships/hyperlink" Target="https://tupiel.darsistemas.com/consulta_cups/costos?id=24032" TargetMode="External"/><Relationship Id="rId635" Type="http://schemas.openxmlformats.org/officeDocument/2006/relationships/hyperlink" Target="https://tupiel.darsistemas.com/consulta/35994" TargetMode="External"/><Relationship Id="rId842" Type="http://schemas.openxmlformats.org/officeDocument/2006/relationships/hyperlink" Target="https://tupiel.darsistemas.com/consulta_cups/costos?id=22842" TargetMode="External"/><Relationship Id="rId1058" Type="http://schemas.openxmlformats.org/officeDocument/2006/relationships/hyperlink" Target="https://tupiel.darsistemas.com/consulta_cups/costos?id=26584" TargetMode="External"/><Relationship Id="rId1265" Type="http://schemas.openxmlformats.org/officeDocument/2006/relationships/hyperlink" Target="https://tupiel.darsistemas.com/consulta/35748" TargetMode="External"/><Relationship Id="rId1472" Type="http://schemas.openxmlformats.org/officeDocument/2006/relationships/hyperlink" Target="https://tupiel.darsistemas.com/consulta_cups/costos?id=26751" TargetMode="External"/><Relationship Id="rId702" Type="http://schemas.openxmlformats.org/officeDocument/2006/relationships/hyperlink" Target="https://tupiel.darsistemas.com/consulta_cups/costos?id=25957" TargetMode="External"/><Relationship Id="rId1125" Type="http://schemas.openxmlformats.org/officeDocument/2006/relationships/hyperlink" Target="https://tupiel.darsistemas.com/consulta/36366" TargetMode="External"/><Relationship Id="rId1332" Type="http://schemas.openxmlformats.org/officeDocument/2006/relationships/hyperlink" Target="https://tupiel.darsistemas.com/consulta_cups/costos?id=25054" TargetMode="External"/><Relationship Id="rId69" Type="http://schemas.openxmlformats.org/officeDocument/2006/relationships/hyperlink" Target="https://tupiel.darsistemas.com/consulta/35708" TargetMode="External"/><Relationship Id="rId1637" Type="http://schemas.openxmlformats.org/officeDocument/2006/relationships/hyperlink" Target="https://tupiel.darsistemas.com/consulta/36105" TargetMode="External"/><Relationship Id="rId285" Type="http://schemas.openxmlformats.org/officeDocument/2006/relationships/hyperlink" Target="https://tupiel.darsistemas.com/consulta/31963" TargetMode="External"/><Relationship Id="rId492" Type="http://schemas.openxmlformats.org/officeDocument/2006/relationships/hyperlink" Target="https://tupiel.darsistemas.com/consulta_cups/costos?id=26034" TargetMode="External"/><Relationship Id="rId797" Type="http://schemas.openxmlformats.org/officeDocument/2006/relationships/hyperlink" Target="https://tupiel.darsistemas.com/consulta/35507" TargetMode="External"/><Relationship Id="rId145" Type="http://schemas.openxmlformats.org/officeDocument/2006/relationships/hyperlink" Target="https://tupiel.darsistemas.com/consulta/36118" TargetMode="External"/><Relationship Id="rId352" Type="http://schemas.openxmlformats.org/officeDocument/2006/relationships/hyperlink" Target="https://tupiel.darsistemas.com/consulta_cups/costos?id=26104" TargetMode="External"/><Relationship Id="rId1287" Type="http://schemas.openxmlformats.org/officeDocument/2006/relationships/hyperlink" Target="https://tupiel.darsistemas.com/consulta/36553" TargetMode="External"/><Relationship Id="rId212" Type="http://schemas.openxmlformats.org/officeDocument/2006/relationships/hyperlink" Target="https://tupiel.darsistemas.com/consulta_cups/costos?id=24224" TargetMode="External"/><Relationship Id="rId657" Type="http://schemas.openxmlformats.org/officeDocument/2006/relationships/hyperlink" Target="https://tupiel.darsistemas.com/consulta/33996" TargetMode="External"/><Relationship Id="rId864" Type="http://schemas.openxmlformats.org/officeDocument/2006/relationships/hyperlink" Target="https://tupiel.darsistemas.com/consulta_cups/costos?id=26483" TargetMode="External"/><Relationship Id="rId1494" Type="http://schemas.openxmlformats.org/officeDocument/2006/relationships/hyperlink" Target="https://tupiel.darsistemas.com/consulta_cups/costos?id=21538" TargetMode="External"/><Relationship Id="rId517" Type="http://schemas.openxmlformats.org/officeDocument/2006/relationships/hyperlink" Target="https://tupiel.darsistemas.com/consulta/36131" TargetMode="External"/><Relationship Id="rId724" Type="http://schemas.openxmlformats.org/officeDocument/2006/relationships/hyperlink" Target="https://tupiel.darsistemas.com/consulta_cups/costos?id=25644" TargetMode="External"/><Relationship Id="rId931" Type="http://schemas.openxmlformats.org/officeDocument/2006/relationships/hyperlink" Target="https://tupiel.darsistemas.com/consulta/36087" TargetMode="External"/><Relationship Id="rId1147" Type="http://schemas.openxmlformats.org/officeDocument/2006/relationships/hyperlink" Target="https://tupiel.darsistemas.com/consulta/35575" TargetMode="External"/><Relationship Id="rId1354" Type="http://schemas.openxmlformats.org/officeDocument/2006/relationships/hyperlink" Target="https://tupiel.darsistemas.com/consulta_cups/costos?id=26786" TargetMode="External"/><Relationship Id="rId1561" Type="http://schemas.openxmlformats.org/officeDocument/2006/relationships/hyperlink" Target="https://tupiel.darsistemas.com/consulta/31801" TargetMode="External"/><Relationship Id="rId60" Type="http://schemas.openxmlformats.org/officeDocument/2006/relationships/hyperlink" Target="https://tupiel.darsistemas.com/consulta_cups/costos?id=25854" TargetMode="External"/><Relationship Id="rId1007" Type="http://schemas.openxmlformats.org/officeDocument/2006/relationships/hyperlink" Target="https://tupiel.darsistemas.com/consulta/36474" TargetMode="External"/><Relationship Id="rId1214" Type="http://schemas.openxmlformats.org/officeDocument/2006/relationships/hyperlink" Target="https://tupiel.darsistemas.com/consulta_cups/costos?id=25140" TargetMode="External"/><Relationship Id="rId1421" Type="http://schemas.openxmlformats.org/officeDocument/2006/relationships/hyperlink" Target="https://tupiel.darsistemas.com/consulta/35223" TargetMode="External"/><Relationship Id="rId1659" Type="http://schemas.openxmlformats.org/officeDocument/2006/relationships/hyperlink" Target="https://tupiel.darsistemas.com/consulta/36295" TargetMode="External"/><Relationship Id="rId1519" Type="http://schemas.openxmlformats.org/officeDocument/2006/relationships/hyperlink" Target="https://tupiel.darsistemas.com/consulta/27214" TargetMode="External"/><Relationship Id="rId18" Type="http://schemas.openxmlformats.org/officeDocument/2006/relationships/hyperlink" Target="https://tupiel.darsistemas.com/consulta_cups/costos?id=25736" TargetMode="External"/><Relationship Id="rId167" Type="http://schemas.openxmlformats.org/officeDocument/2006/relationships/hyperlink" Target="https://tupiel.darsistemas.com/consulta/35001" TargetMode="External"/><Relationship Id="rId374" Type="http://schemas.openxmlformats.org/officeDocument/2006/relationships/hyperlink" Target="https://tupiel.darsistemas.com/consulta_cups/costos?id=25871" TargetMode="External"/><Relationship Id="rId581" Type="http://schemas.openxmlformats.org/officeDocument/2006/relationships/hyperlink" Target="https://tupiel.darsistemas.com/consulta/32184" TargetMode="External"/><Relationship Id="rId234" Type="http://schemas.openxmlformats.org/officeDocument/2006/relationships/hyperlink" Target="https://tupiel.darsistemas.com/consulta_cups/costos?id=25930" TargetMode="External"/><Relationship Id="rId679" Type="http://schemas.openxmlformats.org/officeDocument/2006/relationships/hyperlink" Target="https://tupiel.darsistemas.com/consulta/36329" TargetMode="External"/><Relationship Id="rId886" Type="http://schemas.openxmlformats.org/officeDocument/2006/relationships/hyperlink" Target="https://tupiel.darsistemas.com/consulta_cups/costos?id=26357" TargetMode="External"/><Relationship Id="rId2" Type="http://schemas.openxmlformats.org/officeDocument/2006/relationships/hyperlink" Target="https://tupiel.darsistemas.com/consulta_cups/costos?id=23972" TargetMode="External"/><Relationship Id="rId441" Type="http://schemas.openxmlformats.org/officeDocument/2006/relationships/hyperlink" Target="https://tupiel.darsistemas.com/consulta/23121" TargetMode="External"/><Relationship Id="rId539" Type="http://schemas.openxmlformats.org/officeDocument/2006/relationships/hyperlink" Target="https://tupiel.darsistemas.com/consulta/36280" TargetMode="External"/><Relationship Id="rId746" Type="http://schemas.openxmlformats.org/officeDocument/2006/relationships/hyperlink" Target="https://tupiel.darsistemas.com/consulta_cups/costos?id=26165" TargetMode="External"/><Relationship Id="rId1071" Type="http://schemas.openxmlformats.org/officeDocument/2006/relationships/hyperlink" Target="https://tupiel.darsistemas.com/consulta/35984" TargetMode="External"/><Relationship Id="rId1169" Type="http://schemas.openxmlformats.org/officeDocument/2006/relationships/hyperlink" Target="https://tupiel.darsistemas.com/consulta/36057" TargetMode="External"/><Relationship Id="rId1376" Type="http://schemas.openxmlformats.org/officeDocument/2006/relationships/hyperlink" Target="https://tupiel.darsistemas.com/consulta_cups/costos?id=26823" TargetMode="External"/><Relationship Id="rId1583" Type="http://schemas.openxmlformats.org/officeDocument/2006/relationships/hyperlink" Target="https://tupiel.darsistemas.com/consulta/34846" TargetMode="External"/><Relationship Id="rId301" Type="http://schemas.openxmlformats.org/officeDocument/2006/relationships/hyperlink" Target="https://tupiel.darsistemas.com/consulta/36221" TargetMode="External"/><Relationship Id="rId953" Type="http://schemas.openxmlformats.org/officeDocument/2006/relationships/hyperlink" Target="https://tupiel.darsistemas.com/consulta/32251" TargetMode="External"/><Relationship Id="rId1029" Type="http://schemas.openxmlformats.org/officeDocument/2006/relationships/hyperlink" Target="https://tupiel.darsistemas.com/consulta/35581" TargetMode="External"/><Relationship Id="rId1236" Type="http://schemas.openxmlformats.org/officeDocument/2006/relationships/hyperlink" Target="https://tupiel.darsistemas.com/consulta_cups/costos?id=26690" TargetMode="External"/><Relationship Id="rId82" Type="http://schemas.openxmlformats.org/officeDocument/2006/relationships/hyperlink" Target="https://tupiel.darsistemas.com/consulta_cups/costos?id=25826" TargetMode="External"/><Relationship Id="rId606" Type="http://schemas.openxmlformats.org/officeDocument/2006/relationships/hyperlink" Target="https://tupiel.darsistemas.com/consulta_cups/costos?id=26304" TargetMode="External"/><Relationship Id="rId813" Type="http://schemas.openxmlformats.org/officeDocument/2006/relationships/hyperlink" Target="https://tupiel.darsistemas.com/consulta/36356" TargetMode="External"/><Relationship Id="rId1443" Type="http://schemas.openxmlformats.org/officeDocument/2006/relationships/hyperlink" Target="https://tupiel.darsistemas.com/consulta/20604" TargetMode="External"/><Relationship Id="rId1650" Type="http://schemas.openxmlformats.org/officeDocument/2006/relationships/hyperlink" Target="https://tupiel.darsistemas.com/consulta_cups/costos?id=26024" TargetMode="External"/><Relationship Id="rId1303" Type="http://schemas.openxmlformats.org/officeDocument/2006/relationships/hyperlink" Target="https://tupiel.darsistemas.com/consulta/36556" TargetMode="External"/><Relationship Id="rId1510" Type="http://schemas.openxmlformats.org/officeDocument/2006/relationships/hyperlink" Target="https://tupiel.darsistemas.com/consulta_cups/costos?id=26656" TargetMode="External"/><Relationship Id="rId1608" Type="http://schemas.openxmlformats.org/officeDocument/2006/relationships/hyperlink" Target="https://tupiel.darsistemas.com/consulta_cups/costos?id=26379" TargetMode="External"/><Relationship Id="rId189" Type="http://schemas.openxmlformats.org/officeDocument/2006/relationships/hyperlink" Target="https://tupiel.darsistemas.com/consulta/34511" TargetMode="External"/><Relationship Id="rId396" Type="http://schemas.openxmlformats.org/officeDocument/2006/relationships/hyperlink" Target="https://tupiel.darsistemas.com/consulta_cups/costos?id=26083" TargetMode="External"/><Relationship Id="rId256" Type="http://schemas.openxmlformats.org/officeDocument/2006/relationships/hyperlink" Target="https://tupiel.darsistemas.com/consulta_cups/costos?id=26075" TargetMode="External"/><Relationship Id="rId463" Type="http://schemas.openxmlformats.org/officeDocument/2006/relationships/hyperlink" Target="https://tupiel.darsistemas.com/consulta/35969" TargetMode="External"/><Relationship Id="rId670" Type="http://schemas.openxmlformats.org/officeDocument/2006/relationships/hyperlink" Target="https://tupiel.darsistemas.com/consulta_cups/costos?id=26214" TargetMode="External"/><Relationship Id="rId1093" Type="http://schemas.openxmlformats.org/officeDocument/2006/relationships/hyperlink" Target="https://tupiel.darsistemas.com/consulta/32408" TargetMode="External"/><Relationship Id="rId116" Type="http://schemas.openxmlformats.org/officeDocument/2006/relationships/hyperlink" Target="https://tupiel.darsistemas.com/consulta_cups/costos?id=24427" TargetMode="External"/><Relationship Id="rId323" Type="http://schemas.openxmlformats.org/officeDocument/2006/relationships/hyperlink" Target="https://tupiel.darsistemas.com/consulta/34071" TargetMode="External"/><Relationship Id="rId530" Type="http://schemas.openxmlformats.org/officeDocument/2006/relationships/hyperlink" Target="https://tupiel.darsistemas.com/consulta_cups/costos?id=26167" TargetMode="External"/><Relationship Id="rId768" Type="http://schemas.openxmlformats.org/officeDocument/2006/relationships/hyperlink" Target="https://tupiel.darsistemas.com/consulta_cups/costos?id=26177" TargetMode="External"/><Relationship Id="rId975" Type="http://schemas.openxmlformats.org/officeDocument/2006/relationships/hyperlink" Target="https://tupiel.darsistemas.com/consulta/33922" TargetMode="External"/><Relationship Id="rId1160" Type="http://schemas.openxmlformats.org/officeDocument/2006/relationships/hyperlink" Target="https://tupiel.darsistemas.com/consulta_cups/costos?id=26627" TargetMode="External"/><Relationship Id="rId1398" Type="http://schemas.openxmlformats.org/officeDocument/2006/relationships/hyperlink" Target="https://tupiel.darsistemas.com/consulta_cups/costos?id=26721" TargetMode="External"/><Relationship Id="rId628" Type="http://schemas.openxmlformats.org/officeDocument/2006/relationships/hyperlink" Target="https://tupiel.darsistemas.com/consulta_cups/costos?id=26346" TargetMode="External"/><Relationship Id="rId835" Type="http://schemas.openxmlformats.org/officeDocument/2006/relationships/hyperlink" Target="https://tupiel.darsistemas.com/consulta/36418" TargetMode="External"/><Relationship Id="rId1258" Type="http://schemas.openxmlformats.org/officeDocument/2006/relationships/hyperlink" Target="https://tupiel.darsistemas.com/consulta_cups/costos?id=26712" TargetMode="External"/><Relationship Id="rId1465" Type="http://schemas.openxmlformats.org/officeDocument/2006/relationships/hyperlink" Target="https://tupiel.darsistemas.com/consulta/22427" TargetMode="External"/><Relationship Id="rId1672" Type="http://schemas.openxmlformats.org/officeDocument/2006/relationships/hyperlink" Target="https://tupiel.darsistemas.com/consulta_cups/costos?id=26481" TargetMode="External"/><Relationship Id="rId1020" Type="http://schemas.openxmlformats.org/officeDocument/2006/relationships/hyperlink" Target="https://tupiel.darsistemas.com/consulta_cups/costos?id=23539" TargetMode="External"/><Relationship Id="rId1118" Type="http://schemas.openxmlformats.org/officeDocument/2006/relationships/hyperlink" Target="https://tupiel.darsistemas.com/consulta_cups/costos?id=26277" TargetMode="External"/><Relationship Id="rId1325" Type="http://schemas.openxmlformats.org/officeDocument/2006/relationships/hyperlink" Target="https://tupiel.darsistemas.com/consulta/36298" TargetMode="External"/><Relationship Id="rId1532" Type="http://schemas.openxmlformats.org/officeDocument/2006/relationships/hyperlink" Target="https://tupiel.darsistemas.com/consulta_cups/costos?id=26264" TargetMode="External"/><Relationship Id="rId902" Type="http://schemas.openxmlformats.org/officeDocument/2006/relationships/hyperlink" Target="https://tupiel.darsistemas.com/consulta_cups/costos?id=25962" TargetMode="External"/><Relationship Id="rId31" Type="http://schemas.openxmlformats.org/officeDocument/2006/relationships/hyperlink" Target="https://tupiel.darsistemas.com/consulta/36051" TargetMode="External"/><Relationship Id="rId180" Type="http://schemas.openxmlformats.org/officeDocument/2006/relationships/hyperlink" Target="https://tupiel.darsistemas.com/consulta_cups/costos?id=25580" TargetMode="External"/><Relationship Id="rId278" Type="http://schemas.openxmlformats.org/officeDocument/2006/relationships/hyperlink" Target="https://tupiel.darsistemas.com/consulta_cups/costos?id=26027" TargetMode="External"/><Relationship Id="rId485" Type="http://schemas.openxmlformats.org/officeDocument/2006/relationships/hyperlink" Target="https://tupiel.darsistemas.com/consulta/36042" TargetMode="External"/><Relationship Id="rId692" Type="http://schemas.openxmlformats.org/officeDocument/2006/relationships/hyperlink" Target="https://tupiel.darsistemas.com/consulta_cups/costos?id=26259" TargetMode="External"/><Relationship Id="rId138" Type="http://schemas.openxmlformats.org/officeDocument/2006/relationships/hyperlink" Target="https://tupiel.darsistemas.com/consulta_cups/costos?id=25867" TargetMode="External"/><Relationship Id="rId345" Type="http://schemas.openxmlformats.org/officeDocument/2006/relationships/hyperlink" Target="https://tupiel.darsistemas.com/consulta/33393" TargetMode="External"/><Relationship Id="rId552" Type="http://schemas.openxmlformats.org/officeDocument/2006/relationships/hyperlink" Target="https://tupiel.darsistemas.com/consulta_cups/costos?id=25449" TargetMode="External"/><Relationship Id="rId997" Type="http://schemas.openxmlformats.org/officeDocument/2006/relationships/hyperlink" Target="https://tupiel.darsistemas.com/consulta/33003" TargetMode="External"/><Relationship Id="rId1182" Type="http://schemas.openxmlformats.org/officeDocument/2006/relationships/hyperlink" Target="https://tupiel.darsistemas.com/consulta_cups/costos?id=26701" TargetMode="External"/><Relationship Id="rId205" Type="http://schemas.openxmlformats.org/officeDocument/2006/relationships/hyperlink" Target="https://tupiel.darsistemas.com/consulta/36182" TargetMode="External"/><Relationship Id="rId412" Type="http://schemas.openxmlformats.org/officeDocument/2006/relationships/hyperlink" Target="https://tupiel.darsistemas.com/consulta_cups/costos?id=26043" TargetMode="External"/><Relationship Id="rId857" Type="http://schemas.openxmlformats.org/officeDocument/2006/relationships/hyperlink" Target="https://tupiel.darsistemas.com/consulta/36359" TargetMode="External"/><Relationship Id="rId1042" Type="http://schemas.openxmlformats.org/officeDocument/2006/relationships/hyperlink" Target="https://tupiel.darsistemas.com/consulta_cups/costos?id=26273" TargetMode="External"/><Relationship Id="rId1487" Type="http://schemas.openxmlformats.org/officeDocument/2006/relationships/hyperlink" Target="https://tupiel.darsistemas.com/consulta/24971" TargetMode="External"/><Relationship Id="rId1694" Type="http://schemas.openxmlformats.org/officeDocument/2006/relationships/hyperlink" Target="https://tupiel.darsistemas.com/consulta_cups/costos?id=26649" TargetMode="External"/><Relationship Id="rId717" Type="http://schemas.openxmlformats.org/officeDocument/2006/relationships/hyperlink" Target="https://tupiel.darsistemas.com/consulta/36056" TargetMode="External"/><Relationship Id="rId924" Type="http://schemas.openxmlformats.org/officeDocument/2006/relationships/hyperlink" Target="https://tupiel.darsistemas.com/consulta_cups/costos?id=22802" TargetMode="External"/><Relationship Id="rId1347" Type="http://schemas.openxmlformats.org/officeDocument/2006/relationships/hyperlink" Target="https://tupiel.darsistemas.com/consulta/36072" TargetMode="External"/><Relationship Id="rId1554" Type="http://schemas.openxmlformats.org/officeDocument/2006/relationships/hyperlink" Target="https://tupiel.darsistemas.com/consulta_cups/costos?id=18598" TargetMode="External"/><Relationship Id="rId53" Type="http://schemas.openxmlformats.org/officeDocument/2006/relationships/hyperlink" Target="https://tupiel.darsistemas.com/consulta/35497" TargetMode="External"/><Relationship Id="rId1207" Type="http://schemas.openxmlformats.org/officeDocument/2006/relationships/hyperlink" Target="https://tupiel.darsistemas.com/consulta/34006" TargetMode="External"/><Relationship Id="rId1414" Type="http://schemas.openxmlformats.org/officeDocument/2006/relationships/hyperlink" Target="https://tupiel.darsistemas.com/consulta_cups/costos?id=26295" TargetMode="External"/><Relationship Id="rId1621" Type="http://schemas.openxmlformats.org/officeDocument/2006/relationships/hyperlink" Target="https://tupiel.darsistemas.com/consulta/35938" TargetMode="External"/><Relationship Id="rId367" Type="http://schemas.openxmlformats.org/officeDocument/2006/relationships/hyperlink" Target="https://tupiel.darsistemas.com/consulta/32495" TargetMode="External"/><Relationship Id="rId574" Type="http://schemas.openxmlformats.org/officeDocument/2006/relationships/hyperlink" Target="https://tupiel.darsistemas.com/consulta_cups/costos?id=26272" TargetMode="External"/><Relationship Id="rId227" Type="http://schemas.openxmlformats.org/officeDocument/2006/relationships/hyperlink" Target="https://tupiel.darsistemas.com/consulta/36156" TargetMode="External"/><Relationship Id="rId781" Type="http://schemas.openxmlformats.org/officeDocument/2006/relationships/hyperlink" Target="https://tupiel.darsistemas.com/consulta/36346" TargetMode="External"/><Relationship Id="rId879" Type="http://schemas.openxmlformats.org/officeDocument/2006/relationships/hyperlink" Target="https://tupiel.darsistemas.com/consulta/36422" TargetMode="External"/><Relationship Id="rId434" Type="http://schemas.openxmlformats.org/officeDocument/2006/relationships/hyperlink" Target="https://tupiel.darsistemas.com/consulta_cups/costos?id=25840" TargetMode="External"/><Relationship Id="rId641" Type="http://schemas.openxmlformats.org/officeDocument/2006/relationships/hyperlink" Target="https://tupiel.darsistemas.com/consulta/34006" TargetMode="External"/><Relationship Id="rId739" Type="http://schemas.openxmlformats.org/officeDocument/2006/relationships/hyperlink" Target="https://tupiel.darsistemas.com/consulta/36331" TargetMode="External"/><Relationship Id="rId1064" Type="http://schemas.openxmlformats.org/officeDocument/2006/relationships/hyperlink" Target="https://tupiel.darsistemas.com/consulta_cups/costos?id=25574" TargetMode="External"/><Relationship Id="rId1271" Type="http://schemas.openxmlformats.org/officeDocument/2006/relationships/hyperlink" Target="https://tupiel.darsistemas.com/consulta/29504" TargetMode="External"/><Relationship Id="rId1369" Type="http://schemas.openxmlformats.org/officeDocument/2006/relationships/hyperlink" Target="https://tupiel.darsistemas.com/consulta/35176" TargetMode="External"/><Relationship Id="rId1576" Type="http://schemas.openxmlformats.org/officeDocument/2006/relationships/hyperlink" Target="https://tupiel.darsistemas.com/consulta_cups/costos?id=23644" TargetMode="External"/><Relationship Id="rId501" Type="http://schemas.openxmlformats.org/officeDocument/2006/relationships/hyperlink" Target="https://tupiel.darsistemas.com/consulta/31054" TargetMode="External"/><Relationship Id="rId946" Type="http://schemas.openxmlformats.org/officeDocument/2006/relationships/hyperlink" Target="https://tupiel.darsistemas.com/consulta_cups/costos?id=26501" TargetMode="External"/><Relationship Id="rId1131" Type="http://schemas.openxmlformats.org/officeDocument/2006/relationships/hyperlink" Target="https://tupiel.darsistemas.com/consulta/36431" TargetMode="External"/><Relationship Id="rId1229" Type="http://schemas.openxmlformats.org/officeDocument/2006/relationships/hyperlink" Target="https://tupiel.darsistemas.com/consulta/35899" TargetMode="External"/><Relationship Id="rId75" Type="http://schemas.openxmlformats.org/officeDocument/2006/relationships/hyperlink" Target="https://tupiel.darsistemas.com/consulta/36031" TargetMode="External"/><Relationship Id="rId806" Type="http://schemas.openxmlformats.org/officeDocument/2006/relationships/hyperlink" Target="https://tupiel.darsistemas.com/consulta_cups/costos?id=25110" TargetMode="External"/><Relationship Id="rId1436" Type="http://schemas.openxmlformats.org/officeDocument/2006/relationships/hyperlink" Target="https://tupiel.darsistemas.com/consulta_cups/costos?id=26353" TargetMode="External"/><Relationship Id="rId1643" Type="http://schemas.openxmlformats.org/officeDocument/2006/relationships/hyperlink" Target="https://tupiel.darsistemas.com/consulta/36115" TargetMode="External"/><Relationship Id="rId1503" Type="http://schemas.openxmlformats.org/officeDocument/2006/relationships/hyperlink" Target="https://tupiel.darsistemas.com/consulta/26982" TargetMode="External"/><Relationship Id="rId291" Type="http://schemas.openxmlformats.org/officeDocument/2006/relationships/hyperlink" Target="https://tupiel.darsistemas.com/consulta/35520" TargetMode="External"/><Relationship Id="rId151" Type="http://schemas.openxmlformats.org/officeDocument/2006/relationships/hyperlink" Target="https://tupiel.darsistemas.com/consulta/32352" TargetMode="External"/><Relationship Id="rId389" Type="http://schemas.openxmlformats.org/officeDocument/2006/relationships/hyperlink" Target="https://tupiel.darsistemas.com/consulta/36229" TargetMode="External"/><Relationship Id="rId596" Type="http://schemas.openxmlformats.org/officeDocument/2006/relationships/hyperlink" Target="https://tupiel.darsistemas.com/consulta_cups/costos?id=25484" TargetMode="External"/><Relationship Id="rId249" Type="http://schemas.openxmlformats.org/officeDocument/2006/relationships/hyperlink" Target="https://tupiel.darsistemas.com/consulta/33334" TargetMode="External"/><Relationship Id="rId456" Type="http://schemas.openxmlformats.org/officeDocument/2006/relationships/hyperlink" Target="https://tupiel.darsistemas.com/consulta_cups/costos?id=25351" TargetMode="External"/><Relationship Id="rId663" Type="http://schemas.openxmlformats.org/officeDocument/2006/relationships/hyperlink" Target="https://tupiel.darsistemas.com/consulta/36332" TargetMode="External"/><Relationship Id="rId870" Type="http://schemas.openxmlformats.org/officeDocument/2006/relationships/hyperlink" Target="https://tupiel.darsistemas.com/consulta_cups/costos?id=26448" TargetMode="External"/><Relationship Id="rId1086" Type="http://schemas.openxmlformats.org/officeDocument/2006/relationships/hyperlink" Target="https://tupiel.darsistemas.com/consulta_cups/costos?id=26614" TargetMode="External"/><Relationship Id="rId1293" Type="http://schemas.openxmlformats.org/officeDocument/2006/relationships/hyperlink" Target="https://tupiel.darsistemas.com/consulta/36572" TargetMode="External"/><Relationship Id="rId109" Type="http://schemas.openxmlformats.org/officeDocument/2006/relationships/hyperlink" Target="https://tupiel.darsistemas.com/consulta/34654" TargetMode="External"/><Relationship Id="rId316" Type="http://schemas.openxmlformats.org/officeDocument/2006/relationships/hyperlink" Target="https://tupiel.darsistemas.com/consulta_cups/costos?id=25640" TargetMode="External"/><Relationship Id="rId523" Type="http://schemas.openxmlformats.org/officeDocument/2006/relationships/hyperlink" Target="https://tupiel.darsistemas.com/consulta/36240" TargetMode="External"/><Relationship Id="rId968" Type="http://schemas.openxmlformats.org/officeDocument/2006/relationships/hyperlink" Target="https://tupiel.darsistemas.com/consulta_cups/costos?id=26541" TargetMode="External"/><Relationship Id="rId1153" Type="http://schemas.openxmlformats.org/officeDocument/2006/relationships/hyperlink" Target="https://tupiel.darsistemas.com/consulta/35575" TargetMode="External"/><Relationship Id="rId1598" Type="http://schemas.openxmlformats.org/officeDocument/2006/relationships/hyperlink" Target="https://tupiel.darsistemas.com/consulta_cups/costos?id=26234" TargetMode="External"/><Relationship Id="rId97" Type="http://schemas.openxmlformats.org/officeDocument/2006/relationships/hyperlink" Target="https://tupiel.darsistemas.com/consulta/33850" TargetMode="External"/><Relationship Id="rId730" Type="http://schemas.openxmlformats.org/officeDocument/2006/relationships/hyperlink" Target="https://tupiel.darsistemas.com/consulta_cups/costos?id=26381" TargetMode="External"/><Relationship Id="rId828" Type="http://schemas.openxmlformats.org/officeDocument/2006/relationships/hyperlink" Target="https://tupiel.darsistemas.com/consulta_cups/costos?id=25981" TargetMode="External"/><Relationship Id="rId1013" Type="http://schemas.openxmlformats.org/officeDocument/2006/relationships/hyperlink" Target="https://tupiel.darsistemas.com/consulta/36468" TargetMode="External"/><Relationship Id="rId1360" Type="http://schemas.openxmlformats.org/officeDocument/2006/relationships/hyperlink" Target="https://tupiel.darsistemas.com/consulta_cups/costos?id=26464" TargetMode="External"/><Relationship Id="rId1458" Type="http://schemas.openxmlformats.org/officeDocument/2006/relationships/hyperlink" Target="https://tupiel.darsistemas.com/consulta_cups/costos?id=26265" TargetMode="External"/><Relationship Id="rId1665" Type="http://schemas.openxmlformats.org/officeDocument/2006/relationships/hyperlink" Target="https://tupiel.darsistemas.com/consulta/36351" TargetMode="External"/><Relationship Id="rId1220" Type="http://schemas.openxmlformats.org/officeDocument/2006/relationships/hyperlink" Target="https://tupiel.darsistemas.com/consulta_cups/costos?id=26551" TargetMode="External"/><Relationship Id="rId1318" Type="http://schemas.openxmlformats.org/officeDocument/2006/relationships/hyperlink" Target="https://tupiel.darsistemas.com/consulta_cups/costos?id=26528" TargetMode="External"/><Relationship Id="rId1525" Type="http://schemas.openxmlformats.org/officeDocument/2006/relationships/hyperlink" Target="https://tupiel.darsistemas.com/consulta/27219" TargetMode="External"/><Relationship Id="rId24" Type="http://schemas.openxmlformats.org/officeDocument/2006/relationships/hyperlink" Target="https://tupiel.darsistemas.com/consulta_cups/costos?id=25721" TargetMode="External"/><Relationship Id="rId173" Type="http://schemas.openxmlformats.org/officeDocument/2006/relationships/hyperlink" Target="https://tupiel.darsistemas.com/consulta/35989" TargetMode="External"/><Relationship Id="rId380" Type="http://schemas.openxmlformats.org/officeDocument/2006/relationships/hyperlink" Target="https://tupiel.darsistemas.com/consulta_cups/costos?id=25754" TargetMode="External"/><Relationship Id="rId240" Type="http://schemas.openxmlformats.org/officeDocument/2006/relationships/hyperlink" Target="https://tupiel.darsistemas.com/consulta_cups/costos?id=25922" TargetMode="External"/><Relationship Id="rId478" Type="http://schemas.openxmlformats.org/officeDocument/2006/relationships/hyperlink" Target="https://tupiel.darsistemas.com/consulta_cups/costos?id=25191" TargetMode="External"/><Relationship Id="rId685" Type="http://schemas.openxmlformats.org/officeDocument/2006/relationships/hyperlink" Target="https://tupiel.darsistemas.com/consulta/36288" TargetMode="External"/><Relationship Id="rId892" Type="http://schemas.openxmlformats.org/officeDocument/2006/relationships/hyperlink" Target="https://tupiel.darsistemas.com/consulta_cups/costos?id=26487" TargetMode="External"/><Relationship Id="rId100" Type="http://schemas.openxmlformats.org/officeDocument/2006/relationships/hyperlink" Target="https://tupiel.darsistemas.com/consulta_cups/costos?id=25849" TargetMode="External"/><Relationship Id="rId338" Type="http://schemas.openxmlformats.org/officeDocument/2006/relationships/hyperlink" Target="https://tupiel.darsistemas.com/consulta_cups/costos?id=26076" TargetMode="External"/><Relationship Id="rId545" Type="http://schemas.openxmlformats.org/officeDocument/2006/relationships/hyperlink" Target="https://tupiel.darsistemas.com/consulta/35789" TargetMode="External"/><Relationship Id="rId752" Type="http://schemas.openxmlformats.org/officeDocument/2006/relationships/hyperlink" Target="https://tupiel.darsistemas.com/consulta_cups/costos?id=26392" TargetMode="External"/><Relationship Id="rId1175" Type="http://schemas.openxmlformats.org/officeDocument/2006/relationships/hyperlink" Target="https://tupiel.darsistemas.com/consulta/35494" TargetMode="External"/><Relationship Id="rId1382" Type="http://schemas.openxmlformats.org/officeDocument/2006/relationships/hyperlink" Target="https://tupiel.darsistemas.com/consulta_cups/costos?id=26773" TargetMode="External"/><Relationship Id="rId405" Type="http://schemas.openxmlformats.org/officeDocument/2006/relationships/hyperlink" Target="https://tupiel.darsistemas.com/consulta/35239" TargetMode="External"/><Relationship Id="rId612" Type="http://schemas.openxmlformats.org/officeDocument/2006/relationships/hyperlink" Target="https://tupiel.darsistemas.com/consulta_cups/costos?id=23447" TargetMode="External"/><Relationship Id="rId1035" Type="http://schemas.openxmlformats.org/officeDocument/2006/relationships/hyperlink" Target="https://tupiel.darsistemas.com/consulta/36339" TargetMode="External"/><Relationship Id="rId1242" Type="http://schemas.openxmlformats.org/officeDocument/2006/relationships/hyperlink" Target="https://tupiel.darsistemas.com/consulta_cups/costos?id=26736" TargetMode="External"/><Relationship Id="rId1687" Type="http://schemas.openxmlformats.org/officeDocument/2006/relationships/hyperlink" Target="https://tupiel.darsistemas.com/consulta/36460" TargetMode="External"/><Relationship Id="rId917" Type="http://schemas.openxmlformats.org/officeDocument/2006/relationships/hyperlink" Target="https://tupiel.darsistemas.com/consulta/36074" TargetMode="External"/><Relationship Id="rId1102" Type="http://schemas.openxmlformats.org/officeDocument/2006/relationships/hyperlink" Target="https://tupiel.darsistemas.com/consulta_cups/costos?id=24844" TargetMode="External"/><Relationship Id="rId1547" Type="http://schemas.openxmlformats.org/officeDocument/2006/relationships/hyperlink" Target="https://tupiel.darsistemas.com/consulta/30092" TargetMode="External"/><Relationship Id="rId46" Type="http://schemas.openxmlformats.org/officeDocument/2006/relationships/hyperlink" Target="https://tupiel.darsistemas.com/consulta_cups/costos?id=25630" TargetMode="External"/><Relationship Id="rId1407" Type="http://schemas.openxmlformats.org/officeDocument/2006/relationships/hyperlink" Target="https://tupiel.darsistemas.com/consulta/36623" TargetMode="External"/><Relationship Id="rId1614" Type="http://schemas.openxmlformats.org/officeDocument/2006/relationships/hyperlink" Target="https://tupiel.darsistemas.com/consulta_cups/costos?id=26019" TargetMode="External"/><Relationship Id="rId195" Type="http://schemas.openxmlformats.org/officeDocument/2006/relationships/hyperlink" Target="https://tupiel.darsistemas.com/consulta/36027" TargetMode="External"/><Relationship Id="rId262" Type="http://schemas.openxmlformats.org/officeDocument/2006/relationships/hyperlink" Target="https://tupiel.darsistemas.com/consulta_cups/costos?id=26011" TargetMode="External"/><Relationship Id="rId567" Type="http://schemas.openxmlformats.org/officeDocument/2006/relationships/hyperlink" Target="https://tupiel.darsistemas.com/consulta/36320" TargetMode="External"/><Relationship Id="rId1197" Type="http://schemas.openxmlformats.org/officeDocument/2006/relationships/hyperlink" Target="https://tupiel.darsistemas.com/consulta/36254" TargetMode="External"/><Relationship Id="rId122" Type="http://schemas.openxmlformats.org/officeDocument/2006/relationships/hyperlink" Target="https://tupiel.darsistemas.com/consulta_cups/costos?id=25906" TargetMode="External"/><Relationship Id="rId774" Type="http://schemas.openxmlformats.org/officeDocument/2006/relationships/hyperlink" Target="https://tupiel.darsistemas.com/consulta_cups/costos?id=26419" TargetMode="External"/><Relationship Id="rId981" Type="http://schemas.openxmlformats.org/officeDocument/2006/relationships/hyperlink" Target="https://tupiel.darsistemas.com/consulta/35681" TargetMode="External"/><Relationship Id="rId1057" Type="http://schemas.openxmlformats.org/officeDocument/2006/relationships/hyperlink" Target="https://tupiel.darsistemas.com/consulta/30570" TargetMode="External"/><Relationship Id="rId427" Type="http://schemas.openxmlformats.org/officeDocument/2006/relationships/hyperlink" Target="https://tupiel.darsistemas.com/consulta/34979" TargetMode="External"/><Relationship Id="rId634" Type="http://schemas.openxmlformats.org/officeDocument/2006/relationships/hyperlink" Target="https://tupiel.darsistemas.com/consulta_cups/costos?id=26317" TargetMode="External"/><Relationship Id="rId841" Type="http://schemas.openxmlformats.org/officeDocument/2006/relationships/hyperlink" Target="https://tupiel.darsistemas.com/consulta/30646" TargetMode="External"/><Relationship Id="rId1264" Type="http://schemas.openxmlformats.org/officeDocument/2006/relationships/hyperlink" Target="https://tupiel.darsistemas.com/consulta_cups/costos?id=26717" TargetMode="External"/><Relationship Id="rId1471" Type="http://schemas.openxmlformats.org/officeDocument/2006/relationships/hyperlink" Target="https://tupiel.darsistemas.com/consulta/22925" TargetMode="External"/><Relationship Id="rId1569" Type="http://schemas.openxmlformats.org/officeDocument/2006/relationships/hyperlink" Target="https://tupiel.darsistemas.com/consulta/33067" TargetMode="External"/><Relationship Id="rId701" Type="http://schemas.openxmlformats.org/officeDocument/2006/relationships/hyperlink" Target="https://tupiel.darsistemas.com/consulta/30870" TargetMode="External"/><Relationship Id="rId939" Type="http://schemas.openxmlformats.org/officeDocument/2006/relationships/hyperlink" Target="https://tupiel.darsistemas.com/consulta/32634" TargetMode="External"/><Relationship Id="rId1124" Type="http://schemas.openxmlformats.org/officeDocument/2006/relationships/hyperlink" Target="https://tupiel.darsistemas.com/consulta_cups/costos?id=24979" TargetMode="External"/><Relationship Id="rId1331" Type="http://schemas.openxmlformats.org/officeDocument/2006/relationships/hyperlink" Target="https://tupiel.darsistemas.com/consulta/35636" TargetMode="External"/><Relationship Id="rId68" Type="http://schemas.openxmlformats.org/officeDocument/2006/relationships/hyperlink" Target="https://tupiel.darsistemas.com/consulta_cups/costos?id=25646" TargetMode="External"/><Relationship Id="rId1429" Type="http://schemas.openxmlformats.org/officeDocument/2006/relationships/hyperlink" Target="https://tupiel.darsistemas.com/consulta/31385" TargetMode="External"/><Relationship Id="rId1636" Type="http://schemas.openxmlformats.org/officeDocument/2006/relationships/hyperlink" Target="https://tupiel.darsistemas.com/consulta_cups/costos?id=25893" TargetMode="External"/><Relationship Id="rId284" Type="http://schemas.openxmlformats.org/officeDocument/2006/relationships/hyperlink" Target="https://tupiel.darsistemas.com/consulta_cups/costos?id=22723" TargetMode="External"/><Relationship Id="rId491" Type="http://schemas.openxmlformats.org/officeDocument/2006/relationships/hyperlink" Target="https://tupiel.darsistemas.com/consulta/36187" TargetMode="External"/><Relationship Id="rId144" Type="http://schemas.openxmlformats.org/officeDocument/2006/relationships/hyperlink" Target="https://tupiel.darsistemas.com/consulta_cups/costos?id=25865" TargetMode="External"/><Relationship Id="rId589" Type="http://schemas.openxmlformats.org/officeDocument/2006/relationships/hyperlink" Target="https://tupiel.darsistemas.com/consulta/27946" TargetMode="External"/><Relationship Id="rId796" Type="http://schemas.openxmlformats.org/officeDocument/2006/relationships/hyperlink" Target="https://tupiel.darsistemas.com/consulta_cups/costos?id=24964" TargetMode="External"/><Relationship Id="rId351" Type="http://schemas.openxmlformats.org/officeDocument/2006/relationships/hyperlink" Target="https://tupiel.darsistemas.com/consulta/31341" TargetMode="External"/><Relationship Id="rId449" Type="http://schemas.openxmlformats.org/officeDocument/2006/relationships/hyperlink" Target="https://tupiel.darsistemas.com/consulta/35225" TargetMode="External"/><Relationship Id="rId656" Type="http://schemas.openxmlformats.org/officeDocument/2006/relationships/hyperlink" Target="https://tupiel.darsistemas.com/consulta_cups/costos?id=26099" TargetMode="External"/><Relationship Id="rId863" Type="http://schemas.openxmlformats.org/officeDocument/2006/relationships/hyperlink" Target="https://tupiel.darsistemas.com/consulta/36423" TargetMode="External"/><Relationship Id="rId1079" Type="http://schemas.openxmlformats.org/officeDocument/2006/relationships/hyperlink" Target="https://tupiel.darsistemas.com/consulta/32768" TargetMode="External"/><Relationship Id="rId1286" Type="http://schemas.openxmlformats.org/officeDocument/2006/relationships/hyperlink" Target="https://tupiel.darsistemas.com/consulta_cups/costos?id=26738" TargetMode="External"/><Relationship Id="rId1493" Type="http://schemas.openxmlformats.org/officeDocument/2006/relationships/hyperlink" Target="https://tupiel.darsistemas.com/consulta/26048" TargetMode="External"/><Relationship Id="rId211" Type="http://schemas.openxmlformats.org/officeDocument/2006/relationships/hyperlink" Target="https://tupiel.darsistemas.com/consulta/35118" TargetMode="External"/><Relationship Id="rId309" Type="http://schemas.openxmlformats.org/officeDocument/2006/relationships/hyperlink" Target="https://tupiel.darsistemas.com/consulta/36227" TargetMode="External"/><Relationship Id="rId516" Type="http://schemas.openxmlformats.org/officeDocument/2006/relationships/hyperlink" Target="https://tupiel.darsistemas.com/consulta_cups/costos?id=24591" TargetMode="External"/><Relationship Id="rId1146" Type="http://schemas.openxmlformats.org/officeDocument/2006/relationships/hyperlink" Target="https://tupiel.darsistemas.com/consulta_cups/costos?id=26667" TargetMode="External"/><Relationship Id="rId723" Type="http://schemas.openxmlformats.org/officeDocument/2006/relationships/hyperlink" Target="https://tupiel.darsistemas.com/consulta/34299" TargetMode="External"/><Relationship Id="rId930" Type="http://schemas.openxmlformats.org/officeDocument/2006/relationships/hyperlink" Target="https://tupiel.darsistemas.com/consulta_cups/costos?id=25813" TargetMode="External"/><Relationship Id="rId1006" Type="http://schemas.openxmlformats.org/officeDocument/2006/relationships/hyperlink" Target="https://tupiel.darsistemas.com/consulta_cups/costos?id=26542" TargetMode="External"/><Relationship Id="rId1353" Type="http://schemas.openxmlformats.org/officeDocument/2006/relationships/hyperlink" Target="https://tupiel.darsistemas.com/consulta/36587" TargetMode="External"/><Relationship Id="rId1560" Type="http://schemas.openxmlformats.org/officeDocument/2006/relationships/hyperlink" Target="https://tupiel.darsistemas.com/consulta_cups/costos?id=26036" TargetMode="External"/><Relationship Id="rId1658" Type="http://schemas.openxmlformats.org/officeDocument/2006/relationships/hyperlink" Target="https://tupiel.darsistemas.com/consulta_cups/costos?id=26246" TargetMode="External"/><Relationship Id="rId1213" Type="http://schemas.openxmlformats.org/officeDocument/2006/relationships/hyperlink" Target="https://tupiel.darsistemas.com/consulta/23794" TargetMode="External"/><Relationship Id="rId1420" Type="http://schemas.openxmlformats.org/officeDocument/2006/relationships/hyperlink" Target="https://tupiel.darsistemas.com/consulta_cups/costos?id=26296" TargetMode="External"/><Relationship Id="rId1518" Type="http://schemas.openxmlformats.org/officeDocument/2006/relationships/hyperlink" Target="https://tupiel.darsistemas.com/consulta_cups/costos?id=26505" TargetMode="External"/><Relationship Id="rId17" Type="http://schemas.openxmlformats.org/officeDocument/2006/relationships/hyperlink" Target="https://tupiel.darsistemas.com/consulta/36012" TargetMode="External"/><Relationship Id="rId166" Type="http://schemas.openxmlformats.org/officeDocument/2006/relationships/hyperlink" Target="https://tupiel.darsistemas.com/consulta_cups/costos?id=25940" TargetMode="External"/><Relationship Id="rId373" Type="http://schemas.openxmlformats.org/officeDocument/2006/relationships/hyperlink" Target="https://tupiel.darsistemas.com/consulta/36085" TargetMode="External"/><Relationship Id="rId580" Type="http://schemas.openxmlformats.org/officeDocument/2006/relationships/hyperlink" Target="https://tupiel.darsistemas.com/consulta_cups/costos?id=26243" TargetMode="External"/><Relationship Id="rId1" Type="http://schemas.openxmlformats.org/officeDocument/2006/relationships/hyperlink" Target="https://tupiel.darsistemas.com/consulta/34927" TargetMode="External"/><Relationship Id="rId233" Type="http://schemas.openxmlformats.org/officeDocument/2006/relationships/hyperlink" Target="https://tupiel.darsistemas.com/consulta/36130" TargetMode="External"/><Relationship Id="rId440" Type="http://schemas.openxmlformats.org/officeDocument/2006/relationships/hyperlink" Target="https://tupiel.darsistemas.com/consulta_cups/costos?id=23769" TargetMode="External"/><Relationship Id="rId678" Type="http://schemas.openxmlformats.org/officeDocument/2006/relationships/hyperlink" Target="https://tupiel.darsistemas.com/consulta_cups/costos?id=26358" TargetMode="External"/><Relationship Id="rId885" Type="http://schemas.openxmlformats.org/officeDocument/2006/relationships/hyperlink" Target="https://tupiel.darsistemas.com/consulta/36350" TargetMode="External"/><Relationship Id="rId1070" Type="http://schemas.openxmlformats.org/officeDocument/2006/relationships/hyperlink" Target="https://tupiel.darsistemas.com/consulta_cups/costos?id=26498" TargetMode="External"/><Relationship Id="rId300" Type="http://schemas.openxmlformats.org/officeDocument/2006/relationships/hyperlink" Target="https://tupiel.darsistemas.com/consulta_cups/costos?id=26018" TargetMode="External"/><Relationship Id="rId538" Type="http://schemas.openxmlformats.org/officeDocument/2006/relationships/hyperlink" Target="https://tupiel.darsistemas.com/consulta_cups/costos?id=25437" TargetMode="External"/><Relationship Id="rId745" Type="http://schemas.openxmlformats.org/officeDocument/2006/relationships/hyperlink" Target="https://tupiel.darsistemas.com/consulta/36237" TargetMode="External"/><Relationship Id="rId952" Type="http://schemas.openxmlformats.org/officeDocument/2006/relationships/hyperlink" Target="https://tupiel.darsistemas.com/consulta_cups/costos?id=22839" TargetMode="External"/><Relationship Id="rId1168" Type="http://schemas.openxmlformats.org/officeDocument/2006/relationships/hyperlink" Target="https://tupiel.darsistemas.com/consulta_cups/costos?id=24809" TargetMode="External"/><Relationship Id="rId1375" Type="http://schemas.openxmlformats.org/officeDocument/2006/relationships/hyperlink" Target="https://tupiel.darsistemas.com/consulta/36608" TargetMode="External"/><Relationship Id="rId1582" Type="http://schemas.openxmlformats.org/officeDocument/2006/relationships/hyperlink" Target="https://tupiel.darsistemas.com/consulta_cups/costos?id=24211" TargetMode="External"/><Relationship Id="rId81" Type="http://schemas.openxmlformats.org/officeDocument/2006/relationships/hyperlink" Target="https://tupiel.darsistemas.com/consulta/36055" TargetMode="External"/><Relationship Id="rId605" Type="http://schemas.openxmlformats.org/officeDocument/2006/relationships/hyperlink" Target="https://tupiel.darsistemas.com/consulta/36324" TargetMode="External"/><Relationship Id="rId812" Type="http://schemas.openxmlformats.org/officeDocument/2006/relationships/hyperlink" Target="https://tupiel.darsistemas.com/consulta_cups/costos?id=18087" TargetMode="External"/><Relationship Id="rId1028" Type="http://schemas.openxmlformats.org/officeDocument/2006/relationships/hyperlink" Target="https://tupiel.darsistemas.com/consulta_cups/costos?id=24415" TargetMode="External"/><Relationship Id="rId1235" Type="http://schemas.openxmlformats.org/officeDocument/2006/relationships/hyperlink" Target="https://tupiel.darsistemas.com/consulta/36528" TargetMode="External"/><Relationship Id="rId1442" Type="http://schemas.openxmlformats.org/officeDocument/2006/relationships/hyperlink" Target="https://tupiel.darsistemas.com/consulta_cups/costos?id=25929" TargetMode="External"/><Relationship Id="rId1302" Type="http://schemas.openxmlformats.org/officeDocument/2006/relationships/hyperlink" Target="https://tupiel.darsistemas.com/consulta_cups/costos?id=26771" TargetMode="External"/><Relationship Id="rId39" Type="http://schemas.openxmlformats.org/officeDocument/2006/relationships/hyperlink" Target="https://tupiel.darsistemas.com/consulta/36058" TargetMode="External"/><Relationship Id="rId1607" Type="http://schemas.openxmlformats.org/officeDocument/2006/relationships/hyperlink" Target="https://tupiel.darsistemas.com/consulta/35656" TargetMode="External"/><Relationship Id="rId188" Type="http://schemas.openxmlformats.org/officeDocument/2006/relationships/hyperlink" Target="https://tupiel.darsistemas.com/consulta_cups/costos?id=25991" TargetMode="External"/><Relationship Id="rId395" Type="http://schemas.openxmlformats.org/officeDocument/2006/relationships/hyperlink" Target="https://tupiel.darsistemas.com/consulta/29843" TargetMode="External"/><Relationship Id="rId255" Type="http://schemas.openxmlformats.org/officeDocument/2006/relationships/hyperlink" Target="https://tupiel.darsistemas.com/consulta/35223" TargetMode="External"/><Relationship Id="rId462" Type="http://schemas.openxmlformats.org/officeDocument/2006/relationships/hyperlink" Target="https://tupiel.darsistemas.com/consulta_cups/costos?id=23595" TargetMode="External"/><Relationship Id="rId1092" Type="http://schemas.openxmlformats.org/officeDocument/2006/relationships/hyperlink" Target="https://tupiel.darsistemas.com/consulta_cups/costos?id=26611" TargetMode="External"/><Relationship Id="rId1397" Type="http://schemas.openxmlformats.org/officeDocument/2006/relationships/hyperlink" Target="https://tupiel.darsistemas.com/consulta/36548" TargetMode="External"/><Relationship Id="rId115" Type="http://schemas.openxmlformats.org/officeDocument/2006/relationships/hyperlink" Target="https://tupiel.darsistemas.com/consulta/34338" TargetMode="External"/><Relationship Id="rId322" Type="http://schemas.openxmlformats.org/officeDocument/2006/relationships/hyperlink" Target="https://tupiel.darsistemas.com/consulta_cups/costos?id=26159" TargetMode="External"/><Relationship Id="rId767" Type="http://schemas.openxmlformats.org/officeDocument/2006/relationships/hyperlink" Target="https://tupiel.darsistemas.com/consulta/36245" TargetMode="External"/><Relationship Id="rId974" Type="http://schemas.openxmlformats.org/officeDocument/2006/relationships/hyperlink" Target="https://tupiel.darsistemas.com/consulta_cups/costos?id=26520" TargetMode="External"/><Relationship Id="rId627" Type="http://schemas.openxmlformats.org/officeDocument/2006/relationships/hyperlink" Target="https://tupiel.darsistemas.com/consulta/36343" TargetMode="External"/><Relationship Id="rId834" Type="http://schemas.openxmlformats.org/officeDocument/2006/relationships/hyperlink" Target="https://tupiel.darsistemas.com/consulta_cups/costos?id=26468" TargetMode="External"/><Relationship Id="rId1257" Type="http://schemas.openxmlformats.org/officeDocument/2006/relationships/hyperlink" Target="https://tupiel.darsistemas.com/consulta/36542" TargetMode="External"/><Relationship Id="rId1464" Type="http://schemas.openxmlformats.org/officeDocument/2006/relationships/hyperlink" Target="https://tupiel.darsistemas.com/consulta_cups/costos?id=25955" TargetMode="External"/><Relationship Id="rId1671" Type="http://schemas.openxmlformats.org/officeDocument/2006/relationships/hyperlink" Target="https://tupiel.darsistemas.com/consulta/36421" TargetMode="External"/><Relationship Id="rId901" Type="http://schemas.openxmlformats.org/officeDocument/2006/relationships/hyperlink" Target="https://tupiel.darsistemas.com/consulta/22327" TargetMode="External"/><Relationship Id="rId1117" Type="http://schemas.openxmlformats.org/officeDocument/2006/relationships/hyperlink" Target="https://tupiel.darsistemas.com/consulta/36304" TargetMode="External"/><Relationship Id="rId1324" Type="http://schemas.openxmlformats.org/officeDocument/2006/relationships/hyperlink" Target="https://tupiel.darsistemas.com/consulta_cups/costos?id=25601" TargetMode="External"/><Relationship Id="rId1531" Type="http://schemas.openxmlformats.org/officeDocument/2006/relationships/hyperlink" Target="https://tupiel.darsistemas.com/consulta/27247" TargetMode="External"/><Relationship Id="rId30" Type="http://schemas.openxmlformats.org/officeDocument/2006/relationships/hyperlink" Target="https://tupiel.darsistemas.com/consulta_cups/costos?id=25645" TargetMode="External"/><Relationship Id="rId1629" Type="http://schemas.openxmlformats.org/officeDocument/2006/relationships/hyperlink" Target="https://tupiel.darsistemas.com/consulta/36059" TargetMode="External"/><Relationship Id="rId277" Type="http://schemas.openxmlformats.org/officeDocument/2006/relationships/hyperlink" Target="https://tupiel.darsistemas.com/consulta/36183" TargetMode="External"/><Relationship Id="rId484" Type="http://schemas.openxmlformats.org/officeDocument/2006/relationships/hyperlink" Target="https://tupiel.darsistemas.com/consulta_cups/costos?id=26223" TargetMode="External"/><Relationship Id="rId137" Type="http://schemas.openxmlformats.org/officeDocument/2006/relationships/hyperlink" Target="https://tupiel.darsistemas.com/consulta/36082" TargetMode="External"/><Relationship Id="rId344" Type="http://schemas.openxmlformats.org/officeDocument/2006/relationships/hyperlink" Target="https://tupiel.darsistemas.com/consulta_cups/costos?id=25504" TargetMode="External"/><Relationship Id="rId691" Type="http://schemas.openxmlformats.org/officeDocument/2006/relationships/hyperlink" Target="https://tupiel.darsistemas.com/consulta/36296" TargetMode="External"/><Relationship Id="rId789" Type="http://schemas.openxmlformats.org/officeDocument/2006/relationships/hyperlink" Target="https://tupiel.darsistemas.com/consulta/36372" TargetMode="External"/><Relationship Id="rId996" Type="http://schemas.openxmlformats.org/officeDocument/2006/relationships/hyperlink" Target="https://tupiel.darsistemas.com/consulta_cups/costos?id=25680" TargetMode="External"/><Relationship Id="rId551" Type="http://schemas.openxmlformats.org/officeDocument/2006/relationships/hyperlink" Target="https://tupiel.darsistemas.com/consulta/35850" TargetMode="External"/><Relationship Id="rId649" Type="http://schemas.openxmlformats.org/officeDocument/2006/relationships/hyperlink" Target="https://tupiel.darsistemas.com/consulta/36246" TargetMode="External"/><Relationship Id="rId856" Type="http://schemas.openxmlformats.org/officeDocument/2006/relationships/hyperlink" Target="https://tupiel.darsistemas.com/consulta_cups/costos?id=26470" TargetMode="External"/><Relationship Id="rId1181" Type="http://schemas.openxmlformats.org/officeDocument/2006/relationships/hyperlink" Target="https://tupiel.darsistemas.com/consulta/36537" TargetMode="External"/><Relationship Id="rId1279" Type="http://schemas.openxmlformats.org/officeDocument/2006/relationships/hyperlink" Target="https://tupiel.darsistemas.com/consulta/36369" TargetMode="External"/><Relationship Id="rId1486" Type="http://schemas.openxmlformats.org/officeDocument/2006/relationships/hyperlink" Target="https://tupiel.darsistemas.com/consulta_cups/costos?id=26414" TargetMode="External"/><Relationship Id="rId204" Type="http://schemas.openxmlformats.org/officeDocument/2006/relationships/hyperlink" Target="https://tupiel.darsistemas.com/consulta_cups/costos?id=26025" TargetMode="External"/><Relationship Id="rId411" Type="http://schemas.openxmlformats.org/officeDocument/2006/relationships/hyperlink" Target="https://tupiel.darsistemas.com/consulta/26436" TargetMode="External"/><Relationship Id="rId509" Type="http://schemas.openxmlformats.org/officeDocument/2006/relationships/hyperlink" Target="https://tupiel.darsistemas.com/consulta/36104" TargetMode="External"/><Relationship Id="rId1041" Type="http://schemas.openxmlformats.org/officeDocument/2006/relationships/hyperlink" Target="https://tupiel.darsistemas.com/consulta/36303" TargetMode="External"/><Relationship Id="rId1139" Type="http://schemas.openxmlformats.org/officeDocument/2006/relationships/hyperlink" Target="https://tupiel.darsistemas.com/consulta/36413" TargetMode="External"/><Relationship Id="rId1346" Type="http://schemas.openxmlformats.org/officeDocument/2006/relationships/hyperlink" Target="https://tupiel.darsistemas.com/consulta_cups/costos?id=25882" TargetMode="External"/><Relationship Id="rId1693" Type="http://schemas.openxmlformats.org/officeDocument/2006/relationships/hyperlink" Target="https://tupiel.darsistemas.com/consulta/36505" TargetMode="External"/><Relationship Id="rId716" Type="http://schemas.openxmlformats.org/officeDocument/2006/relationships/hyperlink" Target="https://tupiel.darsistemas.com/consulta_cups/costos?id=26369" TargetMode="External"/><Relationship Id="rId923" Type="http://schemas.openxmlformats.org/officeDocument/2006/relationships/hyperlink" Target="https://tupiel.darsistemas.com/consulta/24818" TargetMode="External"/><Relationship Id="rId1553" Type="http://schemas.openxmlformats.org/officeDocument/2006/relationships/hyperlink" Target="https://tupiel.darsistemas.com/consulta/31470" TargetMode="External"/><Relationship Id="rId52" Type="http://schemas.openxmlformats.org/officeDocument/2006/relationships/hyperlink" Target="https://tupiel.darsistemas.com/consulta_cups/costos?id=25835" TargetMode="External"/><Relationship Id="rId1206" Type="http://schemas.openxmlformats.org/officeDocument/2006/relationships/hyperlink" Target="https://tupiel.darsistemas.com/consulta_cups/costos?id=26723" TargetMode="External"/><Relationship Id="rId1413" Type="http://schemas.openxmlformats.org/officeDocument/2006/relationships/hyperlink" Target="https://tupiel.darsistemas.com/consulta/36227" TargetMode="External"/><Relationship Id="rId1620" Type="http://schemas.openxmlformats.org/officeDocument/2006/relationships/hyperlink" Target="https://tupiel.darsistemas.com/consulta_cups/costos?id=25593" TargetMode="External"/><Relationship Id="rId299" Type="http://schemas.openxmlformats.org/officeDocument/2006/relationships/hyperlink" Target="https://tupiel.darsistemas.com/consulta/36176" TargetMode="External"/><Relationship Id="rId159" Type="http://schemas.openxmlformats.org/officeDocument/2006/relationships/hyperlink" Target="https://tupiel.darsistemas.com/consulta/35668" TargetMode="External"/><Relationship Id="rId366" Type="http://schemas.openxmlformats.org/officeDocument/2006/relationships/hyperlink" Target="https://tupiel.darsistemas.com/consulta_cups/costos?id=26180" TargetMode="External"/><Relationship Id="rId573" Type="http://schemas.openxmlformats.org/officeDocument/2006/relationships/hyperlink" Target="https://tupiel.darsistemas.com/consulta/28837" TargetMode="External"/><Relationship Id="rId780" Type="http://schemas.openxmlformats.org/officeDocument/2006/relationships/hyperlink" Target="https://tupiel.darsistemas.com/consulta_cups/costos?id=25613" TargetMode="External"/><Relationship Id="rId226" Type="http://schemas.openxmlformats.org/officeDocument/2006/relationships/hyperlink" Target="https://tupiel.darsistemas.com/consulta_cups/costos?id=25967" TargetMode="External"/><Relationship Id="rId433" Type="http://schemas.openxmlformats.org/officeDocument/2006/relationships/hyperlink" Target="https://tupiel.darsistemas.com/consulta/36058" TargetMode="External"/><Relationship Id="rId878" Type="http://schemas.openxmlformats.org/officeDocument/2006/relationships/hyperlink" Target="https://tupiel.darsistemas.com/consulta_cups/costos?id=26411" TargetMode="External"/><Relationship Id="rId1063" Type="http://schemas.openxmlformats.org/officeDocument/2006/relationships/hyperlink" Target="https://tupiel.darsistemas.com/consulta/35929" TargetMode="External"/><Relationship Id="rId1270" Type="http://schemas.openxmlformats.org/officeDocument/2006/relationships/hyperlink" Target="https://tupiel.darsistemas.com/consulta_cups/costos?id=26677" TargetMode="External"/><Relationship Id="rId640" Type="http://schemas.openxmlformats.org/officeDocument/2006/relationships/hyperlink" Target="https://tupiel.darsistemas.com/consulta_cups/costos?id=25717" TargetMode="External"/><Relationship Id="rId738" Type="http://schemas.openxmlformats.org/officeDocument/2006/relationships/hyperlink" Target="https://tupiel.darsistemas.com/consulta_cups/costos?id=26385" TargetMode="External"/><Relationship Id="rId945" Type="http://schemas.openxmlformats.org/officeDocument/2006/relationships/hyperlink" Target="https://tupiel.darsistemas.com/consulta/28241" TargetMode="External"/><Relationship Id="rId1368" Type="http://schemas.openxmlformats.org/officeDocument/2006/relationships/hyperlink" Target="https://tupiel.darsistemas.com/consulta_cups/costos?id=26764" TargetMode="External"/><Relationship Id="rId1575" Type="http://schemas.openxmlformats.org/officeDocument/2006/relationships/hyperlink" Target="https://tupiel.darsistemas.com/consulta/34704" TargetMode="External"/><Relationship Id="rId74" Type="http://schemas.openxmlformats.org/officeDocument/2006/relationships/hyperlink" Target="https://tupiel.darsistemas.com/consulta_cups/costos?id=25869" TargetMode="External"/><Relationship Id="rId500" Type="http://schemas.openxmlformats.org/officeDocument/2006/relationships/hyperlink" Target="https://tupiel.darsistemas.com/consulta_cups/costos?id=25902" TargetMode="External"/><Relationship Id="rId805" Type="http://schemas.openxmlformats.org/officeDocument/2006/relationships/hyperlink" Target="https://tupiel.darsistemas.com/consulta/35670" TargetMode="External"/><Relationship Id="rId1130" Type="http://schemas.openxmlformats.org/officeDocument/2006/relationships/hyperlink" Target="https://tupiel.darsistemas.com/consulta_cups/costos?id=26637" TargetMode="External"/><Relationship Id="rId1228" Type="http://schemas.openxmlformats.org/officeDocument/2006/relationships/hyperlink" Target="https://tupiel.darsistemas.com/consulta_cups/costos?id=25954" TargetMode="External"/><Relationship Id="rId1435" Type="http://schemas.openxmlformats.org/officeDocument/2006/relationships/hyperlink" Target="https://tupiel.darsistemas.com/consulta/36347" TargetMode="External"/><Relationship Id="rId1642" Type="http://schemas.openxmlformats.org/officeDocument/2006/relationships/hyperlink" Target="https://tupiel.darsistemas.com/consulta_cups/costos?id=25907" TargetMode="External"/><Relationship Id="rId1502" Type="http://schemas.openxmlformats.org/officeDocument/2006/relationships/hyperlink" Target="https://tupiel.darsistemas.com/consulta_cups/costos?id=24550" TargetMode="External"/><Relationship Id="rId290" Type="http://schemas.openxmlformats.org/officeDocument/2006/relationships/hyperlink" Target="https://tupiel.darsistemas.com/consulta_cups/costos?id=26058" TargetMode="External"/><Relationship Id="rId388" Type="http://schemas.openxmlformats.org/officeDocument/2006/relationships/hyperlink" Target="https://tupiel.darsistemas.com/consulta_cups/costos?id=25100" TargetMode="External"/><Relationship Id="rId150" Type="http://schemas.openxmlformats.org/officeDocument/2006/relationships/hyperlink" Target="https://tupiel.darsistemas.com/consulta_cups/costos?id=25522" TargetMode="External"/><Relationship Id="rId595" Type="http://schemas.openxmlformats.org/officeDocument/2006/relationships/hyperlink" Target="https://tupiel.darsistemas.com/consulta/35872" TargetMode="External"/><Relationship Id="rId248" Type="http://schemas.openxmlformats.org/officeDocument/2006/relationships/hyperlink" Target="https://tupiel.darsistemas.com/consulta_cups/costos?id=24527" TargetMode="External"/><Relationship Id="rId455" Type="http://schemas.openxmlformats.org/officeDocument/2006/relationships/hyperlink" Target="https://tupiel.darsistemas.com/consulta/35805" TargetMode="External"/><Relationship Id="rId662" Type="http://schemas.openxmlformats.org/officeDocument/2006/relationships/hyperlink" Target="https://tupiel.darsistemas.com/consulta_cups/costos?id=26322" TargetMode="External"/><Relationship Id="rId1085" Type="http://schemas.openxmlformats.org/officeDocument/2006/relationships/hyperlink" Target="https://tupiel.darsistemas.com/consulta/36486" TargetMode="External"/><Relationship Id="rId1292" Type="http://schemas.openxmlformats.org/officeDocument/2006/relationships/hyperlink" Target="https://tupiel.darsistemas.com/consulta_cups/costos?id=26760" TargetMode="External"/><Relationship Id="rId108" Type="http://schemas.openxmlformats.org/officeDocument/2006/relationships/hyperlink" Target="https://tupiel.darsistemas.com/consulta_cups/costos?id=25895" TargetMode="External"/><Relationship Id="rId315" Type="http://schemas.openxmlformats.org/officeDocument/2006/relationships/hyperlink" Target="https://tupiel.darsistemas.com/consulta/35964" TargetMode="External"/><Relationship Id="rId522" Type="http://schemas.openxmlformats.org/officeDocument/2006/relationships/hyperlink" Target="https://tupiel.darsistemas.com/consulta_cups/costos?id=24514" TargetMode="External"/><Relationship Id="rId967" Type="http://schemas.openxmlformats.org/officeDocument/2006/relationships/hyperlink" Target="https://tupiel.darsistemas.com/consulta/32108" TargetMode="External"/><Relationship Id="rId1152" Type="http://schemas.openxmlformats.org/officeDocument/2006/relationships/hyperlink" Target="https://tupiel.darsistemas.com/consulta_cups/costos?id=26669" TargetMode="External"/><Relationship Id="rId1597" Type="http://schemas.openxmlformats.org/officeDocument/2006/relationships/hyperlink" Target="https://tupiel.darsistemas.com/consulta/35561" TargetMode="External"/><Relationship Id="rId96" Type="http://schemas.openxmlformats.org/officeDocument/2006/relationships/hyperlink" Target="https://tupiel.darsistemas.com/consulta_cups/costos?id=25416" TargetMode="External"/><Relationship Id="rId827" Type="http://schemas.openxmlformats.org/officeDocument/2006/relationships/hyperlink" Target="https://tupiel.darsistemas.com/consulta/34602" TargetMode="External"/><Relationship Id="rId1012" Type="http://schemas.openxmlformats.org/officeDocument/2006/relationships/hyperlink" Target="https://tupiel.darsistemas.com/consulta_cups/costos?id=26375" TargetMode="External"/><Relationship Id="rId1457" Type="http://schemas.openxmlformats.org/officeDocument/2006/relationships/hyperlink" Target="https://tupiel.darsistemas.com/consulta/21825" TargetMode="External"/><Relationship Id="rId1664" Type="http://schemas.openxmlformats.org/officeDocument/2006/relationships/hyperlink" Target="https://tupiel.darsistemas.com/consulta_cups/costos?id=26347" TargetMode="External"/><Relationship Id="rId1317" Type="http://schemas.openxmlformats.org/officeDocument/2006/relationships/hyperlink" Target="https://tupiel.darsistemas.com/consulta/22200" TargetMode="External"/><Relationship Id="rId1524" Type="http://schemas.openxmlformats.org/officeDocument/2006/relationships/hyperlink" Target="https://tupiel.darsistemas.com/consulta_cups/costos?id=25977" TargetMode="External"/><Relationship Id="rId23" Type="http://schemas.openxmlformats.org/officeDocument/2006/relationships/hyperlink" Target="https://tupiel.darsistemas.com/consulta/36001" TargetMode="External"/><Relationship Id="rId172" Type="http://schemas.openxmlformats.org/officeDocument/2006/relationships/hyperlink" Target="https://tupiel.darsistemas.com/consulta_cups/costos?id=25918" TargetMode="External"/><Relationship Id="rId477" Type="http://schemas.openxmlformats.org/officeDocument/2006/relationships/hyperlink" Target="https://tupiel.darsistemas.com/consulta/35505" TargetMode="External"/><Relationship Id="rId684" Type="http://schemas.openxmlformats.org/officeDocument/2006/relationships/hyperlink" Target="https://tupiel.darsistemas.com/consulta_cups/costos?id=26330" TargetMode="External"/><Relationship Id="rId337" Type="http://schemas.openxmlformats.org/officeDocument/2006/relationships/hyperlink" Target="https://tupiel.darsistemas.com/consulta/36205" TargetMode="External"/><Relationship Id="rId891" Type="http://schemas.openxmlformats.org/officeDocument/2006/relationships/hyperlink" Target="https://tupiel.darsistemas.com/consulta/36007" TargetMode="External"/><Relationship Id="rId989" Type="http://schemas.openxmlformats.org/officeDocument/2006/relationships/hyperlink" Target="https://tupiel.darsistemas.com/consulta/36418" TargetMode="External"/><Relationship Id="rId544" Type="http://schemas.openxmlformats.org/officeDocument/2006/relationships/hyperlink" Target="https://tupiel.darsistemas.com/consulta_cups/costos?id=24491" TargetMode="External"/><Relationship Id="rId751" Type="http://schemas.openxmlformats.org/officeDocument/2006/relationships/hyperlink" Target="https://tupiel.darsistemas.com/consulta/35297" TargetMode="External"/><Relationship Id="rId849" Type="http://schemas.openxmlformats.org/officeDocument/2006/relationships/hyperlink" Target="https://tupiel.darsistemas.com/consulta/25748" TargetMode="External"/><Relationship Id="rId1174" Type="http://schemas.openxmlformats.org/officeDocument/2006/relationships/hyperlink" Target="https://tupiel.darsistemas.com/consulta_cups/costos?id=24933" TargetMode="External"/><Relationship Id="rId1381" Type="http://schemas.openxmlformats.org/officeDocument/2006/relationships/hyperlink" Target="https://tupiel.darsistemas.com/consulta/36579" TargetMode="External"/><Relationship Id="rId1479" Type="http://schemas.openxmlformats.org/officeDocument/2006/relationships/hyperlink" Target="https://tupiel.darsistemas.com/consulta/24804" TargetMode="External"/><Relationship Id="rId1686" Type="http://schemas.openxmlformats.org/officeDocument/2006/relationships/hyperlink" Target="https://tupiel.darsistemas.com/consulta_cups/costos?id=26546" TargetMode="External"/><Relationship Id="rId404" Type="http://schemas.openxmlformats.org/officeDocument/2006/relationships/hyperlink" Target="https://tupiel.darsistemas.com/consulta_cups/costos?id=26044" TargetMode="External"/><Relationship Id="rId611" Type="http://schemas.openxmlformats.org/officeDocument/2006/relationships/hyperlink" Target="https://tupiel.darsistemas.com/consulta/34580" TargetMode="External"/><Relationship Id="rId1034" Type="http://schemas.openxmlformats.org/officeDocument/2006/relationships/hyperlink" Target="https://tupiel.darsistemas.com/consulta_cups/costos?id=26595" TargetMode="External"/><Relationship Id="rId1241" Type="http://schemas.openxmlformats.org/officeDocument/2006/relationships/hyperlink" Target="https://tupiel.darsistemas.com/consulta/36557" TargetMode="External"/><Relationship Id="rId1339" Type="http://schemas.openxmlformats.org/officeDocument/2006/relationships/hyperlink" Target="https://tupiel.darsistemas.com/consulta/36597" TargetMode="External"/><Relationship Id="rId709" Type="http://schemas.openxmlformats.org/officeDocument/2006/relationships/hyperlink" Target="https://tupiel.darsistemas.com/consulta/23794" TargetMode="External"/><Relationship Id="rId916" Type="http://schemas.openxmlformats.org/officeDocument/2006/relationships/hyperlink" Target="https://tupiel.darsistemas.com/consulta_cups/costos?id=26490" TargetMode="External"/><Relationship Id="rId1101" Type="http://schemas.openxmlformats.org/officeDocument/2006/relationships/hyperlink" Target="https://tupiel.darsistemas.com/consulta/21440" TargetMode="External"/><Relationship Id="rId1546" Type="http://schemas.openxmlformats.org/officeDocument/2006/relationships/hyperlink" Target="https://tupiel.darsistemas.com/consulta_cups/costos?id=26107" TargetMode="External"/><Relationship Id="rId45" Type="http://schemas.openxmlformats.org/officeDocument/2006/relationships/hyperlink" Target="https://tupiel.darsistemas.com/consulta/35959" TargetMode="External"/><Relationship Id="rId1406" Type="http://schemas.openxmlformats.org/officeDocument/2006/relationships/hyperlink" Target="https://tupiel.darsistemas.com/consulta_cups/costos?id=26843" TargetMode="External"/><Relationship Id="rId1613" Type="http://schemas.openxmlformats.org/officeDocument/2006/relationships/hyperlink" Target="https://tupiel.darsistemas.com/consulta/35857" TargetMode="External"/><Relationship Id="rId194" Type="http://schemas.openxmlformats.org/officeDocument/2006/relationships/hyperlink" Target="https://tupiel.darsistemas.com/consulta_cups/costos?id=25769" TargetMode="External"/><Relationship Id="rId261" Type="http://schemas.openxmlformats.org/officeDocument/2006/relationships/hyperlink" Target="https://tupiel.darsistemas.com/consulta/25941" TargetMode="External"/><Relationship Id="rId499" Type="http://schemas.openxmlformats.org/officeDocument/2006/relationships/hyperlink" Target="https://tupiel.darsistemas.com/consulta/36109" TargetMode="External"/><Relationship Id="rId359" Type="http://schemas.openxmlformats.org/officeDocument/2006/relationships/hyperlink" Target="https://tupiel.darsistemas.com/consulta/35267" TargetMode="External"/><Relationship Id="rId566" Type="http://schemas.openxmlformats.org/officeDocument/2006/relationships/hyperlink" Target="https://tupiel.darsistemas.com/consulta_cups/costos?id=26186" TargetMode="External"/><Relationship Id="rId773" Type="http://schemas.openxmlformats.org/officeDocument/2006/relationships/hyperlink" Target="https://tupiel.darsistemas.com/consulta/36378" TargetMode="External"/><Relationship Id="rId1196" Type="http://schemas.openxmlformats.org/officeDocument/2006/relationships/hyperlink" Target="https://tupiel.darsistemas.com/consulta_cups/costos?id=26188" TargetMode="External"/><Relationship Id="rId121" Type="http://schemas.openxmlformats.org/officeDocument/2006/relationships/hyperlink" Target="https://tupiel.darsistemas.com/consulta/36113" TargetMode="External"/><Relationship Id="rId219" Type="http://schemas.openxmlformats.org/officeDocument/2006/relationships/hyperlink" Target="https://tupiel.darsistemas.com/consulta/36021" TargetMode="External"/><Relationship Id="rId426" Type="http://schemas.openxmlformats.org/officeDocument/2006/relationships/hyperlink" Target="https://tupiel.darsistemas.com/consulta_cups/costos?id=26200" TargetMode="External"/><Relationship Id="rId633" Type="http://schemas.openxmlformats.org/officeDocument/2006/relationships/hyperlink" Target="https://tupiel.darsistemas.com/consulta/26674" TargetMode="External"/><Relationship Id="rId980" Type="http://schemas.openxmlformats.org/officeDocument/2006/relationships/hyperlink" Target="https://tupiel.darsistemas.com/consulta_cups/costos?id=26094" TargetMode="External"/><Relationship Id="rId1056" Type="http://schemas.openxmlformats.org/officeDocument/2006/relationships/hyperlink" Target="https://tupiel.darsistemas.com/consulta_cups/costos?id=24920" TargetMode="External"/><Relationship Id="rId1263" Type="http://schemas.openxmlformats.org/officeDocument/2006/relationships/hyperlink" Target="https://tupiel.darsistemas.com/consulta/33848" TargetMode="External"/><Relationship Id="rId840" Type="http://schemas.openxmlformats.org/officeDocument/2006/relationships/hyperlink" Target="https://tupiel.darsistemas.com/consulta_cups/costos?id=26472" TargetMode="External"/><Relationship Id="rId938" Type="http://schemas.openxmlformats.org/officeDocument/2006/relationships/hyperlink" Target="https://tupiel.darsistemas.com/consulta_cups/costos?id=25058" TargetMode="External"/><Relationship Id="rId1470" Type="http://schemas.openxmlformats.org/officeDocument/2006/relationships/hyperlink" Target="https://tupiel.darsistemas.com/consulta_cups/costos?id=25269" TargetMode="External"/><Relationship Id="rId1568" Type="http://schemas.openxmlformats.org/officeDocument/2006/relationships/hyperlink" Target="https://tupiel.darsistemas.com/consulta_cups/costos?id=26282" TargetMode="External"/><Relationship Id="rId67" Type="http://schemas.openxmlformats.org/officeDocument/2006/relationships/hyperlink" Target="https://tupiel.darsistemas.com/consulta/35708" TargetMode="External"/><Relationship Id="rId700" Type="http://schemas.openxmlformats.org/officeDocument/2006/relationships/hyperlink" Target="https://tupiel.darsistemas.com/consulta_cups/costos?id=26314" TargetMode="External"/><Relationship Id="rId1123" Type="http://schemas.openxmlformats.org/officeDocument/2006/relationships/hyperlink" Target="https://tupiel.darsistemas.com/consulta/34368" TargetMode="External"/><Relationship Id="rId1330" Type="http://schemas.openxmlformats.org/officeDocument/2006/relationships/hyperlink" Target="https://tupiel.darsistemas.com/consulta_cups/costos?id=26787" TargetMode="External"/><Relationship Id="rId1428" Type="http://schemas.openxmlformats.org/officeDocument/2006/relationships/hyperlink" Target="https://tupiel.darsistemas.com/consulta_cups/costos?id=26815" TargetMode="External"/><Relationship Id="rId1635" Type="http://schemas.openxmlformats.org/officeDocument/2006/relationships/hyperlink" Target="https://tupiel.darsistemas.com/consulta/36102" TargetMode="External"/><Relationship Id="rId283" Type="http://schemas.openxmlformats.org/officeDocument/2006/relationships/hyperlink" Target="https://tupiel.darsistemas.com/consulta/34092" TargetMode="External"/><Relationship Id="rId490" Type="http://schemas.openxmlformats.org/officeDocument/2006/relationships/hyperlink" Target="https://tupiel.darsistemas.com/consulta_cups/costos?id=26071" TargetMode="External"/><Relationship Id="rId143" Type="http://schemas.openxmlformats.org/officeDocument/2006/relationships/hyperlink" Target="https://tupiel.darsistemas.com/consulta/36080" TargetMode="External"/><Relationship Id="rId350" Type="http://schemas.openxmlformats.org/officeDocument/2006/relationships/hyperlink" Target="https://tupiel.darsistemas.com/consulta_cups/costos?id=24463" TargetMode="External"/><Relationship Id="rId588" Type="http://schemas.openxmlformats.org/officeDocument/2006/relationships/hyperlink" Target="https://tupiel.darsistemas.com/consulta_cups/costos?id=22689" TargetMode="External"/><Relationship Id="rId795" Type="http://schemas.openxmlformats.org/officeDocument/2006/relationships/hyperlink" Target="https://tupiel.darsistemas.com/consulta/35589" TargetMode="External"/><Relationship Id="rId9" Type="http://schemas.openxmlformats.org/officeDocument/2006/relationships/hyperlink" Target="https://tupiel.darsistemas.com/consulta/35960" TargetMode="External"/><Relationship Id="rId210" Type="http://schemas.openxmlformats.org/officeDocument/2006/relationships/hyperlink" Target="https://tupiel.darsistemas.com/consulta_cups/costos?id=25964" TargetMode="External"/><Relationship Id="rId448" Type="http://schemas.openxmlformats.org/officeDocument/2006/relationships/hyperlink" Target="https://tupiel.darsistemas.com/consulta_cups/costos?id=24089" TargetMode="External"/><Relationship Id="rId655" Type="http://schemas.openxmlformats.org/officeDocument/2006/relationships/hyperlink" Target="https://tupiel.darsistemas.com/consulta/36218" TargetMode="External"/><Relationship Id="rId862" Type="http://schemas.openxmlformats.org/officeDocument/2006/relationships/hyperlink" Target="https://tupiel.darsistemas.com/consulta_cups/costos?id=26479" TargetMode="External"/><Relationship Id="rId1078" Type="http://schemas.openxmlformats.org/officeDocument/2006/relationships/hyperlink" Target="https://tupiel.darsistemas.com/consulta_cups/costos?id=26609" TargetMode="External"/><Relationship Id="rId1285" Type="http://schemas.openxmlformats.org/officeDocument/2006/relationships/hyperlink" Target="https://tupiel.darsistemas.com/consulta/36558" TargetMode="External"/><Relationship Id="rId1492" Type="http://schemas.openxmlformats.org/officeDocument/2006/relationships/hyperlink" Target="https://tupiel.darsistemas.com/consulta_cups/costos?id=26497" TargetMode="External"/><Relationship Id="rId308" Type="http://schemas.openxmlformats.org/officeDocument/2006/relationships/hyperlink" Target="https://tupiel.darsistemas.com/consulta_cups/costos?id=26117" TargetMode="External"/><Relationship Id="rId515" Type="http://schemas.openxmlformats.org/officeDocument/2006/relationships/hyperlink" Target="https://tupiel.darsistemas.com/consulta/34049" TargetMode="External"/><Relationship Id="rId722" Type="http://schemas.openxmlformats.org/officeDocument/2006/relationships/hyperlink" Target="https://tupiel.darsistemas.com/consulta_cups/costos?id=25643" TargetMode="External"/><Relationship Id="rId1145" Type="http://schemas.openxmlformats.org/officeDocument/2006/relationships/hyperlink" Target="https://tupiel.darsistemas.com/consulta/33615" TargetMode="External"/><Relationship Id="rId1352" Type="http://schemas.openxmlformats.org/officeDocument/2006/relationships/hyperlink" Target="https://tupiel.darsistemas.com/consulta_cups/costos?id=26707" TargetMode="External"/><Relationship Id="rId89" Type="http://schemas.openxmlformats.org/officeDocument/2006/relationships/hyperlink" Target="https://tupiel.darsistemas.com/consulta/36081" TargetMode="External"/><Relationship Id="rId1005" Type="http://schemas.openxmlformats.org/officeDocument/2006/relationships/hyperlink" Target="https://tupiel.darsistemas.com/consulta/33003" TargetMode="External"/><Relationship Id="rId1212" Type="http://schemas.openxmlformats.org/officeDocument/2006/relationships/hyperlink" Target="https://tupiel.darsistemas.com/consulta_cups/costos?id=26730" TargetMode="External"/><Relationship Id="rId1657" Type="http://schemas.openxmlformats.org/officeDocument/2006/relationships/hyperlink" Target="https://tupiel.darsistemas.com/consulta/36286" TargetMode="External"/><Relationship Id="rId1517" Type="http://schemas.openxmlformats.org/officeDocument/2006/relationships/hyperlink" Target="https://tupiel.darsistemas.com/consulta/27214" TargetMode="External"/><Relationship Id="rId16" Type="http://schemas.openxmlformats.org/officeDocument/2006/relationships/hyperlink" Target="https://tupiel.darsistemas.com/consulta_cups/costos?id=25819" TargetMode="External"/><Relationship Id="rId165" Type="http://schemas.openxmlformats.org/officeDocument/2006/relationships/hyperlink" Target="https://tupiel.darsistemas.com/consulta/30870" TargetMode="External"/><Relationship Id="rId372" Type="http://schemas.openxmlformats.org/officeDocument/2006/relationships/hyperlink" Target="https://tupiel.darsistemas.com/consulta_cups/costos?id=26192" TargetMode="External"/><Relationship Id="rId677" Type="http://schemas.openxmlformats.org/officeDocument/2006/relationships/hyperlink" Target="https://tupiel.darsistemas.com/consulta/31296" TargetMode="External"/><Relationship Id="rId232" Type="http://schemas.openxmlformats.org/officeDocument/2006/relationships/hyperlink" Target="https://tupiel.darsistemas.com/consulta_cups/costos?id=25971" TargetMode="External"/><Relationship Id="rId884" Type="http://schemas.openxmlformats.org/officeDocument/2006/relationships/hyperlink" Target="https://tupiel.darsistemas.com/consulta_cups/costos?id=26446" TargetMode="External"/><Relationship Id="rId537" Type="http://schemas.openxmlformats.org/officeDocument/2006/relationships/hyperlink" Target="https://tupiel.darsistemas.com/consulta/34464" TargetMode="External"/><Relationship Id="rId744" Type="http://schemas.openxmlformats.org/officeDocument/2006/relationships/hyperlink" Target="https://tupiel.darsistemas.com/consulta_cups/costos?id=26399" TargetMode="External"/><Relationship Id="rId951" Type="http://schemas.openxmlformats.org/officeDocument/2006/relationships/hyperlink" Target="https://tupiel.darsistemas.com/consulta/30155" TargetMode="External"/><Relationship Id="rId1167" Type="http://schemas.openxmlformats.org/officeDocument/2006/relationships/hyperlink" Target="https://tupiel.darsistemas.com/consulta/35491" TargetMode="External"/><Relationship Id="rId1374" Type="http://schemas.openxmlformats.org/officeDocument/2006/relationships/hyperlink" Target="https://tupiel.darsistemas.com/consulta_cups/costos?id=26821" TargetMode="External"/><Relationship Id="rId1581" Type="http://schemas.openxmlformats.org/officeDocument/2006/relationships/hyperlink" Target="https://tupiel.darsistemas.com/consulta/34846" TargetMode="External"/><Relationship Id="rId1679" Type="http://schemas.openxmlformats.org/officeDocument/2006/relationships/hyperlink" Target="https://tupiel.darsistemas.com/consulta/36441" TargetMode="External"/><Relationship Id="rId80" Type="http://schemas.openxmlformats.org/officeDocument/2006/relationships/hyperlink" Target="https://tupiel.darsistemas.com/consulta_cups/costos?id=25817" TargetMode="External"/><Relationship Id="rId604" Type="http://schemas.openxmlformats.org/officeDocument/2006/relationships/hyperlink" Target="https://tupiel.darsistemas.com/consulta_cups/costos?id=26327" TargetMode="External"/><Relationship Id="rId811" Type="http://schemas.openxmlformats.org/officeDocument/2006/relationships/hyperlink" Target="https://tupiel.darsistemas.com/consulta/31191" TargetMode="External"/><Relationship Id="rId1027" Type="http://schemas.openxmlformats.org/officeDocument/2006/relationships/hyperlink" Target="https://tupiel.darsistemas.com/consulta/34444" TargetMode="External"/><Relationship Id="rId1234" Type="http://schemas.openxmlformats.org/officeDocument/2006/relationships/hyperlink" Target="https://tupiel.darsistemas.com/consulta_cups/costos?id=24685" TargetMode="External"/><Relationship Id="rId1441" Type="http://schemas.openxmlformats.org/officeDocument/2006/relationships/hyperlink" Target="https://tupiel.darsistemas.com/consulta/2015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4828-F9C8-46FD-94C3-341150178E1C}">
  <dimension ref="B2:N30"/>
  <sheetViews>
    <sheetView showGridLines="0" workbookViewId="0">
      <selection activeCell="C25" sqref="C25"/>
    </sheetView>
  </sheetViews>
  <sheetFormatPr baseColWidth="10" defaultColWidth="11.3984375" defaultRowHeight="13.8"/>
  <cols>
    <col min="1" max="1" width="3" style="198" customWidth="1"/>
    <col min="2" max="2" width="21.796875" style="198" customWidth="1"/>
    <col min="3" max="3" width="17.3984375" style="198" customWidth="1"/>
    <col min="4" max="4" width="5.09765625" style="198" customWidth="1"/>
    <col min="5" max="5" width="27.59765625" style="198" customWidth="1"/>
    <col min="6" max="6" width="8.59765625" style="201" customWidth="1"/>
    <col min="7" max="7" width="1.3984375" style="201" customWidth="1"/>
    <col min="8" max="8" width="33.296875" style="237" customWidth="1"/>
    <col min="9" max="9" width="8.59765625" style="201" customWidth="1"/>
    <col min="10" max="16384" width="11.3984375" style="198"/>
  </cols>
  <sheetData>
    <row r="2" spans="2:14" ht="17.399999999999999">
      <c r="B2" s="356" t="s">
        <v>148</v>
      </c>
      <c r="C2" s="356"/>
      <c r="E2" s="356" t="s">
        <v>169</v>
      </c>
      <c r="F2" s="356"/>
      <c r="G2" s="356"/>
      <c r="H2" s="356"/>
      <c r="I2" s="356"/>
    </row>
    <row r="3" spans="2:14" ht="14.4" thickBot="1">
      <c r="B3" s="357"/>
      <c r="C3" s="357"/>
      <c r="E3" s="358" t="s">
        <v>149</v>
      </c>
      <c r="F3" s="358"/>
      <c r="G3" s="199"/>
      <c r="H3" s="200">
        <f>C7</f>
        <v>46072</v>
      </c>
    </row>
    <row r="4" spans="2:14" ht="14.4" thickBot="1">
      <c r="B4" s="359" t="s">
        <v>191</v>
      </c>
      <c r="C4" s="360"/>
      <c r="E4" s="346" t="s">
        <v>150</v>
      </c>
      <c r="F4" s="347"/>
      <c r="G4" s="202"/>
      <c r="H4" s="348" t="s">
        <v>151</v>
      </c>
      <c r="I4" s="349"/>
    </row>
    <row r="5" spans="2:14">
      <c r="B5" s="203" t="s">
        <v>48</v>
      </c>
      <c r="C5" s="204">
        <f>'BALANCE PPTO'!E15</f>
        <v>24</v>
      </c>
      <c r="E5" s="307" t="s">
        <v>1271</v>
      </c>
      <c r="F5" s="211">
        <v>5000</v>
      </c>
      <c r="G5" s="206"/>
      <c r="H5" s="307" t="s">
        <v>1271</v>
      </c>
      <c r="I5" s="205">
        <v>20</v>
      </c>
    </row>
    <row r="6" spans="2:14">
      <c r="B6" s="208" t="s">
        <v>49</v>
      </c>
      <c r="C6" s="209">
        <f>'TABLERO Y AGENDA'!P3</f>
        <v>16</v>
      </c>
      <c r="E6" s="309" t="s">
        <v>1272</v>
      </c>
      <c r="F6" s="311">
        <f>F22</f>
        <v>2328</v>
      </c>
      <c r="G6" s="212"/>
      <c r="H6" s="345" t="s">
        <v>1272</v>
      </c>
      <c r="I6" s="311">
        <f>I22</f>
        <v>3</v>
      </c>
    </row>
    <row r="7" spans="2:14" ht="14.4" thickBot="1">
      <c r="B7" s="208" t="s">
        <v>42</v>
      </c>
      <c r="C7" s="214">
        <f>'TABLERO Y AGENDA'!N3</f>
        <v>46072</v>
      </c>
      <c r="E7" s="215" t="s">
        <v>1273</v>
      </c>
      <c r="F7" s="216">
        <f>F5-F6</f>
        <v>2672</v>
      </c>
      <c r="G7" s="206"/>
      <c r="H7" s="217" t="s">
        <v>1273</v>
      </c>
      <c r="I7" s="216">
        <f>I5-I6</f>
        <v>17</v>
      </c>
    </row>
    <row r="8" spans="2:14" ht="15" customHeight="1" thickBot="1">
      <c r="B8" s="294" t="s">
        <v>192</v>
      </c>
      <c r="C8" s="218">
        <v>60000000</v>
      </c>
      <c r="E8" s="350" t="s">
        <v>155</v>
      </c>
      <c r="F8" s="351"/>
      <c r="G8" s="219"/>
      <c r="H8" s="352" t="s">
        <v>156</v>
      </c>
      <c r="I8" s="353"/>
    </row>
    <row r="9" spans="2:14" ht="15" customHeight="1">
      <c r="B9" s="208" t="s">
        <v>157</v>
      </c>
      <c r="C9" s="220">
        <f>+C8/C5</f>
        <v>2500000</v>
      </c>
      <c r="E9" s="307" t="s">
        <v>1271</v>
      </c>
      <c r="F9" s="221">
        <v>20</v>
      </c>
      <c r="G9" s="222"/>
      <c r="H9" s="207" t="s">
        <v>158</v>
      </c>
      <c r="I9" s="223">
        <v>10</v>
      </c>
    </row>
    <row r="10" spans="2:14">
      <c r="B10" s="208" t="s">
        <v>159</v>
      </c>
      <c r="C10" s="224">
        <f>+(C8/C5)*C6</f>
        <v>40000000</v>
      </c>
      <c r="E10" s="309" t="s">
        <v>1272</v>
      </c>
      <c r="F10" s="225">
        <f>F26</f>
        <v>3</v>
      </c>
      <c r="G10" s="222"/>
      <c r="H10" s="213" t="s">
        <v>160</v>
      </c>
      <c r="I10" s="211">
        <v>20</v>
      </c>
    </row>
    <row r="11" spans="2:14" ht="15" customHeight="1" thickBot="1">
      <c r="B11" s="294" t="s">
        <v>193</v>
      </c>
      <c r="C11" s="226">
        <v>47404171</v>
      </c>
      <c r="E11" s="215" t="s">
        <v>1273</v>
      </c>
      <c r="F11" s="227">
        <f>F9-F10</f>
        <v>17</v>
      </c>
      <c r="G11" s="222"/>
      <c r="H11" s="213" t="s">
        <v>162</v>
      </c>
      <c r="I11" s="211">
        <v>4</v>
      </c>
    </row>
    <row r="12" spans="2:14" ht="15" customHeight="1" thickBot="1">
      <c r="B12" s="208" t="s">
        <v>163</v>
      </c>
      <c r="C12" s="226">
        <f>+C11-C10</f>
        <v>7404171</v>
      </c>
      <c r="E12" s="354" t="s">
        <v>164</v>
      </c>
      <c r="F12" s="355"/>
      <c r="G12" s="219"/>
      <c r="H12" s="213" t="s">
        <v>165</v>
      </c>
      <c r="I12" s="211">
        <v>3</v>
      </c>
    </row>
    <row r="13" spans="2:14">
      <c r="B13" s="228" t="s">
        <v>90</v>
      </c>
      <c r="C13" s="218">
        <f>C8-C11</f>
        <v>12595829</v>
      </c>
      <c r="E13" s="307" t="s">
        <v>1271</v>
      </c>
      <c r="F13" s="221">
        <v>17</v>
      </c>
      <c r="G13" s="222"/>
      <c r="H13" s="307" t="s">
        <v>1271</v>
      </c>
      <c r="I13" s="211">
        <f>SUM(I9:I12)</f>
        <v>37</v>
      </c>
    </row>
    <row r="14" spans="2:14">
      <c r="B14" s="229" t="s">
        <v>166</v>
      </c>
      <c r="C14" s="230">
        <f>C10/C8</f>
        <v>0.66666666666666663</v>
      </c>
      <c r="E14" s="309" t="s">
        <v>1272</v>
      </c>
      <c r="F14" s="225">
        <f>F30</f>
        <v>15</v>
      </c>
      <c r="G14" s="222"/>
      <c r="H14" s="310" t="s">
        <v>1272</v>
      </c>
      <c r="I14" s="211">
        <f>I30</f>
        <v>17</v>
      </c>
      <c r="N14" s="308" t="s">
        <v>133</v>
      </c>
    </row>
    <row r="15" spans="2:14" ht="14.4" thickBot="1">
      <c r="B15" s="231" t="s">
        <v>167</v>
      </c>
      <c r="C15" s="232">
        <f>+C11/C8</f>
        <v>0.79006951666666669</v>
      </c>
      <c r="E15" s="233" t="s">
        <v>1273</v>
      </c>
      <c r="F15" s="234">
        <f>F13-F14</f>
        <v>2</v>
      </c>
      <c r="G15" s="222"/>
      <c r="H15" s="235" t="s">
        <v>1273</v>
      </c>
      <c r="I15" s="236">
        <f>I13-I14</f>
        <v>20</v>
      </c>
    </row>
    <row r="16" spans="2:14">
      <c r="F16" s="198"/>
      <c r="G16" s="198"/>
    </row>
    <row r="17" spans="5:9">
      <c r="F17" s="198"/>
      <c r="G17" s="198"/>
    </row>
    <row r="18" spans="5:9" ht="14.4" thickBot="1">
      <c r="F18" s="198"/>
      <c r="G18" s="198"/>
    </row>
    <row r="19" spans="5:9" ht="14.4" thickBot="1">
      <c r="E19" s="346" t="s">
        <v>150</v>
      </c>
      <c r="F19" s="347"/>
      <c r="G19" s="202"/>
      <c r="H19" s="348" t="s">
        <v>151</v>
      </c>
      <c r="I19" s="349"/>
    </row>
    <row r="20" spans="5:9">
      <c r="E20" s="307" t="s">
        <v>1271</v>
      </c>
      <c r="F20" s="211">
        <v>14359</v>
      </c>
      <c r="G20" s="206"/>
      <c r="H20" s="307" t="s">
        <v>1271</v>
      </c>
      <c r="I20" s="205">
        <v>49</v>
      </c>
    </row>
    <row r="21" spans="5:9">
      <c r="E21" s="210" t="s">
        <v>152</v>
      </c>
      <c r="F21" s="211">
        <v>12031</v>
      </c>
      <c r="G21" s="212"/>
      <c r="H21" s="213" t="s">
        <v>152</v>
      </c>
      <c r="I21" s="211">
        <v>46</v>
      </c>
    </row>
    <row r="22" spans="5:9" ht="14.4" thickBot="1">
      <c r="E22" s="215" t="s">
        <v>153</v>
      </c>
      <c r="F22" s="216">
        <f>F20-F21</f>
        <v>2328</v>
      </c>
      <c r="G22" s="206"/>
      <c r="H22" s="217" t="s">
        <v>154</v>
      </c>
      <c r="I22" s="216">
        <f>I20-I21</f>
        <v>3</v>
      </c>
    </row>
    <row r="23" spans="5:9" ht="14.4" thickBot="1">
      <c r="E23" s="350" t="s">
        <v>155</v>
      </c>
      <c r="F23" s="351"/>
      <c r="G23" s="219"/>
      <c r="H23" s="352" t="s">
        <v>156</v>
      </c>
      <c r="I23" s="353"/>
    </row>
    <row r="24" spans="5:9">
      <c r="E24" s="307" t="s">
        <v>1271</v>
      </c>
      <c r="F24" s="221">
        <v>89</v>
      </c>
      <c r="G24" s="222"/>
      <c r="H24" s="207" t="s">
        <v>158</v>
      </c>
      <c r="I24" s="223">
        <v>40</v>
      </c>
    </row>
    <row r="25" spans="5:9">
      <c r="E25" s="210" t="s">
        <v>152</v>
      </c>
      <c r="F25" s="225">
        <v>86</v>
      </c>
      <c r="G25" s="222"/>
      <c r="H25" s="213" t="s">
        <v>160</v>
      </c>
      <c r="I25" s="211">
        <v>64</v>
      </c>
    </row>
    <row r="26" spans="5:9" ht="14.4" thickBot="1">
      <c r="E26" s="215" t="s">
        <v>161</v>
      </c>
      <c r="F26" s="227">
        <f>F24-F25</f>
        <v>3</v>
      </c>
      <c r="G26" s="222"/>
      <c r="H26" s="213" t="s">
        <v>162</v>
      </c>
      <c r="I26" s="211">
        <v>19</v>
      </c>
    </row>
    <row r="27" spans="5:9" ht="14.4" thickBot="1">
      <c r="E27" s="354" t="s">
        <v>164</v>
      </c>
      <c r="F27" s="355"/>
      <c r="G27" s="219"/>
      <c r="H27" s="213" t="s">
        <v>165</v>
      </c>
      <c r="I27" s="211">
        <v>3</v>
      </c>
    </row>
    <row r="28" spans="5:9">
      <c r="E28" s="307" t="s">
        <v>1271</v>
      </c>
      <c r="F28" s="221">
        <v>17</v>
      </c>
      <c r="G28" s="222"/>
      <c r="H28" s="307" t="s">
        <v>1271</v>
      </c>
      <c r="I28" s="211">
        <v>143</v>
      </c>
    </row>
    <row r="29" spans="5:9">
      <c r="E29" s="210" t="s">
        <v>152</v>
      </c>
      <c r="F29" s="225">
        <v>2</v>
      </c>
      <c r="G29" s="222"/>
      <c r="H29" s="213" t="s">
        <v>152</v>
      </c>
      <c r="I29" s="211">
        <f>I24+I25+I26+I27</f>
        <v>126</v>
      </c>
    </row>
    <row r="30" spans="5:9" ht="14.4" thickBot="1">
      <c r="E30" s="233" t="s">
        <v>190</v>
      </c>
      <c r="F30" s="234">
        <f>F28-F29</f>
        <v>15</v>
      </c>
      <c r="G30" s="222"/>
      <c r="H30" s="235" t="s">
        <v>168</v>
      </c>
      <c r="I30" s="236">
        <f>I28-I29</f>
        <v>17</v>
      </c>
    </row>
  </sheetData>
  <mergeCells count="15">
    <mergeCell ref="E8:F8"/>
    <mergeCell ref="H8:I8"/>
    <mergeCell ref="E12:F12"/>
    <mergeCell ref="B2:C2"/>
    <mergeCell ref="E2:I2"/>
    <mergeCell ref="B3:C3"/>
    <mergeCell ref="E3:F3"/>
    <mergeCell ref="B4:C4"/>
    <mergeCell ref="E4:F4"/>
    <mergeCell ref="H4:I4"/>
    <mergeCell ref="E19:F19"/>
    <mergeCell ref="H19:I19"/>
    <mergeCell ref="E23:F23"/>
    <mergeCell ref="H23:I23"/>
    <mergeCell ref="E27:F27"/>
  </mergeCells>
  <conditionalFormatting sqref="C15">
    <cfRule type="cellIs" dxfId="43" priority="2" operator="lessThan">
      <formula>$C$14</formula>
    </cfRule>
    <cfRule type="cellIs" dxfId="42" priority="3" operator="lessThan">
      <formula>0</formula>
    </cfRule>
    <cfRule type="cellIs" dxfId="41" priority="4" operator="greaterThan">
      <formula>$C$14</formula>
    </cfRule>
  </conditionalFormatting>
  <conditionalFormatting sqref="F7:G7 I7 F11:G11 F15:G15 I15">
    <cfRule type="cellIs" dxfId="40" priority="5" operator="greaterThan">
      <formula>0</formula>
    </cfRule>
  </conditionalFormatting>
  <conditionalFormatting sqref="F22:G22 I22 F26:G26 F30:G30 I30">
    <cfRule type="cellIs" dxfId="39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CD4D-3286-4629-92C2-EC4AB52A7B64}">
  <dimension ref="A2:T624"/>
  <sheetViews>
    <sheetView showGridLines="0" zoomScale="80" zoomScaleNormal="80" workbookViewId="0">
      <selection activeCell="D28" sqref="D28"/>
    </sheetView>
  </sheetViews>
  <sheetFormatPr baseColWidth="10" defaultColWidth="12.59765625" defaultRowHeight="15" customHeight="1"/>
  <cols>
    <col min="1" max="1" width="4.296875" style="51" customWidth="1"/>
    <col min="2" max="2" width="17.19921875" style="51" customWidth="1"/>
    <col min="3" max="3" width="38" style="51" customWidth="1"/>
    <col min="4" max="4" width="18.09765625" style="51" customWidth="1"/>
    <col min="5" max="5" width="15.5" style="51" customWidth="1"/>
    <col min="6" max="6" width="16.5" style="51" customWidth="1"/>
    <col min="7" max="8" width="15.5" style="51" customWidth="1"/>
    <col min="9" max="9" width="15.5" style="51" hidden="1" customWidth="1"/>
    <col min="10" max="12" width="15.5" style="51" customWidth="1"/>
    <col min="13" max="13" width="10.09765625" style="51" hidden="1" customWidth="1"/>
    <col min="14" max="14" width="6.296875" style="53" customWidth="1"/>
    <col min="15" max="15" width="22.8984375" style="13" hidden="1" customWidth="1"/>
    <col min="16" max="16" width="23.59765625" style="51" hidden="1" customWidth="1"/>
    <col min="17" max="17" width="13.69921875" style="51" hidden="1" customWidth="1"/>
    <col min="18" max="18" width="13.59765625" style="51" hidden="1" customWidth="1"/>
    <col min="19" max="29" width="12.3984375" style="51" customWidth="1"/>
    <col min="30" max="16384" width="12.59765625" style="51"/>
  </cols>
  <sheetData>
    <row r="2" spans="1:20" ht="15" customHeight="1"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</row>
    <row r="3" spans="1:20" ht="15" customHeight="1" thickBot="1"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</row>
    <row r="4" spans="1:20" ht="15" customHeight="1" thickBot="1">
      <c r="A4" s="54"/>
      <c r="B4" s="175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78" t="s">
        <v>38</v>
      </c>
      <c r="N4" s="9"/>
      <c r="O4" s="368" t="s">
        <v>84</v>
      </c>
      <c r="P4" s="369"/>
    </row>
    <row r="5" spans="1:20" ht="15" customHeight="1">
      <c r="A5" s="54"/>
      <c r="B5" s="370"/>
      <c r="C5" s="179"/>
      <c r="D5" s="124"/>
      <c r="E5" s="125"/>
      <c r="F5" s="125"/>
      <c r="G5" s="173"/>
      <c r="H5" s="174"/>
      <c r="I5" s="173"/>
      <c r="J5" s="125"/>
      <c r="K5" s="176"/>
      <c r="L5" s="174"/>
      <c r="M5" s="70" t="e">
        <f>(E5+J5)/F5</f>
        <v>#DIV/0!</v>
      </c>
      <c r="N5" s="7"/>
      <c r="O5" s="371">
        <f>'PPTO TP LOUNGE'!P18</f>
        <v>46072</v>
      </c>
      <c r="P5" s="372"/>
    </row>
    <row r="6" spans="1:20" ht="15" customHeight="1" thickBot="1">
      <c r="A6" s="54"/>
      <c r="B6" s="370"/>
      <c r="C6" s="186"/>
      <c r="D6" s="187"/>
      <c r="E6" s="125"/>
      <c r="F6" s="188"/>
      <c r="G6" s="189"/>
      <c r="H6" s="190"/>
      <c r="I6" s="189"/>
      <c r="J6" s="188"/>
      <c r="K6" s="176"/>
      <c r="L6" s="190"/>
      <c r="M6" s="70" t="e">
        <f>(E6+J6)/F6</f>
        <v>#DIV/0!</v>
      </c>
      <c r="N6" s="7"/>
      <c r="O6" s="373"/>
      <c r="P6" s="374"/>
    </row>
    <row r="7" spans="1:20" ht="15" customHeight="1" thickBot="1">
      <c r="A7" s="54"/>
      <c r="B7" s="370"/>
      <c r="C7" s="179"/>
      <c r="D7" s="124"/>
      <c r="E7" s="125"/>
      <c r="F7" s="125"/>
      <c r="G7" s="173"/>
      <c r="H7" s="174"/>
      <c r="I7" s="173"/>
      <c r="J7" s="125"/>
      <c r="K7" s="176"/>
      <c r="L7" s="174"/>
      <c r="M7" s="70"/>
      <c r="N7" s="7"/>
      <c r="O7" s="55"/>
      <c r="P7" s="55"/>
      <c r="R7" s="51" t="s">
        <v>121</v>
      </c>
    </row>
    <row r="8" spans="1:20" ht="15" customHeight="1" thickBot="1">
      <c r="A8" s="56"/>
      <c r="B8" s="370"/>
      <c r="C8" s="177"/>
      <c r="D8" s="124"/>
      <c r="E8" s="125"/>
      <c r="F8" s="125"/>
      <c r="G8" s="173"/>
      <c r="H8" s="174"/>
      <c r="I8" s="173"/>
      <c r="J8" s="125"/>
      <c r="K8" s="176"/>
      <c r="L8" s="174"/>
      <c r="M8" s="70" t="e">
        <f>(E8+J8)/F8</f>
        <v>#DIV/0!</v>
      </c>
      <c r="N8" s="7"/>
      <c r="O8" s="165" t="s">
        <v>113</v>
      </c>
      <c r="P8" s="165" t="s">
        <v>114</v>
      </c>
      <c r="Q8" s="116"/>
    </row>
    <row r="9" spans="1:20" ht="15" customHeight="1" thickBot="1">
      <c r="A9" s="54"/>
      <c r="B9" s="370"/>
      <c r="C9" s="172"/>
      <c r="D9" s="124"/>
      <c r="E9" s="125"/>
      <c r="F9" s="125"/>
      <c r="G9" s="173"/>
      <c r="H9" s="174"/>
      <c r="I9" s="173"/>
      <c r="J9" s="125"/>
      <c r="K9" s="176"/>
      <c r="L9" s="174"/>
      <c r="M9" s="71" t="e">
        <f>(E10+J10)/F10</f>
        <v>#DIV/0!</v>
      </c>
      <c r="N9" s="161"/>
      <c r="O9" s="50">
        <f>'PPTO TP LOUNGE'!P31</f>
        <v>0.66666666666666663</v>
      </c>
      <c r="P9" s="50">
        <f>P32</f>
        <v>0.65254680851063829</v>
      </c>
      <c r="T9" s="13"/>
    </row>
    <row r="10" spans="1:20" ht="15" customHeight="1" thickBot="1">
      <c r="A10" s="54"/>
      <c r="B10" s="370"/>
      <c r="C10" s="177"/>
      <c r="D10" s="124"/>
      <c r="E10" s="125"/>
      <c r="F10" s="125"/>
      <c r="G10" s="173"/>
      <c r="H10" s="174"/>
      <c r="I10" s="173"/>
      <c r="J10" s="125"/>
      <c r="K10" s="176"/>
      <c r="L10" s="174"/>
      <c r="M10" s="70" t="e">
        <f>(E11+J11)/F11</f>
        <v>#DIV/0!</v>
      </c>
      <c r="N10" s="7"/>
      <c r="O10" s="165" t="str">
        <f>O33</f>
        <v>% DIFERENCIA</v>
      </c>
      <c r="P10" s="165" t="s">
        <v>115</v>
      </c>
    </row>
    <row r="11" spans="1:20" ht="15" customHeight="1" thickBot="1">
      <c r="A11" s="54"/>
      <c r="B11" s="370"/>
      <c r="C11" s="179"/>
      <c r="D11" s="124"/>
      <c r="E11" s="125"/>
      <c r="F11" s="125"/>
      <c r="G11" s="173"/>
      <c r="H11" s="174"/>
      <c r="I11" s="173"/>
      <c r="J11" s="125"/>
      <c r="K11" s="176"/>
      <c r="L11" s="174"/>
      <c r="M11" s="70">
        <f>(E17+J17)/F17</f>
        <v>1.42275</v>
      </c>
      <c r="N11" s="161"/>
      <c r="O11" s="120">
        <f>P33</f>
        <v>-1.4119858156028342E-2</v>
      </c>
      <c r="P11" s="50">
        <f>100%-P9</f>
        <v>0.34745319148936171</v>
      </c>
    </row>
    <row r="12" spans="1:20" ht="15" customHeight="1" thickBot="1">
      <c r="A12" s="54"/>
      <c r="E12" s="164"/>
      <c r="M12" s="70">
        <f>(E18+J18)/F18</f>
        <v>0.42375000000000002</v>
      </c>
      <c r="N12" s="161"/>
      <c r="O12" s="51"/>
    </row>
    <row r="13" spans="1:20" ht="15" customHeight="1" thickBot="1">
      <c r="A13" s="54"/>
      <c r="M13" s="72">
        <f>(E19+J19)/F19</f>
        <v>1.0035000000000001</v>
      </c>
      <c r="N13" s="7"/>
      <c r="O13" s="117">
        <f>P25</f>
        <v>0.87602021276595743</v>
      </c>
      <c r="P13" s="119">
        <f>(P19*P25)</f>
        <v>411729500</v>
      </c>
      <c r="Q13" s="116" t="s">
        <v>116</v>
      </c>
    </row>
    <row r="14" spans="1:20" ht="15" customHeight="1" thickBot="1">
      <c r="A14" s="54"/>
      <c r="B14" s="366" t="s">
        <v>144</v>
      </c>
      <c r="C14" s="366"/>
      <c r="D14" s="366"/>
      <c r="E14" s="366"/>
      <c r="F14" s="366"/>
      <c r="G14" s="366"/>
      <c r="H14" s="366"/>
      <c r="I14" s="366"/>
      <c r="J14" s="366"/>
      <c r="K14" s="366"/>
      <c r="L14" s="366"/>
      <c r="M14" s="106"/>
      <c r="N14" s="161"/>
      <c r="O14" s="7"/>
    </row>
    <row r="15" spans="1:20" ht="15" customHeight="1" thickBot="1">
      <c r="A15" s="54"/>
      <c r="B15" s="367"/>
      <c r="C15" s="367"/>
      <c r="D15" s="367"/>
      <c r="E15" s="367"/>
      <c r="F15" s="367"/>
      <c r="G15" s="367"/>
      <c r="H15" s="367"/>
      <c r="I15" s="367"/>
      <c r="J15" s="367"/>
      <c r="K15" s="367"/>
      <c r="L15" s="367"/>
      <c r="M15" s="69">
        <f>(E20+J20)/F20</f>
        <v>0.16437499999999999</v>
      </c>
      <c r="N15" s="161"/>
      <c r="O15" s="368" t="s">
        <v>135</v>
      </c>
      <c r="P15" s="369"/>
      <c r="Q15" s="116"/>
    </row>
    <row r="16" spans="1:20" ht="22.2" customHeight="1" thickBot="1">
      <c r="A16" s="54"/>
      <c r="B16" s="194">
        <f>'TABLERO Y AGENDA'!N3</f>
        <v>46072</v>
      </c>
      <c r="C16" s="195" t="s">
        <v>0</v>
      </c>
      <c r="D16" s="195" t="s">
        <v>1</v>
      </c>
      <c r="E16" s="195" t="s">
        <v>82</v>
      </c>
      <c r="F16" s="195" t="s">
        <v>46</v>
      </c>
      <c r="G16" s="195" t="s">
        <v>117</v>
      </c>
      <c r="H16" s="195" t="s">
        <v>124</v>
      </c>
      <c r="I16" s="195" t="s">
        <v>125</v>
      </c>
      <c r="J16" s="195" t="s">
        <v>128</v>
      </c>
      <c r="K16" s="195" t="s">
        <v>129</v>
      </c>
      <c r="L16" s="195" t="s">
        <v>130</v>
      </c>
      <c r="O16" s="65" t="s">
        <v>48</v>
      </c>
      <c r="P16" s="66">
        <f>'BALANCE PPTO'!E15</f>
        <v>24</v>
      </c>
      <c r="Q16" s="116"/>
    </row>
    <row r="17" spans="1:19" ht="20.399999999999999" customHeight="1">
      <c r="A17" s="54"/>
      <c r="B17" s="361" t="s">
        <v>145</v>
      </c>
      <c r="C17" s="162" t="s">
        <v>122</v>
      </c>
      <c r="D17" s="129">
        <f>+COUNTIF(INFO.RENTABILIDAD!$F:F,C17)</f>
        <v>17</v>
      </c>
      <c r="E17" s="130">
        <f>SUMIFS(INFO.RENTABILIDAD!$L$1:$L$15000,INFO.RENTABILIDAD!$F$1:$F$15000,C17,INFO.RENTABILIDAD!$W$1:$W$15000,"SI")</f>
        <v>2340000</v>
      </c>
      <c r="F17" s="130">
        <v>8000000</v>
      </c>
      <c r="G17" s="131">
        <f>E17/F17</f>
        <v>0.29249999999999998</v>
      </c>
      <c r="H17" s="153">
        <f>(F17/$P$16)*$P$17</f>
        <v>5333333.333333333</v>
      </c>
      <c r="I17" s="131">
        <f>J17/F17</f>
        <v>1.13025</v>
      </c>
      <c r="J17" s="130">
        <f>SUMIF(INFO.PROYECCIÓN!$F:$F,C17,INFO.PROYECCIÓN!L:L)</f>
        <v>9042000</v>
      </c>
      <c r="K17" s="196">
        <f>(L17/F17)</f>
        <v>0.42275000000000001</v>
      </c>
      <c r="L17" s="156">
        <f>-(+F17-E17-J17)</f>
        <v>3382000</v>
      </c>
      <c r="O17" s="59" t="s">
        <v>49</v>
      </c>
      <c r="P17" s="73">
        <f>'BALANCE PPTO'!E16</f>
        <v>16</v>
      </c>
    </row>
    <row r="18" spans="1:19" ht="20.399999999999999" customHeight="1">
      <c r="A18" s="54"/>
      <c r="B18" s="362"/>
      <c r="C18" s="166" t="s">
        <v>134</v>
      </c>
      <c r="D18" s="107">
        <f>+COUNTIF(INFO.RENTABILIDAD!$F:F,C18)</f>
        <v>32</v>
      </c>
      <c r="E18" s="167">
        <f>SUMIFS(INFO.RENTABILIDAD!$L$1:$L$15000,INFO.RENTABILIDAD!$F$1:$F$15000,C18,INFO.RENTABILIDAD!$W$1:$W$15000,"SI")</f>
        <v>3390000</v>
      </c>
      <c r="F18" s="10">
        <v>8000000</v>
      </c>
      <c r="G18" s="8">
        <f>E18/F18</f>
        <v>0.42375000000000002</v>
      </c>
      <c r="H18" s="154">
        <f>(F18/$P$16)*$P$17</f>
        <v>5333333.333333333</v>
      </c>
      <c r="I18" s="8">
        <f>J18/F18</f>
        <v>0</v>
      </c>
      <c r="J18" s="10">
        <f>SUMIF(INFO.PROYECCIÓN!$F:$F,C18,INFO.PROYECCIÓN!L:L)</f>
        <v>0</v>
      </c>
      <c r="K18" s="155">
        <f>(L18/F18)</f>
        <v>-0.57625000000000004</v>
      </c>
      <c r="L18" s="157">
        <f>-(+F18-E18-J18)</f>
        <v>-4610000</v>
      </c>
      <c r="O18" s="58" t="s">
        <v>42</v>
      </c>
      <c r="P18" s="16">
        <f>'TABLERO Y AGENDA'!N3</f>
        <v>46072</v>
      </c>
    </row>
    <row r="19" spans="1:19" ht="20.399999999999999" customHeight="1">
      <c r="A19" s="54"/>
      <c r="B19" s="362"/>
      <c r="C19" s="118" t="s">
        <v>106</v>
      </c>
      <c r="D19" s="107">
        <f>+COUNTIF(INFO.RENTABILIDAD!$F:F,C19)</f>
        <v>46</v>
      </c>
      <c r="E19" s="167">
        <f>SUMIFS(INFO.RENTABILIDAD!$L$1:$L$15000,INFO.RENTABILIDAD!$F$1:$F$15000,C19,INFO.RENTABILIDAD!$W$1:$W$15000,"SI")</f>
        <v>6916000</v>
      </c>
      <c r="F19" s="10">
        <v>8000000</v>
      </c>
      <c r="G19" s="8">
        <f>E19/F19</f>
        <v>0.86450000000000005</v>
      </c>
      <c r="H19" s="154">
        <f>(F19/$P$16)*$P$17</f>
        <v>5333333.333333333</v>
      </c>
      <c r="I19" s="8">
        <f>J19/F19</f>
        <v>0.13900000000000001</v>
      </c>
      <c r="J19" s="10">
        <f>SUMIF(INFO.PROYECCIÓN!$F:$F,C19,INFO.PROYECCIÓN!L:L)</f>
        <v>1112000</v>
      </c>
      <c r="K19" s="155">
        <f>(L19/F19)</f>
        <v>3.5000000000000001E-3</v>
      </c>
      <c r="L19" s="157">
        <f>-(+F19-E19-J19)</f>
        <v>28000</v>
      </c>
      <c r="O19" s="168" t="s">
        <v>136</v>
      </c>
      <c r="P19" s="17">
        <v>470000000</v>
      </c>
    </row>
    <row r="20" spans="1:19" ht="20.399999999999999" customHeight="1">
      <c r="A20" s="54"/>
      <c r="B20" s="362"/>
      <c r="C20" s="118" t="s">
        <v>1086</v>
      </c>
      <c r="D20" s="107">
        <f>+COUNTIF(INFO.RENTABILIDAD!$F:F,C20)</f>
        <v>9</v>
      </c>
      <c r="E20" s="167">
        <f>SUMIFS(INFO.RENTABILIDAD!$L$1:$L$15000,INFO.RENTABILIDAD!$F$1:$F$15000,C20,INFO.RENTABILIDAD!$W$1:$W$15000,"SI")</f>
        <v>1315000</v>
      </c>
      <c r="F20" s="10">
        <v>8000000</v>
      </c>
      <c r="G20" s="8">
        <f>E20/F20</f>
        <v>0.16437499999999999</v>
      </c>
      <c r="H20" s="154">
        <f>(F20/$P$16)*$P$17</f>
        <v>5333333.333333333</v>
      </c>
      <c r="I20" s="8">
        <f>J20/F20</f>
        <v>0</v>
      </c>
      <c r="J20" s="10">
        <f>SUMIF(INFO.PROYECCIÓN!$F:$F,C20,INFO.PROYECCIÓN!L:L)</f>
        <v>0</v>
      </c>
      <c r="K20" s="155">
        <f>(L20/F20)</f>
        <v>-0.83562499999999995</v>
      </c>
      <c r="L20" s="157">
        <f>-(+F20-E20-J20)</f>
        <v>-6685000</v>
      </c>
      <c r="O20" s="168" t="s">
        <v>137</v>
      </c>
      <c r="P20" s="63">
        <f>P34*P17</f>
        <v>313333333.33333331</v>
      </c>
    </row>
    <row r="21" spans="1:19" ht="20.399999999999999" customHeight="1" thickBot="1">
      <c r="A21" s="54"/>
      <c r="B21" s="363"/>
      <c r="C21" s="132" t="s">
        <v>132</v>
      </c>
      <c r="D21" s="133">
        <f>+COUNTIF(INFO.RENTABILIDAD!$F:F,C21)</f>
        <v>29</v>
      </c>
      <c r="E21" s="197">
        <f>SUMIFS(INFO.RENTABILIDAD!$L$1:$L$15000,INFO.RENTABILIDAD!$F$1:$F$15000,C21,INFO.RENTABILIDAD!$W$1:$W$15000,"SI")</f>
        <v>4946000</v>
      </c>
      <c r="F21" s="134">
        <v>8000000</v>
      </c>
      <c r="G21" s="135">
        <f>E21/F21</f>
        <v>0.61824999999999997</v>
      </c>
      <c r="H21" s="158">
        <f>(F21/$P$16)*$P$17</f>
        <v>5333333.333333333</v>
      </c>
      <c r="I21" s="135">
        <f>J21/F21</f>
        <v>5.5E-2</v>
      </c>
      <c r="J21" s="134">
        <f>SUMIF(INFO.PROYECCIÓN!$F:$F,C21,INFO.PROYECCIÓN!L:L)</f>
        <v>440000</v>
      </c>
      <c r="K21" s="159">
        <f>(L21/F21)</f>
        <v>-0.32674999999999998</v>
      </c>
      <c r="L21" s="160">
        <f>-(+F21-E21-J21)</f>
        <v>-2614000</v>
      </c>
      <c r="O21" s="168" t="s">
        <v>138</v>
      </c>
      <c r="P21" s="52">
        <f>'REPORTE X DÍAS'!K16</f>
        <v>306697000</v>
      </c>
    </row>
    <row r="22" spans="1:19" ht="38.4" customHeight="1">
      <c r="A22" s="54"/>
      <c r="B22" s="364"/>
      <c r="C22" s="53"/>
      <c r="D22" s="191" t="s">
        <v>147</v>
      </c>
      <c r="E22" s="192">
        <f>SUM(E17:E21)</f>
        <v>18907000</v>
      </c>
      <c r="F22" s="341">
        <f>SUM(F17:F21)</f>
        <v>40000000</v>
      </c>
      <c r="G22" s="125"/>
      <c r="H22" s="334">
        <f>SUM(H17:H21)</f>
        <v>26666666.666666664</v>
      </c>
      <c r="I22" s="126"/>
      <c r="J22" s="125"/>
      <c r="K22" s="9"/>
      <c r="L22" s="9"/>
      <c r="O22" s="168" t="s">
        <v>139</v>
      </c>
      <c r="P22" s="17">
        <f>SUM(INFO.PROYECCIÓN!L:L)</f>
        <v>105032500</v>
      </c>
    </row>
    <row r="23" spans="1:19" ht="15" customHeight="1">
      <c r="A23" s="54"/>
      <c r="B23" s="364"/>
      <c r="C23" s="171"/>
      <c r="D23" s="124"/>
      <c r="E23" s="125"/>
      <c r="F23" s="125"/>
      <c r="G23" s="126"/>
      <c r="H23" s="126"/>
      <c r="I23" s="126"/>
      <c r="J23" s="125"/>
      <c r="K23" s="9"/>
      <c r="L23" s="9"/>
      <c r="O23" s="67" t="s">
        <v>90</v>
      </c>
      <c r="P23" s="17">
        <f>P19-P22-P21</f>
        <v>58270500</v>
      </c>
    </row>
    <row r="24" spans="1:19" ht="15" customHeight="1">
      <c r="A24" s="54"/>
      <c r="B24" s="364"/>
      <c r="C24" s="127"/>
      <c r="D24" s="124"/>
      <c r="E24" s="125"/>
      <c r="F24" s="125"/>
      <c r="G24" s="126"/>
      <c r="H24" s="126"/>
      <c r="I24" s="126"/>
      <c r="J24" s="125"/>
      <c r="K24" s="9"/>
      <c r="L24" s="9"/>
      <c r="O24" s="58" t="s">
        <v>53</v>
      </c>
      <c r="P24" s="52">
        <f>P21+P22</f>
        <v>411729500</v>
      </c>
    </row>
    <row r="25" spans="1:19" ht="15" customHeight="1">
      <c r="A25" s="54"/>
      <c r="B25" s="364"/>
      <c r="C25" s="171"/>
      <c r="D25" s="124"/>
      <c r="E25" s="125"/>
      <c r="F25" s="125"/>
      <c r="G25" s="126"/>
      <c r="H25" s="126"/>
      <c r="I25" s="126"/>
      <c r="J25" s="125"/>
      <c r="K25" s="9"/>
      <c r="L25" s="9"/>
      <c r="O25" s="58" t="s">
        <v>44</v>
      </c>
      <c r="P25" s="136">
        <f>P24/P19</f>
        <v>0.87602021276595743</v>
      </c>
    </row>
    <row r="26" spans="1:19" ht="15" hidden="1" customHeight="1">
      <c r="A26" s="54"/>
      <c r="B26" s="364"/>
      <c r="C26" s="128"/>
      <c r="D26" s="124"/>
      <c r="E26" s="125"/>
      <c r="F26" s="125"/>
      <c r="G26" s="126"/>
      <c r="H26" s="126"/>
      <c r="I26" s="126"/>
      <c r="J26" s="125"/>
      <c r="K26" s="9"/>
      <c r="L26" s="9"/>
      <c r="N26" s="51"/>
      <c r="O26" s="137"/>
      <c r="P26" s="138"/>
    </row>
    <row r="27" spans="1:19" s="53" customFormat="1" ht="15" customHeight="1" thickBot="1">
      <c r="A27" s="57"/>
      <c r="B27" s="364"/>
      <c r="C27" s="127"/>
      <c r="D27" s="169"/>
      <c r="E27" s="125"/>
      <c r="F27" s="125"/>
      <c r="G27" s="126"/>
      <c r="H27" s="126"/>
      <c r="I27" s="126"/>
      <c r="J27" s="125"/>
      <c r="K27" s="9"/>
      <c r="L27" s="9"/>
      <c r="M27" s="109"/>
      <c r="N27" s="109"/>
      <c r="O27" s="60" t="str">
        <f>O10</f>
        <v>% DIFERENCIA</v>
      </c>
      <c r="P27" s="139">
        <f>O11</f>
        <v>-1.4119858156028342E-2</v>
      </c>
      <c r="Q27" s="109"/>
      <c r="R27" s="109"/>
      <c r="S27" s="109"/>
    </row>
    <row r="28" spans="1:19" ht="15" customHeight="1">
      <c r="A28" s="54"/>
      <c r="L28" s="170"/>
      <c r="M28" s="170"/>
      <c r="N28" s="170"/>
      <c r="O28" s="170"/>
      <c r="P28" s="170"/>
      <c r="Q28" s="170"/>
      <c r="R28" s="170"/>
      <c r="S28" s="170"/>
    </row>
    <row r="29" spans="1:19" ht="15" customHeight="1">
      <c r="A29" s="54"/>
      <c r="L29" s="170"/>
      <c r="M29" s="170"/>
      <c r="N29" s="170"/>
      <c r="O29" s="111"/>
      <c r="P29" s="170"/>
      <c r="Q29" s="170"/>
      <c r="R29" s="170"/>
      <c r="S29" s="170"/>
    </row>
    <row r="30" spans="1:19" ht="15" customHeight="1">
      <c r="A30" s="54"/>
      <c r="L30" s="170"/>
      <c r="M30" s="170"/>
      <c r="N30" s="170"/>
      <c r="O30" s="365" t="s">
        <v>98</v>
      </c>
      <c r="P30" s="365"/>
      <c r="Q30" s="170"/>
      <c r="R30" s="170"/>
      <c r="S30" s="170"/>
    </row>
    <row r="31" spans="1:19" ht="15" customHeight="1">
      <c r="A31" s="54"/>
      <c r="L31" s="170"/>
      <c r="M31" s="170"/>
      <c r="N31" s="170"/>
      <c r="O31" s="109" t="s">
        <v>72</v>
      </c>
      <c r="P31" s="112">
        <f>P17/P16</f>
        <v>0.66666666666666663</v>
      </c>
      <c r="Q31" s="170"/>
      <c r="R31" s="170"/>
      <c r="S31" s="170"/>
    </row>
    <row r="32" spans="1:19" ht="15" customHeight="1">
      <c r="A32" s="54"/>
      <c r="L32" s="170"/>
      <c r="M32" s="170"/>
      <c r="N32" s="170"/>
      <c r="O32" s="109" t="s">
        <v>86</v>
      </c>
      <c r="P32" s="112">
        <f>P21/P19</f>
        <v>0.65254680851063829</v>
      </c>
      <c r="Q32" s="170"/>
      <c r="R32" s="170"/>
      <c r="S32" s="170"/>
    </row>
    <row r="33" spans="1:19" ht="15" customHeight="1">
      <c r="A33" s="54"/>
      <c r="L33" s="170"/>
      <c r="M33" s="170"/>
      <c r="N33" s="170"/>
      <c r="O33" s="109" t="s">
        <v>94</v>
      </c>
      <c r="P33" s="112">
        <f>P32-P31</f>
        <v>-1.4119858156028342E-2</v>
      </c>
      <c r="Q33" s="170"/>
      <c r="R33" s="170"/>
      <c r="S33" s="170"/>
    </row>
    <row r="34" spans="1:19" ht="15" customHeight="1">
      <c r="A34" s="54"/>
      <c r="L34" s="170"/>
      <c r="M34" s="170"/>
      <c r="N34" s="170"/>
      <c r="O34" s="109" t="s">
        <v>45</v>
      </c>
      <c r="P34" s="113">
        <f>P19/P16</f>
        <v>19583333.333333332</v>
      </c>
      <c r="Q34" s="114">
        <f>P34*22</f>
        <v>430833333.33333331</v>
      </c>
      <c r="R34" s="170"/>
      <c r="S34" s="170"/>
    </row>
    <row r="35" spans="1:19" ht="15" customHeight="1">
      <c r="A35" s="54"/>
      <c r="L35" s="170"/>
      <c r="M35" s="170"/>
      <c r="N35" s="170"/>
      <c r="O35" s="170" t="s">
        <v>93</v>
      </c>
      <c r="P35" s="114">
        <f>P21-(E5+E6+E8+E10+E11+E17+E18+E19)</f>
        <v>294051000</v>
      </c>
      <c r="Q35" s="170"/>
      <c r="R35" s="170"/>
      <c r="S35" s="170"/>
    </row>
    <row r="36" spans="1:19" ht="15" customHeight="1">
      <c r="A36" s="54"/>
      <c r="L36" s="170"/>
      <c r="M36" s="170"/>
      <c r="N36" s="170"/>
      <c r="O36" s="170" t="s">
        <v>90</v>
      </c>
      <c r="P36" s="114">
        <f>'REPORTE X DÍAS'!K20</f>
        <v>108270500</v>
      </c>
      <c r="Q36" s="170"/>
      <c r="R36" s="170"/>
      <c r="S36" s="170"/>
    </row>
    <row r="37" spans="1:19" ht="15" customHeight="1">
      <c r="A37" s="54"/>
      <c r="L37" s="170"/>
      <c r="M37" s="170"/>
      <c r="N37" s="109"/>
      <c r="O37" s="109" t="s">
        <v>105</v>
      </c>
      <c r="P37" s="109">
        <f>'REPORTE X DÍAS'!K18</f>
        <v>0</v>
      </c>
      <c r="Q37" s="170"/>
      <c r="R37" s="170"/>
    </row>
    <row r="38" spans="1:19" ht="15" customHeight="1">
      <c r="A38" s="54"/>
      <c r="L38" s="170"/>
      <c r="M38" s="170"/>
      <c r="N38" s="170"/>
      <c r="O38" s="109" t="s">
        <v>104</v>
      </c>
      <c r="P38" s="109">
        <f>'REPORTE X DÍAS'!K19</f>
        <v>6687000</v>
      </c>
      <c r="Q38" s="170"/>
      <c r="R38" s="170"/>
    </row>
    <row r="39" spans="1:19" ht="15" customHeight="1">
      <c r="A39" s="54"/>
      <c r="L39" s="170"/>
      <c r="M39" s="170"/>
      <c r="N39" s="170"/>
      <c r="O39" s="170"/>
      <c r="P39" s="170"/>
      <c r="Q39" s="170"/>
      <c r="R39" s="170"/>
    </row>
    <row r="40" spans="1:19" ht="15" customHeight="1">
      <c r="A40" s="54"/>
      <c r="L40" s="170"/>
      <c r="M40" s="170"/>
      <c r="N40" s="170"/>
      <c r="O40" s="170"/>
      <c r="P40" s="170"/>
      <c r="Q40" s="170"/>
      <c r="R40" s="170"/>
    </row>
    <row r="41" spans="1:19" ht="15" customHeight="1">
      <c r="A41" s="54"/>
      <c r="L41" s="170"/>
      <c r="M41" s="170"/>
      <c r="N41" s="170"/>
      <c r="O41" s="170"/>
      <c r="P41" s="170"/>
      <c r="Q41" s="170"/>
      <c r="R41" s="170"/>
    </row>
    <row r="42" spans="1:19" ht="15" customHeight="1">
      <c r="A42" s="54"/>
      <c r="L42" s="170"/>
      <c r="M42" s="170"/>
      <c r="N42" s="170"/>
      <c r="O42" s="170"/>
      <c r="P42" s="170"/>
      <c r="Q42" s="170"/>
      <c r="R42" s="170"/>
    </row>
    <row r="43" spans="1:19" ht="15" customHeight="1">
      <c r="A43" s="54"/>
      <c r="L43" s="170"/>
      <c r="M43" s="170"/>
      <c r="N43" s="170"/>
      <c r="O43" s="170"/>
      <c r="P43" s="170"/>
      <c r="Q43" s="170"/>
      <c r="R43" s="170"/>
    </row>
    <row r="44" spans="1:19" ht="15" customHeight="1">
      <c r="A44" s="54"/>
      <c r="L44" s="13"/>
      <c r="M44" s="13"/>
      <c r="N44" s="51"/>
      <c r="O44" s="51"/>
    </row>
    <row r="45" spans="1:19" ht="15" customHeight="1">
      <c r="A45" s="54"/>
      <c r="L45" s="13"/>
      <c r="M45" s="13"/>
      <c r="N45" s="51"/>
      <c r="O45" s="51"/>
    </row>
    <row r="46" spans="1:19" ht="15" customHeight="1">
      <c r="A46" s="54"/>
      <c r="L46" s="13"/>
      <c r="M46" s="13"/>
      <c r="N46" s="51"/>
      <c r="O46" s="51"/>
    </row>
    <row r="47" spans="1:19" ht="15" customHeight="1">
      <c r="A47" s="54"/>
      <c r="L47" s="13"/>
      <c r="M47" s="13"/>
      <c r="N47" s="51"/>
      <c r="O47" s="51"/>
    </row>
    <row r="48" spans="1:19" ht="15" customHeight="1">
      <c r="A48" s="54"/>
      <c r="L48" s="13"/>
      <c r="M48" s="13"/>
      <c r="N48" s="51"/>
      <c r="O48" s="51"/>
    </row>
    <row r="49" spans="1:15" ht="15" customHeight="1">
      <c r="A49" s="54"/>
      <c r="L49" s="13"/>
      <c r="M49" s="13"/>
      <c r="N49" s="51"/>
      <c r="O49" s="51"/>
    </row>
    <row r="50" spans="1:15" ht="15" customHeight="1">
      <c r="A50" s="54"/>
      <c r="L50" s="13"/>
      <c r="M50" s="13"/>
      <c r="N50" s="51"/>
      <c r="O50" s="51"/>
    </row>
    <row r="51" spans="1:15" ht="15" customHeight="1">
      <c r="A51" s="54"/>
      <c r="L51" s="13"/>
      <c r="M51" s="13"/>
      <c r="N51" s="51"/>
      <c r="O51" s="51"/>
    </row>
    <row r="52" spans="1:15" ht="15" customHeight="1">
      <c r="A52" s="54"/>
      <c r="L52" s="13"/>
      <c r="M52" s="13"/>
      <c r="N52" s="51"/>
      <c r="O52" s="51"/>
    </row>
    <row r="53" spans="1:15" ht="15" customHeight="1">
      <c r="A53" s="54"/>
      <c r="L53" s="13"/>
      <c r="M53" s="13"/>
      <c r="N53" s="51"/>
      <c r="O53" s="51"/>
    </row>
    <row r="54" spans="1:15" ht="15" customHeight="1">
      <c r="A54" s="54"/>
      <c r="L54" s="13"/>
      <c r="M54" s="13"/>
      <c r="N54" s="51"/>
      <c r="O54" s="51"/>
    </row>
    <row r="55" spans="1:15" ht="15" customHeight="1">
      <c r="A55" s="54"/>
      <c r="L55" s="13"/>
      <c r="M55" s="13"/>
      <c r="N55" s="51"/>
      <c r="O55" s="51"/>
    </row>
    <row r="56" spans="1:15" ht="15" customHeight="1">
      <c r="A56" s="54"/>
      <c r="L56" s="13"/>
      <c r="M56" s="13"/>
      <c r="N56" s="51"/>
      <c r="O56" s="51"/>
    </row>
    <row r="57" spans="1:15" ht="15" customHeight="1">
      <c r="A57" s="54"/>
      <c r="L57" s="13"/>
      <c r="M57" s="13"/>
      <c r="N57" s="51"/>
      <c r="O57" s="51"/>
    </row>
    <row r="58" spans="1:15" ht="15" customHeight="1">
      <c r="A58" s="54"/>
      <c r="L58" s="13"/>
      <c r="M58" s="13"/>
      <c r="N58" s="51"/>
      <c r="O58" s="51"/>
    </row>
    <row r="59" spans="1:15" ht="15" customHeight="1">
      <c r="A59" s="54"/>
      <c r="L59" s="13"/>
      <c r="M59" s="13"/>
      <c r="N59" s="51"/>
      <c r="O59" s="51"/>
    </row>
    <row r="60" spans="1:15" ht="15" customHeight="1">
      <c r="A60" s="54"/>
      <c r="L60" s="13"/>
      <c r="M60" s="13"/>
      <c r="N60" s="51"/>
      <c r="O60" s="51"/>
    </row>
    <row r="61" spans="1:15" ht="15" customHeight="1">
      <c r="A61" s="54"/>
      <c r="L61" s="13"/>
      <c r="M61" s="13"/>
      <c r="N61" s="51"/>
      <c r="O61" s="51"/>
    </row>
    <row r="62" spans="1:15" ht="15" customHeight="1">
      <c r="A62" s="54"/>
      <c r="L62" s="13"/>
      <c r="M62" s="13"/>
      <c r="N62" s="51"/>
      <c r="O62" s="51"/>
    </row>
    <row r="63" spans="1:15" ht="15" customHeight="1">
      <c r="A63" s="54"/>
      <c r="L63" s="13"/>
      <c r="M63" s="13"/>
      <c r="N63" s="51"/>
      <c r="O63" s="51"/>
    </row>
    <row r="64" spans="1:15" ht="15" customHeight="1">
      <c r="A64" s="54"/>
      <c r="L64" s="13"/>
      <c r="M64" s="13"/>
      <c r="N64" s="51"/>
      <c r="O64" s="51"/>
    </row>
    <row r="65" spans="1:15" ht="15" customHeight="1">
      <c r="A65" s="54"/>
      <c r="L65" s="13"/>
      <c r="M65" s="13"/>
      <c r="N65" s="51"/>
      <c r="O65" s="51"/>
    </row>
    <row r="66" spans="1:15" ht="15" customHeight="1">
      <c r="A66" s="54"/>
      <c r="L66" s="13"/>
      <c r="M66" s="13"/>
      <c r="N66" s="51"/>
      <c r="O66" s="51"/>
    </row>
    <row r="67" spans="1:15" ht="15" customHeight="1">
      <c r="A67" s="54"/>
      <c r="L67" s="13"/>
      <c r="M67" s="13"/>
      <c r="N67" s="51"/>
      <c r="O67" s="51"/>
    </row>
    <row r="68" spans="1:15" ht="15" customHeight="1">
      <c r="A68" s="54"/>
      <c r="L68" s="13"/>
      <c r="M68" s="13"/>
      <c r="N68" s="51"/>
      <c r="O68" s="51"/>
    </row>
    <row r="69" spans="1:15" ht="15" customHeight="1">
      <c r="A69" s="54"/>
      <c r="L69" s="13"/>
      <c r="M69" s="13"/>
      <c r="N69" s="51"/>
      <c r="O69" s="51"/>
    </row>
    <row r="70" spans="1:15" ht="15" customHeight="1">
      <c r="A70" s="54"/>
      <c r="L70" s="13"/>
      <c r="M70" s="13"/>
      <c r="N70" s="51"/>
      <c r="O70" s="51"/>
    </row>
    <row r="71" spans="1:15" ht="15" customHeight="1">
      <c r="A71" s="54"/>
      <c r="L71" s="13"/>
      <c r="M71" s="13"/>
      <c r="N71" s="51"/>
      <c r="O71" s="51"/>
    </row>
    <row r="72" spans="1:15" ht="15" customHeight="1">
      <c r="A72" s="54"/>
      <c r="L72" s="13"/>
      <c r="M72" s="13"/>
      <c r="N72" s="51"/>
      <c r="O72" s="51"/>
    </row>
    <row r="73" spans="1:15" ht="15" customHeight="1">
      <c r="A73" s="54"/>
      <c r="L73" s="13"/>
      <c r="M73" s="13"/>
      <c r="N73" s="51"/>
      <c r="O73" s="51"/>
    </row>
    <row r="74" spans="1:15" ht="15" customHeight="1">
      <c r="A74" s="54"/>
      <c r="L74" s="13"/>
      <c r="M74" s="13"/>
      <c r="N74" s="51"/>
      <c r="O74" s="51"/>
    </row>
    <row r="75" spans="1:15" ht="15" customHeight="1">
      <c r="A75" s="54"/>
      <c r="L75" s="13"/>
      <c r="M75" s="13"/>
      <c r="N75" s="51"/>
      <c r="O75" s="51"/>
    </row>
    <row r="76" spans="1:15" ht="15" customHeight="1">
      <c r="A76" s="54"/>
      <c r="L76" s="13"/>
      <c r="M76" s="13"/>
      <c r="N76" s="51"/>
      <c r="O76" s="51"/>
    </row>
    <row r="77" spans="1:15" ht="15" customHeight="1">
      <c r="A77" s="54"/>
      <c r="L77" s="13"/>
      <c r="M77" s="13"/>
      <c r="N77" s="51"/>
      <c r="O77" s="51"/>
    </row>
    <row r="78" spans="1:15" ht="15" customHeight="1">
      <c r="A78" s="54"/>
      <c r="L78" s="13"/>
      <c r="M78" s="13"/>
      <c r="N78" s="51"/>
      <c r="O78" s="51"/>
    </row>
    <row r="79" spans="1:15" ht="15" customHeight="1">
      <c r="A79" s="54"/>
      <c r="L79" s="13"/>
      <c r="M79" s="13"/>
      <c r="N79" s="51"/>
      <c r="O79" s="51"/>
    </row>
    <row r="80" spans="1:15" ht="15" customHeight="1">
      <c r="A80" s="54"/>
      <c r="L80" s="13"/>
      <c r="M80" s="13"/>
      <c r="N80" s="51"/>
      <c r="O80" s="51"/>
    </row>
    <row r="81" spans="1:15" ht="15" customHeight="1">
      <c r="A81" s="54"/>
      <c r="L81" s="13"/>
      <c r="M81" s="13"/>
      <c r="N81" s="51"/>
      <c r="O81" s="51"/>
    </row>
    <row r="82" spans="1:15" ht="15" customHeight="1">
      <c r="A82" s="54"/>
      <c r="L82" s="13"/>
      <c r="M82" s="13"/>
      <c r="N82" s="51"/>
      <c r="O82" s="51"/>
    </row>
    <row r="83" spans="1:15" ht="15" customHeight="1">
      <c r="A83" s="54"/>
      <c r="L83" s="13"/>
      <c r="M83" s="13"/>
      <c r="N83" s="51"/>
      <c r="O83" s="51"/>
    </row>
    <row r="84" spans="1:15" ht="15" customHeight="1">
      <c r="A84" s="54"/>
      <c r="L84" s="13"/>
      <c r="M84" s="13"/>
      <c r="N84" s="51"/>
      <c r="O84" s="51"/>
    </row>
    <row r="85" spans="1:15" ht="15" customHeight="1">
      <c r="A85" s="54"/>
      <c r="L85" s="13"/>
      <c r="M85" s="13"/>
      <c r="N85" s="51"/>
      <c r="O85" s="51"/>
    </row>
    <row r="86" spans="1:15" ht="15" customHeight="1">
      <c r="A86" s="54"/>
      <c r="L86" s="13"/>
      <c r="M86" s="13"/>
      <c r="N86" s="51"/>
      <c r="O86" s="51"/>
    </row>
    <row r="87" spans="1:15" ht="15" customHeight="1">
      <c r="A87" s="54"/>
      <c r="L87" s="13"/>
      <c r="M87" s="13"/>
      <c r="N87" s="51"/>
      <c r="O87" s="51"/>
    </row>
    <row r="88" spans="1:15" ht="15" customHeight="1">
      <c r="A88" s="54"/>
      <c r="L88" s="13"/>
      <c r="M88" s="13"/>
      <c r="N88" s="51"/>
      <c r="O88" s="51"/>
    </row>
    <row r="89" spans="1:15" ht="15" customHeight="1">
      <c r="A89" s="54"/>
      <c r="L89" s="13"/>
      <c r="M89" s="13"/>
      <c r="N89" s="51"/>
      <c r="O89" s="51"/>
    </row>
    <row r="90" spans="1:15" ht="15" customHeight="1">
      <c r="A90" s="54"/>
      <c r="L90" s="13"/>
      <c r="M90" s="13"/>
      <c r="N90" s="51"/>
      <c r="O90" s="51"/>
    </row>
    <row r="91" spans="1:15" ht="15" customHeight="1">
      <c r="A91" s="54"/>
      <c r="L91" s="13"/>
      <c r="M91" s="13"/>
      <c r="N91" s="51"/>
      <c r="O91" s="51"/>
    </row>
    <row r="92" spans="1:15" ht="15" customHeight="1">
      <c r="A92" s="54"/>
      <c r="L92" s="13"/>
      <c r="M92" s="13"/>
      <c r="N92" s="51"/>
      <c r="O92" s="51"/>
    </row>
    <row r="93" spans="1:15" ht="15" customHeight="1">
      <c r="A93" s="54"/>
      <c r="L93" s="13"/>
      <c r="M93" s="13"/>
      <c r="N93" s="51"/>
      <c r="O93" s="51"/>
    </row>
    <row r="94" spans="1:15" ht="15" customHeight="1">
      <c r="A94" s="54"/>
      <c r="L94" s="13"/>
      <c r="M94" s="13"/>
      <c r="N94" s="51"/>
      <c r="O94" s="51"/>
    </row>
    <row r="95" spans="1:15" ht="15" customHeight="1">
      <c r="A95" s="54"/>
      <c r="L95" s="13"/>
      <c r="M95" s="13"/>
      <c r="N95" s="51"/>
      <c r="O95" s="51"/>
    </row>
    <row r="96" spans="1:15" ht="15" customHeight="1">
      <c r="A96" s="54"/>
      <c r="L96" s="13"/>
      <c r="M96" s="13"/>
      <c r="N96" s="51"/>
      <c r="O96" s="51"/>
    </row>
    <row r="97" spans="1:15" ht="15" customHeight="1">
      <c r="A97" s="54"/>
      <c r="L97" s="13"/>
      <c r="M97" s="13"/>
      <c r="N97" s="51"/>
      <c r="O97" s="51"/>
    </row>
    <row r="98" spans="1:15" ht="15" customHeight="1">
      <c r="A98" s="54"/>
      <c r="L98" s="13"/>
      <c r="M98" s="13"/>
      <c r="N98" s="51"/>
      <c r="O98" s="51"/>
    </row>
    <row r="99" spans="1:15" ht="15" customHeight="1">
      <c r="A99" s="54"/>
      <c r="L99" s="13"/>
      <c r="M99" s="13"/>
      <c r="N99" s="51"/>
      <c r="O99" s="51"/>
    </row>
    <row r="100" spans="1:15" ht="15" customHeight="1">
      <c r="A100" s="54"/>
      <c r="L100" s="13"/>
      <c r="M100" s="13"/>
      <c r="N100" s="51"/>
      <c r="O100" s="51"/>
    </row>
    <row r="101" spans="1:15" ht="15" customHeight="1">
      <c r="A101" s="54"/>
      <c r="L101" s="13"/>
      <c r="M101" s="13"/>
      <c r="N101" s="51"/>
      <c r="O101" s="51"/>
    </row>
    <row r="102" spans="1:15" ht="15" customHeight="1">
      <c r="A102" s="54"/>
      <c r="L102" s="13"/>
      <c r="M102" s="13"/>
      <c r="N102" s="51"/>
      <c r="O102" s="51"/>
    </row>
    <row r="103" spans="1:15" ht="15" customHeight="1">
      <c r="A103" s="54"/>
      <c r="L103" s="13"/>
      <c r="M103" s="13"/>
      <c r="N103" s="51"/>
      <c r="O103" s="51"/>
    </row>
    <row r="104" spans="1:15" ht="15" customHeight="1">
      <c r="A104" s="54"/>
      <c r="L104" s="13"/>
      <c r="M104" s="13"/>
      <c r="N104" s="51"/>
      <c r="O104" s="51"/>
    </row>
    <row r="105" spans="1:15" ht="15" customHeight="1">
      <c r="A105" s="54"/>
      <c r="L105" s="13"/>
      <c r="M105" s="13"/>
      <c r="N105" s="51"/>
      <c r="O105" s="51"/>
    </row>
    <row r="106" spans="1:15" ht="15" customHeight="1">
      <c r="A106" s="54"/>
      <c r="L106" s="13"/>
      <c r="M106" s="13"/>
      <c r="N106" s="51"/>
      <c r="O106" s="51"/>
    </row>
    <row r="107" spans="1:15" ht="15" customHeight="1">
      <c r="A107" s="54"/>
      <c r="L107" s="13"/>
      <c r="M107" s="13"/>
      <c r="N107" s="51"/>
      <c r="O107" s="51"/>
    </row>
    <row r="108" spans="1:15" ht="15" customHeight="1">
      <c r="A108" s="54"/>
      <c r="L108" s="13"/>
      <c r="M108" s="13"/>
      <c r="N108" s="51"/>
      <c r="O108" s="51"/>
    </row>
    <row r="109" spans="1:15" ht="15" customHeight="1">
      <c r="A109" s="54"/>
      <c r="L109" s="13"/>
      <c r="M109" s="13"/>
      <c r="N109" s="51"/>
      <c r="O109" s="51"/>
    </row>
    <row r="110" spans="1:15" ht="15" customHeight="1">
      <c r="A110" s="54"/>
      <c r="L110" s="13"/>
      <c r="M110" s="13"/>
      <c r="N110" s="51"/>
      <c r="O110" s="51"/>
    </row>
    <row r="111" spans="1:15" ht="15" customHeight="1">
      <c r="A111" s="54"/>
      <c r="L111" s="13"/>
      <c r="M111" s="13"/>
      <c r="N111" s="51"/>
      <c r="O111" s="51"/>
    </row>
    <row r="112" spans="1:15" ht="15" customHeight="1">
      <c r="A112" s="54"/>
      <c r="L112" s="13"/>
      <c r="M112" s="13"/>
      <c r="N112" s="51"/>
      <c r="O112" s="51"/>
    </row>
    <row r="113" spans="1:15" ht="15" customHeight="1">
      <c r="A113" s="54"/>
      <c r="L113" s="13"/>
      <c r="M113" s="13"/>
      <c r="N113" s="51"/>
      <c r="O113" s="51"/>
    </row>
    <row r="114" spans="1:15" ht="15" customHeight="1">
      <c r="A114" s="54"/>
      <c r="L114" s="13"/>
      <c r="M114" s="13"/>
      <c r="N114" s="51"/>
      <c r="O114" s="51"/>
    </row>
    <row r="115" spans="1:15" ht="15" customHeight="1">
      <c r="A115" s="54"/>
      <c r="L115" s="13"/>
      <c r="M115" s="13"/>
      <c r="N115" s="51"/>
      <c r="O115" s="51"/>
    </row>
    <row r="116" spans="1:15" ht="15" customHeight="1">
      <c r="A116" s="54"/>
      <c r="L116" s="13"/>
      <c r="M116" s="13"/>
      <c r="N116" s="51"/>
      <c r="O116" s="51"/>
    </row>
    <row r="117" spans="1:15" ht="15" customHeight="1">
      <c r="A117" s="54"/>
      <c r="L117" s="13"/>
      <c r="M117" s="13"/>
      <c r="N117" s="51"/>
      <c r="O117" s="51"/>
    </row>
    <row r="118" spans="1:15" ht="15" customHeight="1">
      <c r="A118" s="54"/>
      <c r="L118" s="13"/>
      <c r="M118" s="13"/>
      <c r="N118" s="51"/>
      <c r="O118" s="51"/>
    </row>
    <row r="119" spans="1:15" ht="15" customHeight="1">
      <c r="A119" s="54"/>
      <c r="L119" s="13"/>
      <c r="M119" s="13"/>
      <c r="N119" s="51"/>
      <c r="O119" s="51"/>
    </row>
    <row r="120" spans="1:15" ht="15" customHeight="1">
      <c r="A120" s="54"/>
      <c r="L120" s="13"/>
      <c r="M120" s="13"/>
      <c r="N120" s="51"/>
      <c r="O120" s="51"/>
    </row>
    <row r="121" spans="1:15" ht="15" customHeight="1">
      <c r="A121" s="54"/>
      <c r="L121" s="13"/>
      <c r="M121" s="13"/>
      <c r="N121" s="51"/>
      <c r="O121" s="51"/>
    </row>
    <row r="122" spans="1:15" ht="15" customHeight="1">
      <c r="A122" s="54"/>
      <c r="L122" s="13"/>
      <c r="M122" s="13"/>
      <c r="N122" s="51"/>
      <c r="O122" s="51"/>
    </row>
    <row r="123" spans="1:15" ht="15" customHeight="1">
      <c r="A123" s="54"/>
      <c r="L123" s="13"/>
      <c r="M123" s="13"/>
      <c r="N123" s="51"/>
      <c r="O123" s="51"/>
    </row>
    <row r="124" spans="1:15" ht="15" customHeight="1">
      <c r="A124" s="54"/>
      <c r="L124" s="13"/>
      <c r="M124" s="13"/>
      <c r="N124" s="51"/>
      <c r="O124" s="51"/>
    </row>
    <row r="125" spans="1:15" ht="15" customHeight="1">
      <c r="A125" s="54"/>
      <c r="L125" s="13"/>
      <c r="M125" s="13"/>
      <c r="N125" s="51"/>
      <c r="O125" s="51"/>
    </row>
    <row r="126" spans="1:15" ht="15" customHeight="1">
      <c r="A126" s="54"/>
      <c r="L126" s="13"/>
      <c r="M126" s="13"/>
      <c r="N126" s="51"/>
      <c r="O126" s="51"/>
    </row>
    <row r="127" spans="1:15" ht="15" customHeight="1">
      <c r="A127" s="54"/>
      <c r="L127" s="13"/>
      <c r="M127" s="13"/>
      <c r="N127" s="51"/>
      <c r="O127" s="51"/>
    </row>
    <row r="128" spans="1:15" ht="15" customHeight="1">
      <c r="A128" s="54"/>
      <c r="L128" s="13"/>
      <c r="M128" s="13"/>
      <c r="N128" s="51"/>
      <c r="O128" s="51"/>
    </row>
    <row r="129" spans="1:15" ht="15" customHeight="1">
      <c r="A129" s="54"/>
      <c r="L129" s="13"/>
      <c r="M129" s="13"/>
      <c r="N129" s="51"/>
      <c r="O129" s="51"/>
    </row>
    <row r="130" spans="1:15" ht="15" customHeight="1">
      <c r="A130" s="54"/>
      <c r="L130" s="13"/>
      <c r="M130" s="13"/>
      <c r="N130" s="51"/>
      <c r="O130" s="51"/>
    </row>
    <row r="131" spans="1:15" ht="15" customHeight="1">
      <c r="A131" s="54"/>
      <c r="L131" s="13"/>
      <c r="M131" s="13"/>
      <c r="N131" s="51"/>
      <c r="O131" s="51"/>
    </row>
    <row r="132" spans="1:15" ht="15" customHeight="1">
      <c r="A132" s="54"/>
      <c r="L132" s="13"/>
      <c r="M132" s="13"/>
      <c r="N132" s="51"/>
      <c r="O132" s="51"/>
    </row>
    <row r="133" spans="1:15" ht="15" customHeight="1">
      <c r="A133" s="54"/>
      <c r="L133" s="13"/>
      <c r="M133" s="13"/>
      <c r="N133" s="51"/>
      <c r="O133" s="51"/>
    </row>
    <row r="134" spans="1:15" ht="15" customHeight="1">
      <c r="A134" s="54"/>
      <c r="L134" s="13"/>
      <c r="M134" s="13"/>
      <c r="N134" s="51"/>
      <c r="O134" s="51"/>
    </row>
    <row r="135" spans="1:15" ht="15" customHeight="1">
      <c r="A135" s="54"/>
      <c r="L135" s="13"/>
      <c r="M135" s="13"/>
      <c r="N135" s="51"/>
      <c r="O135" s="51"/>
    </row>
    <row r="136" spans="1:15" ht="15" customHeight="1">
      <c r="A136" s="54"/>
      <c r="L136" s="13"/>
      <c r="M136" s="13"/>
      <c r="N136" s="51"/>
      <c r="O136" s="51"/>
    </row>
    <row r="137" spans="1:15" ht="15" customHeight="1">
      <c r="A137" s="54"/>
      <c r="L137" s="13"/>
      <c r="M137" s="13"/>
      <c r="N137" s="51"/>
      <c r="O137" s="51"/>
    </row>
    <row r="138" spans="1:15" ht="15" customHeight="1">
      <c r="A138" s="54"/>
      <c r="L138" s="13"/>
      <c r="M138" s="13"/>
      <c r="N138" s="51"/>
      <c r="O138" s="51"/>
    </row>
    <row r="139" spans="1:15" ht="15" customHeight="1">
      <c r="A139" s="54"/>
      <c r="L139" s="13"/>
      <c r="M139" s="13"/>
      <c r="N139" s="51"/>
      <c r="O139" s="51"/>
    </row>
    <row r="140" spans="1:15" ht="15" customHeight="1">
      <c r="A140" s="54"/>
      <c r="L140" s="13"/>
      <c r="M140" s="13"/>
      <c r="N140" s="51"/>
      <c r="O140" s="51"/>
    </row>
    <row r="141" spans="1:15" ht="15" customHeight="1">
      <c r="A141" s="54"/>
      <c r="L141" s="13"/>
      <c r="M141" s="13"/>
      <c r="N141" s="51"/>
      <c r="O141" s="51"/>
    </row>
    <row r="142" spans="1:15" ht="15" customHeight="1">
      <c r="A142" s="54"/>
      <c r="L142" s="13"/>
      <c r="M142" s="13"/>
      <c r="N142" s="51"/>
      <c r="O142" s="51"/>
    </row>
    <row r="143" spans="1:15" ht="15" customHeight="1">
      <c r="A143" s="54"/>
      <c r="L143" s="13"/>
      <c r="M143" s="13"/>
      <c r="N143" s="51"/>
      <c r="O143" s="51"/>
    </row>
    <row r="144" spans="1:15" ht="15" customHeight="1">
      <c r="A144" s="54"/>
      <c r="L144" s="13"/>
      <c r="M144" s="13"/>
      <c r="N144" s="51"/>
      <c r="O144" s="51"/>
    </row>
    <row r="145" spans="1:15" ht="15" customHeight="1">
      <c r="A145" s="54"/>
      <c r="L145" s="13"/>
      <c r="M145" s="13"/>
      <c r="N145" s="51"/>
      <c r="O145" s="51"/>
    </row>
    <row r="146" spans="1:15" ht="15" customHeight="1">
      <c r="A146" s="54"/>
      <c r="L146" s="13"/>
      <c r="M146" s="13"/>
      <c r="N146" s="51"/>
      <c r="O146" s="51"/>
    </row>
    <row r="147" spans="1:15" ht="15" customHeight="1">
      <c r="A147" s="54"/>
      <c r="L147" s="13"/>
      <c r="M147" s="13"/>
      <c r="N147" s="51"/>
      <c r="O147" s="51"/>
    </row>
    <row r="148" spans="1:15" ht="15" customHeight="1">
      <c r="A148" s="54"/>
      <c r="L148" s="13"/>
      <c r="M148" s="13"/>
      <c r="N148" s="51"/>
      <c r="O148" s="51"/>
    </row>
    <row r="149" spans="1:15" ht="15" customHeight="1">
      <c r="A149" s="54"/>
      <c r="L149" s="13"/>
      <c r="M149" s="13"/>
      <c r="N149" s="51"/>
      <c r="O149" s="51"/>
    </row>
    <row r="150" spans="1:15" ht="15" customHeight="1">
      <c r="A150" s="54"/>
      <c r="L150" s="13"/>
      <c r="M150" s="13"/>
      <c r="N150" s="51"/>
      <c r="O150" s="51"/>
    </row>
    <row r="151" spans="1:15" ht="15" customHeight="1">
      <c r="A151" s="54"/>
      <c r="L151" s="13"/>
      <c r="M151" s="13"/>
      <c r="N151" s="51"/>
      <c r="O151" s="51"/>
    </row>
    <row r="152" spans="1:15" ht="15" customHeight="1">
      <c r="A152" s="54"/>
      <c r="L152" s="13"/>
      <c r="M152" s="13"/>
      <c r="N152" s="51"/>
      <c r="O152" s="51"/>
    </row>
    <row r="153" spans="1:15" ht="15" customHeight="1">
      <c r="A153" s="54"/>
      <c r="L153" s="13"/>
      <c r="M153" s="13"/>
      <c r="N153" s="51"/>
      <c r="O153" s="51"/>
    </row>
    <row r="154" spans="1:15" ht="15" customHeight="1">
      <c r="A154" s="54"/>
      <c r="L154" s="13"/>
      <c r="M154" s="13"/>
      <c r="N154" s="51"/>
      <c r="O154" s="51"/>
    </row>
    <row r="155" spans="1:15" ht="15" customHeight="1">
      <c r="A155" s="54"/>
      <c r="L155" s="13"/>
      <c r="M155" s="13"/>
      <c r="N155" s="51"/>
      <c r="O155" s="51"/>
    </row>
    <row r="156" spans="1:15" ht="15" customHeight="1">
      <c r="A156" s="54"/>
      <c r="L156" s="13"/>
      <c r="M156" s="13"/>
      <c r="N156" s="51"/>
      <c r="O156" s="51"/>
    </row>
    <row r="157" spans="1:15" ht="15" customHeight="1">
      <c r="A157" s="54"/>
      <c r="L157" s="13"/>
      <c r="M157" s="13"/>
      <c r="N157" s="51"/>
      <c r="O157" s="51"/>
    </row>
    <row r="158" spans="1:15" ht="15" customHeight="1">
      <c r="A158" s="54"/>
      <c r="L158" s="13"/>
      <c r="M158" s="13"/>
      <c r="N158" s="51"/>
      <c r="O158" s="51"/>
    </row>
    <row r="159" spans="1:15" ht="15" customHeight="1">
      <c r="A159" s="54"/>
      <c r="L159" s="13"/>
      <c r="M159" s="13"/>
      <c r="N159" s="51"/>
      <c r="O159" s="51"/>
    </row>
    <row r="160" spans="1:15" ht="15" customHeight="1">
      <c r="A160" s="54"/>
      <c r="L160" s="13"/>
      <c r="M160" s="13"/>
      <c r="N160" s="51"/>
      <c r="O160" s="51"/>
    </row>
    <row r="161" spans="1:15" ht="15" customHeight="1">
      <c r="A161" s="54"/>
      <c r="L161" s="13"/>
      <c r="M161" s="13"/>
      <c r="N161" s="51"/>
      <c r="O161" s="51"/>
    </row>
    <row r="162" spans="1:15" ht="15" customHeight="1">
      <c r="A162" s="54"/>
      <c r="L162" s="13"/>
      <c r="M162" s="13"/>
      <c r="N162" s="51"/>
      <c r="O162" s="51"/>
    </row>
    <row r="163" spans="1:15" ht="15" customHeight="1">
      <c r="A163" s="54"/>
      <c r="L163" s="13"/>
      <c r="M163" s="13"/>
      <c r="N163" s="51"/>
      <c r="O163" s="51"/>
    </row>
    <row r="164" spans="1:15" ht="15" customHeight="1">
      <c r="A164" s="54"/>
      <c r="L164" s="13"/>
      <c r="M164" s="13"/>
      <c r="N164" s="51"/>
      <c r="O164" s="51"/>
    </row>
    <row r="165" spans="1:15" ht="15" customHeight="1">
      <c r="A165" s="54"/>
      <c r="L165" s="13"/>
      <c r="M165" s="13"/>
      <c r="N165" s="51"/>
      <c r="O165" s="51"/>
    </row>
    <row r="166" spans="1:15" ht="15" customHeight="1">
      <c r="A166" s="54"/>
      <c r="L166" s="13"/>
      <c r="M166" s="13"/>
      <c r="N166" s="51"/>
      <c r="O166" s="51"/>
    </row>
    <row r="167" spans="1:15" ht="15" customHeight="1">
      <c r="A167" s="54"/>
      <c r="L167" s="13"/>
      <c r="M167" s="13"/>
      <c r="N167" s="51"/>
      <c r="O167" s="51"/>
    </row>
    <row r="168" spans="1:15" ht="15" customHeight="1">
      <c r="A168" s="54"/>
      <c r="L168" s="13"/>
      <c r="M168" s="13"/>
      <c r="N168" s="51"/>
      <c r="O168" s="51"/>
    </row>
    <row r="169" spans="1:15" ht="15" customHeight="1">
      <c r="A169" s="54"/>
      <c r="L169" s="13"/>
      <c r="M169" s="13"/>
      <c r="N169" s="51"/>
      <c r="O169" s="51"/>
    </row>
    <row r="170" spans="1:15" ht="15" customHeight="1">
      <c r="A170" s="54"/>
      <c r="L170" s="13"/>
      <c r="M170" s="13"/>
      <c r="N170" s="51"/>
      <c r="O170" s="51"/>
    </row>
    <row r="171" spans="1:15" ht="15" customHeight="1">
      <c r="A171" s="54"/>
      <c r="L171" s="13"/>
      <c r="M171" s="13"/>
      <c r="N171" s="51"/>
      <c r="O171" s="51"/>
    </row>
    <row r="172" spans="1:15" ht="15" customHeight="1">
      <c r="A172" s="54"/>
      <c r="L172" s="13"/>
      <c r="M172" s="13"/>
      <c r="N172" s="51"/>
      <c r="O172" s="51"/>
    </row>
    <row r="173" spans="1:15" ht="15" customHeight="1">
      <c r="A173" s="54"/>
      <c r="L173" s="13"/>
      <c r="M173" s="13"/>
      <c r="N173" s="51"/>
      <c r="O173" s="51"/>
    </row>
    <row r="174" spans="1:15" ht="15" customHeight="1">
      <c r="A174" s="54"/>
      <c r="L174" s="13"/>
      <c r="M174" s="13"/>
      <c r="N174" s="51"/>
      <c r="O174" s="51"/>
    </row>
    <row r="175" spans="1:15" ht="15" customHeight="1">
      <c r="A175" s="54"/>
      <c r="L175" s="13"/>
      <c r="M175" s="13"/>
      <c r="N175" s="51"/>
      <c r="O175" s="51"/>
    </row>
    <row r="176" spans="1:15" ht="15" customHeight="1">
      <c r="A176" s="54"/>
      <c r="L176" s="13"/>
      <c r="M176" s="13"/>
      <c r="N176" s="51"/>
      <c r="O176" s="51"/>
    </row>
    <row r="177" spans="1:15" ht="15" customHeight="1">
      <c r="A177" s="54"/>
      <c r="L177" s="13"/>
      <c r="M177" s="13"/>
      <c r="N177" s="51"/>
      <c r="O177" s="51"/>
    </row>
    <row r="178" spans="1:15" ht="15" customHeight="1">
      <c r="A178" s="54"/>
      <c r="L178" s="13"/>
      <c r="M178" s="13"/>
      <c r="N178" s="51"/>
      <c r="O178" s="51"/>
    </row>
    <row r="179" spans="1:15" ht="15" customHeight="1">
      <c r="A179" s="54"/>
      <c r="L179" s="13"/>
      <c r="M179" s="13"/>
      <c r="N179" s="51"/>
      <c r="O179" s="51"/>
    </row>
    <row r="180" spans="1:15" ht="15" customHeight="1">
      <c r="A180" s="54"/>
      <c r="L180" s="13"/>
      <c r="M180" s="13"/>
      <c r="N180" s="51"/>
      <c r="O180" s="51"/>
    </row>
    <row r="181" spans="1:15" ht="15" customHeight="1">
      <c r="A181" s="54"/>
      <c r="L181" s="13"/>
      <c r="M181" s="13"/>
      <c r="N181" s="51"/>
      <c r="O181" s="51"/>
    </row>
    <row r="182" spans="1:15" ht="15" customHeight="1">
      <c r="A182" s="54"/>
      <c r="L182" s="13"/>
      <c r="M182" s="13"/>
      <c r="N182" s="51"/>
      <c r="O182" s="51"/>
    </row>
    <row r="183" spans="1:15" ht="15" customHeight="1">
      <c r="A183" s="54"/>
      <c r="L183" s="13"/>
      <c r="M183" s="13"/>
      <c r="N183" s="51"/>
      <c r="O183" s="51"/>
    </row>
    <row r="184" spans="1:15" ht="15" customHeight="1">
      <c r="A184" s="54"/>
      <c r="L184" s="13"/>
      <c r="M184" s="13"/>
      <c r="N184" s="51"/>
      <c r="O184" s="51"/>
    </row>
    <row r="185" spans="1:15" ht="15" customHeight="1">
      <c r="L185" s="13"/>
      <c r="M185" s="13"/>
      <c r="N185" s="51"/>
      <c r="O185" s="51"/>
    </row>
    <row r="186" spans="1:15" ht="15" customHeight="1">
      <c r="L186" s="13"/>
      <c r="M186" s="13"/>
      <c r="N186" s="51"/>
      <c r="O186" s="51"/>
    </row>
    <row r="187" spans="1:15" ht="15" customHeight="1">
      <c r="L187" s="13"/>
      <c r="M187" s="13"/>
      <c r="N187" s="51"/>
      <c r="O187" s="51"/>
    </row>
    <row r="188" spans="1:15" ht="15" customHeight="1">
      <c r="L188" s="13"/>
      <c r="M188" s="13"/>
      <c r="N188" s="51"/>
      <c r="O188" s="51"/>
    </row>
    <row r="189" spans="1:15" ht="15" customHeight="1">
      <c r="L189" s="13"/>
      <c r="M189" s="13"/>
      <c r="N189" s="51"/>
      <c r="O189" s="51"/>
    </row>
    <row r="190" spans="1:15" ht="15" customHeight="1">
      <c r="L190" s="13"/>
      <c r="M190" s="13"/>
      <c r="N190" s="51"/>
      <c r="O190" s="51"/>
    </row>
    <row r="191" spans="1:15" ht="15" customHeight="1">
      <c r="L191" s="13"/>
      <c r="M191" s="13"/>
      <c r="N191" s="51"/>
      <c r="O191" s="51"/>
    </row>
    <row r="192" spans="1:15" ht="15" customHeight="1">
      <c r="L192" s="13"/>
      <c r="M192" s="13"/>
      <c r="N192" s="51"/>
      <c r="O192" s="51"/>
    </row>
    <row r="193" spans="12:15" ht="15" customHeight="1">
      <c r="L193" s="13"/>
      <c r="M193" s="13"/>
      <c r="N193" s="51"/>
      <c r="O193" s="51"/>
    </row>
    <row r="194" spans="12:15" ht="15" customHeight="1">
      <c r="L194" s="13"/>
      <c r="M194" s="13"/>
      <c r="N194" s="51"/>
      <c r="O194" s="51"/>
    </row>
    <row r="195" spans="12:15" ht="15" customHeight="1">
      <c r="L195" s="13"/>
      <c r="M195" s="13"/>
      <c r="N195" s="51"/>
      <c r="O195" s="51"/>
    </row>
    <row r="196" spans="12:15" ht="15" customHeight="1">
      <c r="L196" s="13"/>
      <c r="M196" s="13"/>
      <c r="N196" s="51"/>
      <c r="O196" s="51"/>
    </row>
    <row r="197" spans="12:15" ht="15" customHeight="1">
      <c r="L197" s="13"/>
      <c r="M197" s="13"/>
      <c r="N197" s="51"/>
      <c r="O197" s="51"/>
    </row>
    <row r="198" spans="12:15" ht="15" customHeight="1">
      <c r="L198" s="13"/>
      <c r="M198" s="13"/>
      <c r="N198" s="51"/>
      <c r="O198" s="51"/>
    </row>
    <row r="199" spans="12:15" ht="15" customHeight="1">
      <c r="L199" s="13"/>
      <c r="M199" s="13"/>
      <c r="N199" s="51"/>
      <c r="O199" s="51"/>
    </row>
    <row r="200" spans="12:15" ht="15" customHeight="1">
      <c r="L200" s="13"/>
      <c r="M200" s="13"/>
      <c r="N200" s="51"/>
      <c r="O200" s="51"/>
    </row>
    <row r="201" spans="12:15" ht="15" customHeight="1">
      <c r="L201" s="13"/>
      <c r="M201" s="13"/>
      <c r="N201" s="51"/>
      <c r="O201" s="51"/>
    </row>
    <row r="202" spans="12:15" ht="15" customHeight="1">
      <c r="L202" s="13"/>
      <c r="M202" s="13"/>
      <c r="N202" s="51"/>
      <c r="O202" s="51"/>
    </row>
    <row r="203" spans="12:15" ht="15" customHeight="1">
      <c r="L203" s="13"/>
      <c r="M203" s="13"/>
      <c r="N203" s="51"/>
      <c r="O203" s="51"/>
    </row>
    <row r="204" spans="12:15" ht="15" customHeight="1">
      <c r="L204" s="13"/>
      <c r="M204" s="13"/>
      <c r="N204" s="51"/>
      <c r="O204" s="51"/>
    </row>
    <row r="205" spans="12:15" ht="15" customHeight="1">
      <c r="L205" s="13"/>
      <c r="M205" s="13"/>
      <c r="N205" s="51"/>
      <c r="O205" s="51"/>
    </row>
    <row r="206" spans="12:15" ht="15" customHeight="1">
      <c r="L206" s="13"/>
      <c r="M206" s="13"/>
      <c r="N206" s="51"/>
      <c r="O206" s="51"/>
    </row>
    <row r="207" spans="12:15" ht="15" customHeight="1">
      <c r="L207" s="13"/>
      <c r="M207" s="13"/>
      <c r="N207" s="51"/>
      <c r="O207" s="51"/>
    </row>
    <row r="208" spans="12:15" ht="15" customHeight="1">
      <c r="L208" s="13"/>
      <c r="M208" s="13"/>
      <c r="N208" s="51"/>
      <c r="O208" s="51"/>
    </row>
    <row r="209" spans="12:15" ht="15" customHeight="1">
      <c r="L209" s="13"/>
      <c r="M209" s="13"/>
      <c r="N209" s="51"/>
      <c r="O209" s="51"/>
    </row>
    <row r="210" spans="12:15" ht="15" customHeight="1">
      <c r="L210" s="13"/>
      <c r="M210" s="13"/>
      <c r="N210" s="51"/>
      <c r="O210" s="51"/>
    </row>
    <row r="211" spans="12:15" ht="15" customHeight="1">
      <c r="L211" s="13"/>
      <c r="M211" s="13"/>
      <c r="N211" s="51"/>
      <c r="O211" s="51"/>
    </row>
    <row r="212" spans="12:15" ht="15" customHeight="1">
      <c r="L212" s="13"/>
      <c r="M212" s="13"/>
      <c r="N212" s="51"/>
      <c r="O212" s="51"/>
    </row>
    <row r="213" spans="12:15" ht="15" customHeight="1">
      <c r="L213" s="13"/>
      <c r="M213" s="13"/>
      <c r="N213" s="51"/>
      <c r="O213" s="51"/>
    </row>
    <row r="214" spans="12:15" ht="15" customHeight="1">
      <c r="L214" s="13"/>
      <c r="M214" s="13"/>
      <c r="N214" s="51"/>
      <c r="O214" s="51"/>
    </row>
    <row r="215" spans="12:15" ht="15" customHeight="1">
      <c r="L215" s="13"/>
      <c r="M215" s="13"/>
      <c r="N215" s="51"/>
      <c r="O215" s="51"/>
    </row>
    <row r="216" spans="12:15" ht="15" customHeight="1">
      <c r="L216" s="13"/>
      <c r="M216" s="13"/>
      <c r="N216" s="51"/>
      <c r="O216" s="51"/>
    </row>
    <row r="217" spans="12:15" ht="15" customHeight="1">
      <c r="L217" s="13"/>
      <c r="M217" s="13"/>
      <c r="N217" s="51"/>
      <c r="O217" s="51"/>
    </row>
    <row r="218" spans="12:15" ht="15" customHeight="1">
      <c r="L218" s="13"/>
      <c r="M218" s="13"/>
      <c r="N218" s="51"/>
      <c r="O218" s="51"/>
    </row>
    <row r="219" spans="12:15" ht="15" customHeight="1">
      <c r="L219" s="13"/>
      <c r="M219" s="13"/>
      <c r="N219" s="51"/>
      <c r="O219" s="51"/>
    </row>
    <row r="220" spans="12:15" ht="15" customHeight="1">
      <c r="L220" s="13"/>
      <c r="M220" s="13"/>
      <c r="N220" s="51"/>
      <c r="O220" s="51"/>
    </row>
    <row r="221" spans="12:15" ht="15" customHeight="1">
      <c r="L221" s="13"/>
      <c r="M221" s="13"/>
      <c r="N221" s="51"/>
      <c r="O221" s="51"/>
    </row>
    <row r="222" spans="12:15" ht="15" customHeight="1">
      <c r="L222" s="13"/>
      <c r="M222" s="13"/>
      <c r="N222" s="51"/>
      <c r="O222" s="51"/>
    </row>
    <row r="223" spans="12:15" ht="15" customHeight="1">
      <c r="L223" s="13"/>
      <c r="M223" s="13"/>
      <c r="N223" s="51"/>
      <c r="O223" s="51"/>
    </row>
    <row r="224" spans="12:15" ht="15" customHeight="1">
      <c r="L224" s="13"/>
      <c r="M224" s="13"/>
      <c r="N224" s="51"/>
      <c r="O224" s="51"/>
    </row>
    <row r="225" spans="12:15" ht="15" customHeight="1">
      <c r="L225" s="13"/>
      <c r="M225" s="13"/>
      <c r="N225" s="51"/>
      <c r="O225" s="51"/>
    </row>
    <row r="226" spans="12:15" ht="15" customHeight="1">
      <c r="L226" s="13"/>
      <c r="M226" s="13"/>
      <c r="N226" s="51"/>
      <c r="O226" s="51"/>
    </row>
    <row r="227" spans="12:15" ht="15" customHeight="1">
      <c r="L227" s="13"/>
      <c r="M227" s="13"/>
      <c r="N227" s="51"/>
      <c r="O227" s="51"/>
    </row>
    <row r="228" spans="12:15" ht="15" customHeight="1">
      <c r="L228" s="13"/>
      <c r="M228" s="13"/>
      <c r="N228" s="51"/>
      <c r="O228" s="51"/>
    </row>
    <row r="229" spans="12:15" ht="15" customHeight="1">
      <c r="L229" s="13"/>
      <c r="M229" s="13"/>
      <c r="N229" s="51"/>
      <c r="O229" s="51"/>
    </row>
    <row r="230" spans="12:15" ht="15" customHeight="1">
      <c r="L230" s="13"/>
      <c r="M230" s="13"/>
      <c r="N230" s="51"/>
      <c r="O230" s="51"/>
    </row>
    <row r="231" spans="12:15" ht="15" customHeight="1">
      <c r="L231" s="13"/>
      <c r="M231" s="13"/>
      <c r="N231" s="51"/>
      <c r="O231" s="51"/>
    </row>
    <row r="232" spans="12:15" ht="15" customHeight="1">
      <c r="L232" s="13"/>
      <c r="M232" s="13"/>
      <c r="N232" s="51"/>
      <c r="O232" s="51"/>
    </row>
    <row r="233" spans="12:15" ht="15" customHeight="1">
      <c r="L233" s="13"/>
      <c r="M233" s="13"/>
      <c r="N233" s="51"/>
      <c r="O233" s="51"/>
    </row>
    <row r="234" spans="12:15" ht="15" customHeight="1">
      <c r="L234" s="13"/>
      <c r="M234" s="13"/>
      <c r="N234" s="51"/>
      <c r="O234" s="51"/>
    </row>
    <row r="235" spans="12:15" ht="15" customHeight="1">
      <c r="L235" s="13"/>
      <c r="M235" s="13"/>
      <c r="N235" s="51"/>
      <c r="O235" s="51"/>
    </row>
    <row r="236" spans="12:15" ht="15" customHeight="1">
      <c r="L236" s="13"/>
      <c r="M236" s="13"/>
      <c r="N236" s="51"/>
      <c r="O236" s="51"/>
    </row>
    <row r="237" spans="12:15" ht="15" customHeight="1">
      <c r="L237" s="13"/>
      <c r="M237" s="13"/>
      <c r="N237" s="51"/>
      <c r="O237" s="51"/>
    </row>
    <row r="238" spans="12:15" ht="15" customHeight="1">
      <c r="L238" s="13"/>
      <c r="M238" s="13"/>
      <c r="N238" s="51"/>
      <c r="O238" s="51"/>
    </row>
    <row r="239" spans="12:15" ht="15" customHeight="1">
      <c r="L239" s="13"/>
      <c r="M239" s="13"/>
      <c r="N239" s="51"/>
      <c r="O239" s="51"/>
    </row>
    <row r="240" spans="12:15" ht="15" customHeight="1">
      <c r="L240" s="13"/>
      <c r="M240" s="13"/>
      <c r="N240" s="51"/>
      <c r="O240" s="51"/>
    </row>
    <row r="241" spans="12:15" ht="15" customHeight="1">
      <c r="L241" s="13"/>
      <c r="M241" s="13"/>
      <c r="N241" s="51"/>
      <c r="O241" s="51"/>
    </row>
    <row r="242" spans="12:15" ht="15" customHeight="1">
      <c r="L242" s="13"/>
      <c r="M242" s="13"/>
      <c r="N242" s="51"/>
      <c r="O242" s="51"/>
    </row>
    <row r="243" spans="12:15" ht="15" customHeight="1">
      <c r="L243" s="13"/>
      <c r="M243" s="13"/>
      <c r="N243" s="51"/>
      <c r="O243" s="51"/>
    </row>
    <row r="244" spans="12:15" ht="15" customHeight="1">
      <c r="L244" s="13"/>
      <c r="M244" s="13"/>
      <c r="N244" s="51"/>
      <c r="O244" s="51"/>
    </row>
    <row r="245" spans="12:15" ht="15" customHeight="1">
      <c r="L245" s="13"/>
      <c r="M245" s="13"/>
      <c r="N245" s="51"/>
      <c r="O245" s="51"/>
    </row>
    <row r="246" spans="12:15" ht="15" customHeight="1">
      <c r="L246" s="13"/>
      <c r="M246" s="13"/>
      <c r="N246" s="51"/>
      <c r="O246" s="51"/>
    </row>
    <row r="247" spans="12:15" ht="15" customHeight="1">
      <c r="L247" s="13"/>
      <c r="M247" s="13"/>
      <c r="N247" s="51"/>
      <c r="O247" s="51"/>
    </row>
    <row r="248" spans="12:15" ht="15" customHeight="1">
      <c r="L248" s="13"/>
      <c r="M248" s="13"/>
      <c r="N248" s="51"/>
      <c r="O248" s="51"/>
    </row>
    <row r="249" spans="12:15" ht="15" customHeight="1">
      <c r="L249" s="13"/>
      <c r="M249" s="13"/>
      <c r="N249" s="51"/>
      <c r="O249" s="51"/>
    </row>
    <row r="250" spans="12:15" ht="15" customHeight="1">
      <c r="L250" s="13"/>
      <c r="M250" s="13"/>
      <c r="N250" s="51"/>
      <c r="O250" s="51"/>
    </row>
    <row r="251" spans="12:15" ht="15" customHeight="1">
      <c r="L251" s="13"/>
      <c r="M251" s="13"/>
      <c r="N251" s="51"/>
      <c r="O251" s="51"/>
    </row>
    <row r="252" spans="12:15" ht="15" customHeight="1">
      <c r="L252" s="13"/>
      <c r="M252" s="13"/>
      <c r="N252" s="51"/>
      <c r="O252" s="51"/>
    </row>
    <row r="253" spans="12:15" ht="15" customHeight="1">
      <c r="L253" s="13"/>
      <c r="M253" s="13"/>
      <c r="N253" s="51"/>
      <c r="O253" s="51"/>
    </row>
    <row r="254" spans="12:15" ht="15" customHeight="1">
      <c r="L254" s="13"/>
      <c r="M254" s="13"/>
      <c r="N254" s="51"/>
      <c r="O254" s="51"/>
    </row>
    <row r="255" spans="12:15" ht="15" customHeight="1">
      <c r="L255" s="13"/>
      <c r="M255" s="13"/>
      <c r="N255" s="51"/>
      <c r="O255" s="51"/>
    </row>
    <row r="256" spans="12:15" ht="15" customHeight="1">
      <c r="L256" s="13"/>
      <c r="M256" s="13"/>
      <c r="N256" s="51"/>
      <c r="O256" s="51"/>
    </row>
    <row r="257" spans="12:15" ht="15" customHeight="1">
      <c r="L257" s="13"/>
      <c r="M257" s="13"/>
      <c r="N257" s="51"/>
      <c r="O257" s="51"/>
    </row>
    <row r="258" spans="12:15" ht="15" customHeight="1">
      <c r="L258" s="13"/>
      <c r="M258" s="13"/>
      <c r="N258" s="51"/>
      <c r="O258" s="51"/>
    </row>
    <row r="259" spans="12:15" ht="15" customHeight="1">
      <c r="L259" s="13"/>
      <c r="M259" s="13"/>
      <c r="N259" s="51"/>
      <c r="O259" s="51"/>
    </row>
    <row r="260" spans="12:15" ht="15" customHeight="1">
      <c r="L260" s="13"/>
      <c r="M260" s="13"/>
      <c r="N260" s="51"/>
      <c r="O260" s="51"/>
    </row>
    <row r="261" spans="12:15" ht="15" customHeight="1">
      <c r="L261" s="13"/>
      <c r="M261" s="13"/>
      <c r="N261" s="51"/>
      <c r="O261" s="51"/>
    </row>
    <row r="262" spans="12:15" ht="15" customHeight="1">
      <c r="L262" s="13"/>
      <c r="M262" s="13"/>
      <c r="N262" s="51"/>
      <c r="O262" s="51"/>
    </row>
    <row r="263" spans="12:15" ht="15" customHeight="1">
      <c r="L263" s="13"/>
      <c r="M263" s="13"/>
      <c r="N263" s="51"/>
      <c r="O263" s="51"/>
    </row>
    <row r="264" spans="12:15" ht="15" customHeight="1">
      <c r="L264" s="13"/>
      <c r="M264" s="13"/>
      <c r="N264" s="51"/>
      <c r="O264" s="51"/>
    </row>
    <row r="265" spans="12:15" ht="15" customHeight="1">
      <c r="L265" s="13"/>
      <c r="M265" s="13"/>
      <c r="N265" s="51"/>
      <c r="O265" s="51"/>
    </row>
    <row r="266" spans="12:15" ht="15" customHeight="1">
      <c r="L266" s="13"/>
      <c r="M266" s="13"/>
      <c r="N266" s="51"/>
      <c r="O266" s="51"/>
    </row>
    <row r="267" spans="12:15" ht="15" customHeight="1">
      <c r="L267" s="13"/>
      <c r="M267" s="13"/>
      <c r="N267" s="51"/>
      <c r="O267" s="51"/>
    </row>
    <row r="268" spans="12:15" ht="15" customHeight="1">
      <c r="L268" s="13"/>
      <c r="M268" s="13"/>
      <c r="N268" s="51"/>
      <c r="O268" s="51"/>
    </row>
    <row r="269" spans="12:15" ht="15" customHeight="1">
      <c r="L269" s="13"/>
      <c r="M269" s="13"/>
      <c r="N269" s="51"/>
      <c r="O269" s="51"/>
    </row>
    <row r="270" spans="12:15" ht="15" customHeight="1">
      <c r="L270" s="13"/>
      <c r="M270" s="13"/>
      <c r="N270" s="51"/>
      <c r="O270" s="51"/>
    </row>
    <row r="271" spans="12:15" ht="15" customHeight="1">
      <c r="L271" s="13"/>
      <c r="M271" s="13"/>
      <c r="N271" s="51"/>
      <c r="O271" s="51"/>
    </row>
    <row r="272" spans="12:15" ht="15" customHeight="1">
      <c r="L272" s="13"/>
      <c r="M272" s="13"/>
      <c r="N272" s="51"/>
      <c r="O272" s="51"/>
    </row>
    <row r="273" spans="12:15" ht="15" customHeight="1">
      <c r="L273" s="13"/>
      <c r="M273" s="13"/>
      <c r="N273" s="51"/>
      <c r="O273" s="51"/>
    </row>
    <row r="274" spans="12:15" ht="15" customHeight="1">
      <c r="L274" s="13"/>
      <c r="M274" s="13"/>
      <c r="N274" s="51"/>
      <c r="O274" s="51"/>
    </row>
    <row r="275" spans="12:15" ht="15" customHeight="1">
      <c r="N275" s="51"/>
      <c r="O275" s="51"/>
    </row>
    <row r="276" spans="12:15" ht="15" customHeight="1">
      <c r="N276" s="51"/>
      <c r="O276" s="51"/>
    </row>
    <row r="277" spans="12:15" ht="15" customHeight="1">
      <c r="N277" s="51"/>
      <c r="O277" s="51"/>
    </row>
    <row r="278" spans="12:15" ht="15" customHeight="1">
      <c r="N278" s="51"/>
      <c r="O278" s="51"/>
    </row>
    <row r="279" spans="12:15" ht="15" customHeight="1">
      <c r="N279" s="51"/>
      <c r="O279" s="51"/>
    </row>
    <row r="280" spans="12:15" ht="15" customHeight="1">
      <c r="N280" s="51"/>
      <c r="O280" s="51"/>
    </row>
    <row r="281" spans="12:15" ht="15" customHeight="1">
      <c r="N281" s="51"/>
      <c r="O281" s="51"/>
    </row>
    <row r="282" spans="12:15" ht="15" customHeight="1">
      <c r="N282" s="51"/>
      <c r="O282" s="51"/>
    </row>
    <row r="283" spans="12:15" ht="15" customHeight="1">
      <c r="N283" s="51"/>
      <c r="O283" s="51"/>
    </row>
    <row r="284" spans="12:15" ht="15" customHeight="1">
      <c r="N284" s="51"/>
      <c r="O284" s="51"/>
    </row>
    <row r="285" spans="12:15" ht="15" customHeight="1">
      <c r="N285" s="51"/>
      <c r="O285" s="51"/>
    </row>
    <row r="286" spans="12:15" ht="15" customHeight="1">
      <c r="N286" s="51"/>
      <c r="O286" s="51"/>
    </row>
    <row r="287" spans="12:15" ht="15" customHeight="1">
      <c r="N287" s="51"/>
      <c r="O287" s="51"/>
    </row>
    <row r="288" spans="12:15" ht="15" customHeight="1">
      <c r="N288" s="51"/>
      <c r="O288" s="51"/>
    </row>
    <row r="289" s="51" customFormat="1" ht="15" customHeight="1"/>
    <row r="290" s="51" customFormat="1" ht="15" customHeight="1"/>
    <row r="291" s="51" customFormat="1" ht="15" customHeight="1"/>
    <row r="292" s="51" customFormat="1" ht="15" customHeight="1"/>
    <row r="293" s="51" customFormat="1" ht="15" customHeight="1"/>
    <row r="294" s="51" customFormat="1" ht="15" customHeight="1"/>
    <row r="295" s="51" customFormat="1" ht="15" customHeight="1"/>
    <row r="296" s="51" customFormat="1" ht="15" customHeight="1"/>
    <row r="297" s="51" customFormat="1" ht="15" customHeight="1"/>
    <row r="298" s="51" customFormat="1" ht="15" customHeight="1"/>
    <row r="299" s="51" customFormat="1" ht="15" customHeight="1"/>
    <row r="300" s="51" customFormat="1" ht="15" customHeight="1"/>
    <row r="301" s="51" customFormat="1" ht="15" customHeight="1"/>
    <row r="302" s="51" customFormat="1" ht="15" customHeight="1"/>
    <row r="303" s="51" customFormat="1" ht="15" customHeight="1"/>
    <row r="304" s="51" customFormat="1" ht="15" customHeight="1"/>
    <row r="305" s="51" customFormat="1" ht="15" customHeight="1"/>
    <row r="306" s="51" customFormat="1" ht="15" customHeight="1"/>
    <row r="307" s="51" customFormat="1" ht="15" customHeight="1"/>
    <row r="308" s="51" customFormat="1" ht="15" customHeight="1"/>
    <row r="309" s="51" customFormat="1" ht="15" customHeight="1"/>
    <row r="310" s="51" customFormat="1" ht="15" customHeight="1"/>
    <row r="311" s="51" customFormat="1" ht="15" customHeight="1"/>
    <row r="312" s="51" customFormat="1" ht="15" customHeight="1"/>
    <row r="313" s="51" customFormat="1" ht="15" customHeight="1"/>
    <row r="314" s="51" customFormat="1" ht="15" customHeight="1"/>
    <row r="315" s="51" customFormat="1" ht="15" customHeight="1"/>
    <row r="316" s="51" customFormat="1" ht="15" customHeight="1"/>
    <row r="317" s="51" customFormat="1" ht="15" customHeight="1"/>
    <row r="318" s="51" customFormat="1" ht="15" customHeight="1"/>
    <row r="319" s="51" customFormat="1" ht="15" customHeight="1"/>
    <row r="320" s="51" customFormat="1" ht="15" customHeight="1"/>
    <row r="321" s="51" customFormat="1" ht="15" customHeight="1"/>
    <row r="322" s="51" customFormat="1" ht="15" customHeight="1"/>
    <row r="323" s="51" customFormat="1" ht="15" customHeight="1"/>
    <row r="324" s="51" customFormat="1" ht="15" customHeight="1"/>
    <row r="325" s="51" customFormat="1" ht="15" customHeight="1"/>
    <row r="326" s="51" customFormat="1" ht="15" customHeight="1"/>
    <row r="327" s="51" customFormat="1" ht="15" customHeight="1"/>
    <row r="328" s="51" customFormat="1" ht="15" customHeight="1"/>
    <row r="329" s="51" customFormat="1" ht="15" customHeight="1"/>
    <row r="330" s="51" customFormat="1" ht="15" customHeight="1"/>
    <row r="331" s="51" customFormat="1" ht="15" customHeight="1"/>
    <row r="332" s="51" customFormat="1" ht="15" customHeight="1"/>
    <row r="333" s="51" customFormat="1" ht="15" customHeight="1"/>
    <row r="334" s="51" customFormat="1" ht="15" customHeight="1"/>
    <row r="335" s="51" customFormat="1" ht="15" customHeight="1"/>
    <row r="336" s="51" customFormat="1" ht="15" customHeight="1"/>
    <row r="337" s="51" customFormat="1" ht="15" customHeight="1"/>
    <row r="338" s="51" customFormat="1" ht="15" customHeight="1"/>
    <row r="339" s="51" customFormat="1" ht="15" customHeight="1"/>
    <row r="340" s="51" customFormat="1" ht="15" customHeight="1"/>
    <row r="341" s="51" customFormat="1" ht="15" customHeight="1"/>
    <row r="342" s="51" customFormat="1" ht="15" customHeight="1"/>
    <row r="343" s="51" customFormat="1" ht="15" customHeight="1"/>
    <row r="344" s="51" customFormat="1" ht="15" customHeight="1"/>
    <row r="345" s="51" customFormat="1" ht="15" customHeight="1"/>
    <row r="346" s="51" customFormat="1" ht="15" customHeight="1"/>
    <row r="347" s="51" customFormat="1" ht="15" customHeight="1"/>
    <row r="348" s="51" customFormat="1" ht="15" customHeight="1"/>
    <row r="349" s="51" customFormat="1" ht="15" customHeight="1"/>
    <row r="350" s="51" customFormat="1" ht="15" customHeight="1"/>
    <row r="351" s="51" customFormat="1" ht="15" customHeight="1"/>
    <row r="352" s="51" customFormat="1" ht="15" customHeight="1"/>
    <row r="353" s="51" customFormat="1" ht="15" customHeight="1"/>
    <row r="354" s="51" customFormat="1" ht="15" customHeight="1"/>
    <row r="355" s="51" customFormat="1" ht="15" customHeight="1"/>
    <row r="356" s="51" customFormat="1" ht="15" customHeight="1"/>
    <row r="357" s="51" customFormat="1" ht="15" customHeight="1"/>
    <row r="358" s="51" customFormat="1" ht="15" customHeight="1"/>
    <row r="359" s="51" customFormat="1" ht="15" customHeight="1"/>
    <row r="360" s="51" customFormat="1" ht="15" customHeight="1"/>
    <row r="361" s="51" customFormat="1" ht="15" customHeight="1"/>
    <row r="362" s="51" customFormat="1" ht="15" customHeight="1"/>
    <row r="363" s="51" customFormat="1" ht="15" customHeight="1"/>
    <row r="364" s="51" customFormat="1" ht="15" customHeight="1"/>
    <row r="365" s="51" customFormat="1" ht="15" customHeight="1"/>
    <row r="366" s="51" customFormat="1" ht="15" customHeight="1"/>
    <row r="367" s="51" customFormat="1" ht="15" customHeight="1"/>
    <row r="368" s="51" customFormat="1" ht="15" customHeight="1"/>
    <row r="369" s="51" customFormat="1" ht="15" customHeight="1"/>
    <row r="370" s="51" customFormat="1" ht="15" customHeight="1"/>
    <row r="371" s="51" customFormat="1" ht="15" customHeight="1"/>
    <row r="372" s="51" customFormat="1" ht="15" customHeight="1"/>
    <row r="373" s="51" customFormat="1" ht="15" customHeight="1"/>
    <row r="374" s="51" customFormat="1" ht="15" customHeight="1"/>
    <row r="375" s="51" customFormat="1" ht="15" customHeight="1"/>
    <row r="376" s="51" customFormat="1" ht="15" customHeight="1"/>
    <row r="377" s="51" customFormat="1" ht="15" customHeight="1"/>
    <row r="378" s="51" customFormat="1" ht="15" customHeight="1"/>
    <row r="379" s="51" customFormat="1" ht="15" customHeight="1"/>
    <row r="380" s="51" customFormat="1" ht="15" customHeight="1"/>
    <row r="381" s="51" customFormat="1" ht="15" customHeight="1"/>
    <row r="382" s="51" customFormat="1" ht="15" customHeight="1"/>
    <row r="383" s="51" customFormat="1" ht="15" customHeight="1"/>
    <row r="384" s="51" customFormat="1" ht="15" customHeight="1"/>
    <row r="385" s="51" customFormat="1" ht="15" customHeight="1"/>
    <row r="386" s="51" customFormat="1" ht="15" customHeight="1"/>
    <row r="387" s="51" customFormat="1" ht="15" customHeight="1"/>
    <row r="388" s="51" customFormat="1" ht="15" customHeight="1"/>
    <row r="389" s="51" customFormat="1" ht="15" customHeight="1"/>
    <row r="390" s="51" customFormat="1" ht="15" customHeight="1"/>
    <row r="391" s="51" customFormat="1" ht="15" customHeight="1"/>
    <row r="392" s="51" customFormat="1" ht="15" customHeight="1"/>
    <row r="393" s="51" customFormat="1" ht="15" customHeight="1"/>
    <row r="394" s="51" customFormat="1" ht="15" customHeight="1"/>
    <row r="395" s="51" customFormat="1" ht="15" customHeight="1"/>
    <row r="396" s="51" customFormat="1" ht="15" customHeight="1"/>
    <row r="397" s="51" customFormat="1" ht="15" customHeight="1"/>
    <row r="398" s="51" customFormat="1" ht="15" customHeight="1"/>
    <row r="399" s="51" customFormat="1" ht="15" customHeight="1"/>
    <row r="400" s="51" customFormat="1" ht="15" customHeight="1"/>
    <row r="401" s="51" customFormat="1" ht="15" customHeight="1"/>
    <row r="402" s="51" customFormat="1" ht="15" customHeight="1"/>
    <row r="403" s="51" customFormat="1" ht="15" customHeight="1"/>
    <row r="404" s="51" customFormat="1" ht="15" customHeight="1"/>
    <row r="405" s="51" customFormat="1" ht="15" customHeight="1"/>
    <row r="406" s="51" customFormat="1" ht="15" customHeight="1"/>
    <row r="407" s="51" customFormat="1" ht="15" customHeight="1"/>
    <row r="408" s="51" customFormat="1" ht="15" customHeight="1"/>
    <row r="409" s="51" customFormat="1" ht="15" customHeight="1"/>
    <row r="410" s="51" customFormat="1" ht="15" customHeight="1"/>
    <row r="411" s="51" customFormat="1" ht="15" customHeight="1"/>
    <row r="412" s="51" customFormat="1" ht="15" customHeight="1"/>
    <row r="413" s="51" customFormat="1" ht="15" customHeight="1"/>
    <row r="414" s="51" customFormat="1" ht="15" customHeight="1"/>
    <row r="415" s="51" customFormat="1" ht="15" customHeight="1"/>
    <row r="416" s="51" customFormat="1" ht="15" customHeight="1"/>
    <row r="417" s="51" customFormat="1" ht="15" customHeight="1"/>
    <row r="418" s="51" customFormat="1" ht="15" customHeight="1"/>
    <row r="419" s="51" customFormat="1" ht="15" customHeight="1"/>
    <row r="420" s="51" customFormat="1" ht="15" customHeight="1"/>
    <row r="421" s="51" customFormat="1" ht="15" customHeight="1"/>
    <row r="422" s="51" customFormat="1" ht="15" customHeight="1"/>
    <row r="423" s="51" customFormat="1" ht="15" customHeight="1"/>
    <row r="424" s="51" customFormat="1" ht="15" customHeight="1"/>
    <row r="425" s="51" customFormat="1" ht="15" customHeight="1"/>
    <row r="426" s="51" customFormat="1" ht="15" customHeight="1"/>
    <row r="427" s="51" customFormat="1" ht="15" customHeight="1"/>
    <row r="428" s="51" customFormat="1" ht="15" customHeight="1"/>
    <row r="429" s="51" customFormat="1" ht="15" customHeight="1"/>
    <row r="430" s="51" customFormat="1" ht="15" customHeight="1"/>
    <row r="431" s="51" customFormat="1" ht="15" customHeight="1"/>
    <row r="432" s="51" customFormat="1" ht="15" customHeight="1"/>
    <row r="433" s="51" customFormat="1" ht="15" customHeight="1"/>
    <row r="434" s="51" customFormat="1" ht="15" customHeight="1"/>
    <row r="435" s="51" customFormat="1" ht="15" customHeight="1"/>
    <row r="436" s="51" customFormat="1" ht="15" customHeight="1"/>
    <row r="437" s="51" customFormat="1" ht="15" customHeight="1"/>
    <row r="438" s="51" customFormat="1" ht="15" customHeight="1"/>
    <row r="439" s="51" customFormat="1" ht="15" customHeight="1"/>
    <row r="440" s="51" customFormat="1" ht="15" customHeight="1"/>
    <row r="441" s="51" customFormat="1" ht="15" customHeight="1"/>
    <row r="442" s="51" customFormat="1" ht="15" customHeight="1"/>
    <row r="443" s="51" customFormat="1" ht="15" customHeight="1"/>
    <row r="444" s="51" customFormat="1" ht="15" customHeight="1"/>
    <row r="445" s="51" customFormat="1" ht="15" customHeight="1"/>
    <row r="446" s="51" customFormat="1" ht="15" customHeight="1"/>
    <row r="447" s="51" customFormat="1" ht="15" customHeight="1"/>
    <row r="448" s="51" customFormat="1" ht="15" customHeight="1"/>
    <row r="449" s="51" customFormat="1" ht="15" customHeight="1"/>
    <row r="450" s="51" customFormat="1" ht="15" customHeight="1"/>
    <row r="451" s="51" customFormat="1" ht="15" customHeight="1"/>
    <row r="452" s="51" customFormat="1" ht="15" customHeight="1"/>
    <row r="453" s="51" customFormat="1" ht="15" customHeight="1"/>
    <row r="454" s="51" customFormat="1" ht="15" customHeight="1"/>
    <row r="455" s="51" customFormat="1" ht="15" customHeight="1"/>
    <row r="456" s="51" customFormat="1" ht="15" customHeight="1"/>
    <row r="457" s="51" customFormat="1" ht="15" customHeight="1"/>
    <row r="458" s="51" customFormat="1" ht="15" customHeight="1"/>
    <row r="459" s="51" customFormat="1" ht="15" customHeight="1"/>
    <row r="460" s="51" customFormat="1" ht="15" customHeight="1"/>
    <row r="461" s="51" customFormat="1" ht="15" customHeight="1"/>
    <row r="462" s="51" customFormat="1" ht="15" customHeight="1"/>
    <row r="463" s="51" customFormat="1" ht="15" customHeight="1"/>
    <row r="464" s="51" customFormat="1" ht="15" customHeight="1"/>
    <row r="465" s="51" customFormat="1" ht="15" customHeight="1"/>
    <row r="466" s="51" customFormat="1" ht="15" customHeight="1"/>
    <row r="467" s="51" customFormat="1" ht="15" customHeight="1"/>
    <row r="468" s="51" customFormat="1" ht="15" customHeight="1"/>
    <row r="469" s="51" customFormat="1" ht="15" customHeight="1"/>
    <row r="470" s="51" customFormat="1" ht="15" customHeight="1"/>
    <row r="471" s="51" customFormat="1" ht="15" customHeight="1"/>
    <row r="472" s="51" customFormat="1" ht="15" customHeight="1"/>
    <row r="473" s="51" customFormat="1" ht="15" customHeight="1"/>
    <row r="474" s="51" customFormat="1" ht="15" customHeight="1"/>
    <row r="475" s="51" customFormat="1" ht="15" customHeight="1"/>
    <row r="476" s="51" customFormat="1" ht="15" customHeight="1"/>
    <row r="477" s="51" customFormat="1" ht="15" customHeight="1"/>
    <row r="478" s="51" customFormat="1" ht="15" customHeight="1"/>
    <row r="479" s="51" customFormat="1" ht="15" customHeight="1"/>
    <row r="480" s="51" customFormat="1" ht="15" customHeight="1"/>
    <row r="481" s="51" customFormat="1" ht="15" customHeight="1"/>
    <row r="482" s="51" customFormat="1" ht="15" customHeight="1"/>
    <row r="483" s="51" customFormat="1" ht="15" customHeight="1"/>
    <row r="484" s="51" customFormat="1" ht="15" customHeight="1"/>
    <row r="485" s="51" customFormat="1" ht="15" customHeight="1"/>
    <row r="486" s="51" customFormat="1" ht="15" customHeight="1"/>
    <row r="487" s="51" customFormat="1" ht="15" customHeight="1"/>
    <row r="488" s="51" customFormat="1" ht="15" customHeight="1"/>
    <row r="489" s="51" customFormat="1" ht="15" customHeight="1"/>
    <row r="490" s="51" customFormat="1" ht="15" customHeight="1"/>
    <row r="491" s="51" customFormat="1" ht="15" customHeight="1"/>
    <row r="492" s="51" customFormat="1" ht="15" customHeight="1"/>
    <row r="493" s="51" customFormat="1" ht="15" customHeight="1"/>
    <row r="494" s="51" customFormat="1" ht="15" customHeight="1"/>
    <row r="495" s="51" customFormat="1" ht="15" customHeight="1"/>
    <row r="496" s="51" customFormat="1" ht="15" customHeight="1"/>
    <row r="497" s="51" customFormat="1" ht="15" customHeight="1"/>
    <row r="498" s="51" customFormat="1" ht="15" customHeight="1"/>
    <row r="499" s="51" customFormat="1" ht="15" customHeight="1"/>
    <row r="500" s="51" customFormat="1" ht="15" customHeight="1"/>
    <row r="501" s="51" customFormat="1" ht="15" customHeight="1"/>
    <row r="502" s="51" customFormat="1" ht="15" customHeight="1"/>
    <row r="503" s="51" customFormat="1" ht="15" customHeight="1"/>
    <row r="504" s="51" customFormat="1" ht="15" customHeight="1"/>
    <row r="505" s="51" customFormat="1" ht="15" customHeight="1"/>
    <row r="506" s="51" customFormat="1" ht="15" customHeight="1"/>
    <row r="507" s="51" customFormat="1" ht="15" customHeight="1"/>
    <row r="508" s="51" customFormat="1" ht="15" customHeight="1"/>
    <row r="509" s="51" customFormat="1" ht="15" customHeight="1"/>
    <row r="510" s="51" customFormat="1" ht="15" customHeight="1"/>
    <row r="511" s="51" customFormat="1" ht="15" customHeight="1"/>
    <row r="512" s="51" customFormat="1" ht="15" customHeight="1"/>
    <row r="513" s="51" customFormat="1" ht="15" customHeight="1"/>
    <row r="514" s="51" customFormat="1" ht="15" customHeight="1"/>
    <row r="515" s="51" customFormat="1" ht="15" customHeight="1"/>
    <row r="516" s="51" customFormat="1" ht="15" customHeight="1"/>
    <row r="517" s="51" customFormat="1" ht="15" customHeight="1"/>
    <row r="518" s="51" customFormat="1" ht="15" customHeight="1"/>
    <row r="519" s="51" customFormat="1" ht="15" customHeight="1"/>
    <row r="520" s="51" customFormat="1" ht="15" customHeight="1"/>
    <row r="521" s="51" customFormat="1" ht="15" customHeight="1"/>
    <row r="522" s="51" customFormat="1" ht="15" customHeight="1"/>
    <row r="523" s="51" customFormat="1" ht="15" customHeight="1"/>
    <row r="524" s="51" customFormat="1" ht="15" customHeight="1"/>
    <row r="525" s="51" customFormat="1" ht="15" customHeight="1"/>
    <row r="526" s="51" customFormat="1" ht="15" customHeight="1"/>
    <row r="527" s="51" customFormat="1" ht="15" customHeight="1"/>
    <row r="528" s="51" customFormat="1" ht="15" customHeight="1"/>
    <row r="529" s="51" customFormat="1" ht="15" customHeight="1"/>
    <row r="530" s="51" customFormat="1" ht="15" customHeight="1"/>
    <row r="531" s="51" customFormat="1" ht="15" customHeight="1"/>
    <row r="532" s="51" customFormat="1" ht="15" customHeight="1"/>
    <row r="533" s="51" customFormat="1" ht="15" customHeight="1"/>
    <row r="534" s="51" customFormat="1" ht="15" customHeight="1"/>
    <row r="535" s="51" customFormat="1" ht="15" customHeight="1"/>
    <row r="536" s="51" customFormat="1" ht="15" customHeight="1"/>
    <row r="537" s="51" customFormat="1" ht="15" customHeight="1"/>
    <row r="538" s="51" customFormat="1" ht="15" customHeight="1"/>
    <row r="539" s="51" customFormat="1" ht="15" customHeight="1"/>
    <row r="540" s="51" customFormat="1" ht="15" customHeight="1"/>
    <row r="541" s="51" customFormat="1" ht="15" customHeight="1"/>
    <row r="542" s="51" customFormat="1" ht="15" customHeight="1"/>
    <row r="543" s="51" customFormat="1" ht="15" customHeight="1"/>
    <row r="544" s="51" customFormat="1" ht="15" customHeight="1"/>
    <row r="545" s="51" customFormat="1" ht="15" customHeight="1"/>
    <row r="546" s="51" customFormat="1" ht="15" customHeight="1"/>
    <row r="547" s="51" customFormat="1" ht="15" customHeight="1"/>
    <row r="548" s="51" customFormat="1" ht="15" customHeight="1"/>
    <row r="549" s="51" customFormat="1" ht="15" customHeight="1"/>
    <row r="550" s="51" customFormat="1" ht="15" customHeight="1"/>
    <row r="551" s="51" customFormat="1" ht="15" customHeight="1"/>
    <row r="552" s="51" customFormat="1" ht="15" customHeight="1"/>
    <row r="553" s="51" customFormat="1" ht="15" customHeight="1"/>
    <row r="554" s="51" customFormat="1" ht="15" customHeight="1"/>
    <row r="555" s="51" customFormat="1" ht="15" customHeight="1"/>
    <row r="556" s="51" customFormat="1" ht="15" customHeight="1"/>
    <row r="557" s="51" customFormat="1" ht="15" customHeight="1"/>
    <row r="558" s="51" customFormat="1" ht="15" customHeight="1"/>
    <row r="559" s="51" customFormat="1" ht="15" customHeight="1"/>
    <row r="560" s="51" customFormat="1" ht="15" customHeight="1"/>
    <row r="561" s="51" customFormat="1" ht="15" customHeight="1"/>
    <row r="562" s="51" customFormat="1" ht="15" customHeight="1"/>
    <row r="563" s="51" customFormat="1" ht="15" customHeight="1"/>
    <row r="564" s="51" customFormat="1" ht="15" customHeight="1"/>
    <row r="565" s="51" customFormat="1" ht="15" customHeight="1"/>
    <row r="566" s="51" customFormat="1" ht="15" customHeight="1"/>
    <row r="567" s="51" customFormat="1" ht="15" customHeight="1"/>
    <row r="568" s="51" customFormat="1" ht="15" customHeight="1"/>
    <row r="569" s="51" customFormat="1" ht="15" customHeight="1"/>
    <row r="570" s="51" customFormat="1" ht="15" customHeight="1"/>
    <row r="571" s="51" customFormat="1" ht="15" customHeight="1"/>
    <row r="572" s="51" customFormat="1" ht="15" customHeight="1"/>
    <row r="573" s="51" customFormat="1" ht="15" customHeight="1"/>
    <row r="574" s="51" customFormat="1" ht="15" customHeight="1"/>
    <row r="575" s="51" customFormat="1" ht="15" customHeight="1"/>
    <row r="576" s="51" customFormat="1" ht="15" customHeight="1"/>
    <row r="577" s="51" customFormat="1" ht="15" customHeight="1"/>
    <row r="578" s="51" customFormat="1" ht="15" customHeight="1"/>
    <row r="579" s="51" customFormat="1" ht="15" customHeight="1"/>
    <row r="580" s="51" customFormat="1" ht="15" customHeight="1"/>
    <row r="581" s="51" customFormat="1" ht="15" customHeight="1"/>
    <row r="582" s="51" customFormat="1" ht="15" customHeight="1"/>
    <row r="583" s="51" customFormat="1" ht="15" customHeight="1"/>
    <row r="584" s="51" customFormat="1" ht="15" customHeight="1"/>
    <row r="585" s="51" customFormat="1" ht="15" customHeight="1"/>
    <row r="586" s="51" customFormat="1" ht="15" customHeight="1"/>
    <row r="587" s="51" customFormat="1" ht="15" customHeight="1"/>
    <row r="588" s="51" customFormat="1" ht="15" customHeight="1"/>
    <row r="589" s="51" customFormat="1" ht="15" customHeight="1"/>
    <row r="590" s="51" customFormat="1" ht="15" customHeight="1"/>
    <row r="591" s="51" customFormat="1" ht="15" customHeight="1"/>
    <row r="592" s="51" customFormat="1" ht="15" customHeight="1"/>
    <row r="593" s="51" customFormat="1" ht="15" customHeight="1"/>
    <row r="594" s="51" customFormat="1" ht="15" customHeight="1"/>
    <row r="595" s="51" customFormat="1" ht="15" customHeight="1"/>
    <row r="596" s="51" customFormat="1" ht="15" customHeight="1"/>
    <row r="597" s="51" customFormat="1" ht="15" customHeight="1"/>
    <row r="598" s="51" customFormat="1" ht="15" customHeight="1"/>
    <row r="599" s="51" customFormat="1" ht="15" customHeight="1"/>
    <row r="600" s="51" customFormat="1" ht="15" customHeight="1"/>
    <row r="601" s="51" customFormat="1" ht="15" customHeight="1"/>
    <row r="602" s="51" customFormat="1" ht="15" customHeight="1"/>
    <row r="603" s="51" customFormat="1" ht="15" customHeight="1"/>
    <row r="604" s="51" customFormat="1" ht="15" customHeight="1"/>
    <row r="605" s="51" customFormat="1" ht="15" customHeight="1"/>
    <row r="606" s="51" customFormat="1" ht="15" customHeight="1"/>
    <row r="607" s="51" customFormat="1" ht="15" customHeight="1"/>
    <row r="608" s="51" customFormat="1" ht="15" customHeight="1"/>
    <row r="609" s="51" customFormat="1" ht="15" customHeight="1"/>
    <row r="610" s="51" customFormat="1" ht="15" customHeight="1"/>
    <row r="611" s="51" customFormat="1" ht="15" customHeight="1"/>
    <row r="612" s="51" customFormat="1" ht="15" customHeight="1"/>
    <row r="613" s="51" customFormat="1" ht="15" customHeight="1"/>
    <row r="614" s="51" customFormat="1" ht="15" customHeight="1"/>
    <row r="615" s="51" customFormat="1" ht="15" customHeight="1"/>
    <row r="616" s="51" customFormat="1" ht="15" customHeight="1"/>
    <row r="617" s="51" customFormat="1" ht="15" customHeight="1"/>
    <row r="618" s="51" customFormat="1" ht="15" customHeight="1"/>
    <row r="619" s="51" customFormat="1" ht="15" customHeight="1"/>
    <row r="620" s="51" customFormat="1" ht="15" customHeight="1"/>
    <row r="621" s="51" customFormat="1" ht="15" customHeight="1"/>
    <row r="622" s="51" customFormat="1" ht="15" customHeight="1"/>
    <row r="623" s="51" customFormat="1" ht="15" customHeight="1"/>
    <row r="624" s="51" customFormat="1" ht="15" customHeight="1"/>
  </sheetData>
  <mergeCells count="11">
    <mergeCell ref="B17:B21"/>
    <mergeCell ref="B22:B23"/>
    <mergeCell ref="B24:B27"/>
    <mergeCell ref="O30:P30"/>
    <mergeCell ref="B2:L3"/>
    <mergeCell ref="O4:P4"/>
    <mergeCell ref="B5:B9"/>
    <mergeCell ref="O5:P6"/>
    <mergeCell ref="B10:B11"/>
    <mergeCell ref="B14:L15"/>
    <mergeCell ref="O15:P15"/>
  </mergeCells>
  <conditionalFormatting sqref="L5:L11">
    <cfRule type="cellIs" dxfId="38" priority="3" operator="lessThan">
      <formula>0</formula>
    </cfRule>
  </conditionalFormatting>
  <conditionalFormatting sqref="L5:L11">
    <cfRule type="cellIs" dxfId="37" priority="9" operator="greaterThan">
      <formula>0</formula>
    </cfRule>
    <cfRule type="cellIs" dxfId="36" priority="10" operator="lessThan">
      <formula>3645000</formula>
    </cfRule>
    <cfRule type="cellIs" dxfId="35" priority="11" operator="greaterThan">
      <formula>0</formula>
    </cfRule>
    <cfRule type="cellIs" dxfId="34" priority="12" operator="lessThan">
      <formula>0</formula>
    </cfRule>
  </conditionalFormatting>
  <conditionalFormatting sqref="O11">
    <cfRule type="cellIs" dxfId="33" priority="7" operator="lessThan">
      <formula>0</formula>
    </cfRule>
    <cfRule type="cellIs" dxfId="32" priority="8" operator="greaterThan">
      <formula>0</formula>
    </cfRule>
  </conditionalFormatting>
  <conditionalFormatting sqref="P27">
    <cfRule type="cellIs" dxfId="31" priority="4" operator="lessThan">
      <formula>0</formula>
    </cfRule>
    <cfRule type="cellIs" dxfId="30" priority="5" operator="greaterThan">
      <formula>0</formula>
    </cfRule>
  </conditionalFormatting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A15B-9CA3-4FE4-BBDB-83150B2422DA}">
  <dimension ref="A2:Z625"/>
  <sheetViews>
    <sheetView showGridLines="0" zoomScale="80" zoomScaleNormal="80" workbookViewId="0">
      <selection activeCell="D30" sqref="D30"/>
    </sheetView>
  </sheetViews>
  <sheetFormatPr baseColWidth="10" defaultColWidth="12.59765625" defaultRowHeight="15" customHeight="1"/>
  <cols>
    <col min="1" max="1" width="4.296875" style="51" customWidth="1"/>
    <col min="2" max="2" width="17.5" style="51" customWidth="1"/>
    <col min="3" max="3" width="34.09765625" style="51" customWidth="1"/>
    <col min="4" max="4" width="18.09765625" style="51" customWidth="1"/>
    <col min="5" max="8" width="15.8984375" style="51" customWidth="1"/>
    <col min="9" max="9" width="15.8984375" style="51" hidden="1" customWidth="1"/>
    <col min="10" max="12" width="15.8984375" style="51" customWidth="1"/>
    <col min="13" max="13" width="0.59765625" style="51" hidden="1" customWidth="1"/>
    <col min="14" max="14" width="6.296875" style="53" customWidth="1"/>
    <col min="15" max="15" width="22.8984375" style="13" hidden="1" customWidth="1"/>
    <col min="16" max="16" width="23.59765625" style="51" hidden="1" customWidth="1"/>
    <col min="17" max="17" width="13.69921875" style="51" hidden="1" customWidth="1"/>
    <col min="18" max="18" width="13.59765625" style="51" hidden="1" customWidth="1"/>
    <col min="19" max="29" width="12.3984375" style="51" customWidth="1"/>
    <col min="30" max="16384" width="12.59765625" style="51"/>
  </cols>
  <sheetData>
    <row r="2" spans="1:26" ht="15" customHeight="1">
      <c r="B2" s="366" t="s">
        <v>142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</row>
    <row r="3" spans="1:26" ht="15" customHeight="1" thickBot="1"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</row>
    <row r="4" spans="1:26" ht="22.8" customHeight="1" thickBot="1">
      <c r="A4" s="54"/>
      <c r="B4" s="289">
        <f>'TABLERO Y AGENDA'!N3</f>
        <v>46072</v>
      </c>
      <c r="C4" s="285" t="s">
        <v>0</v>
      </c>
      <c r="D4" s="285" t="s">
        <v>1</v>
      </c>
      <c r="E4" s="285" t="s">
        <v>82</v>
      </c>
      <c r="F4" s="285" t="s">
        <v>46</v>
      </c>
      <c r="G4" s="285" t="s">
        <v>146</v>
      </c>
      <c r="H4" s="285" t="s">
        <v>124</v>
      </c>
      <c r="I4" s="285" t="s">
        <v>125</v>
      </c>
      <c r="J4" s="285" t="s">
        <v>128</v>
      </c>
      <c r="K4" s="285" t="s">
        <v>129</v>
      </c>
      <c r="L4" s="285" t="s">
        <v>130</v>
      </c>
      <c r="M4" s="78" t="s">
        <v>38</v>
      </c>
      <c r="N4" s="9"/>
      <c r="O4" s="368" t="s">
        <v>84</v>
      </c>
      <c r="P4" s="369"/>
    </row>
    <row r="5" spans="1:26" ht="19.8" customHeight="1">
      <c r="A5" s="54"/>
      <c r="B5" s="376" t="s">
        <v>39</v>
      </c>
      <c r="C5" s="296" t="s">
        <v>4</v>
      </c>
      <c r="D5" s="297">
        <f>+COUNTIF(INFO.RENTABILIDAD!$F:F,C5)</f>
        <v>153</v>
      </c>
      <c r="E5" s="298">
        <f>SUMIFS(INFO.RENTABILIDAD!$L$1:$L$15000,INFO.RENTABILIDAD!$F$1:$F$15000,C5,INFO.RENTABILIDAD!$W$1:$W$15000,"SI")</f>
        <v>59554500</v>
      </c>
      <c r="F5" s="298">
        <v>80000000</v>
      </c>
      <c r="G5" s="299">
        <f t="shared" ref="G5:G12" si="0">E5/F5</f>
        <v>0.74443124999999999</v>
      </c>
      <c r="H5" s="298">
        <f>(F5/$P$17)*$P$18</f>
        <v>53333333.333333336</v>
      </c>
      <c r="I5" s="300">
        <f>J5/F5</f>
        <v>0.24912500000000001</v>
      </c>
      <c r="J5" s="301">
        <f>SUMIF(INFO.PROYECCIÓN!$F:$F,C5,INFO.PROYECCIÓN!L:L)</f>
        <v>19930000</v>
      </c>
      <c r="K5" s="302">
        <f t="shared" ref="K5:K12" si="1">(L5/F5)</f>
        <v>-6.4437499999999998E-3</v>
      </c>
      <c r="L5" s="303">
        <f t="shared" ref="L5:L12" si="2">-(+F5-E5-J5)</f>
        <v>-515500</v>
      </c>
      <c r="M5" s="70">
        <f>(E5+J5)/F5</f>
        <v>0.99355625000000003</v>
      </c>
      <c r="N5" s="7"/>
      <c r="O5" s="371">
        <f>'PPTO TP C.E'!P19</f>
        <v>46072</v>
      </c>
      <c r="P5" s="372"/>
    </row>
    <row r="6" spans="1:26" ht="19.8" customHeight="1" thickBot="1">
      <c r="A6" s="54"/>
      <c r="B6" s="377"/>
      <c r="C6" s="342" t="s">
        <v>2</v>
      </c>
      <c r="D6" s="343">
        <f>+COUNTIF(INFO.RENTABILIDAD!$F:F,C6)</f>
        <v>157</v>
      </c>
      <c r="E6" s="339">
        <f>SUMIFS(INFO.RENTABILIDAD!$L$1:$L$15000,INFO.RENTABILIDAD!$F$1:$F$15000,C6,INFO.RENTABILIDAD!$W$1:$W$15000,"SI")</f>
        <v>78240000</v>
      </c>
      <c r="F6" s="339">
        <v>110000000</v>
      </c>
      <c r="G6" s="344">
        <f t="shared" si="0"/>
        <v>0.71127272727272728</v>
      </c>
      <c r="H6" s="339">
        <f t="shared" ref="H6:H12" si="3">(F6/$P$17)*$P$18</f>
        <v>73333333.333333328</v>
      </c>
      <c r="I6" s="338">
        <f t="shared" ref="I6:I12" si="4">J6/F6</f>
        <v>0.28202272727272726</v>
      </c>
      <c r="J6" s="337">
        <f>SUMIF(INFO.PROYECCIÓN!$F:$F,C6,INFO.PROYECCIÓN!L:L)</f>
        <v>31022500</v>
      </c>
      <c r="K6" s="290">
        <f t="shared" si="1"/>
        <v>-6.7045454545454543E-3</v>
      </c>
      <c r="L6" s="291">
        <f t="shared" si="2"/>
        <v>-737500</v>
      </c>
      <c r="M6" s="70">
        <f>(E6+J6)/F6</f>
        <v>0.99329545454545454</v>
      </c>
      <c r="N6" s="7"/>
      <c r="O6" s="373"/>
      <c r="P6" s="374"/>
    </row>
    <row r="7" spans="1:26" ht="19.8" customHeight="1" thickBot="1">
      <c r="A7" s="54"/>
      <c r="B7" s="377"/>
      <c r="C7" s="312" t="s">
        <v>3</v>
      </c>
      <c r="D7" s="313">
        <f>+COUNTIF(INFO.RENTABILIDAD!$F:F,C7)</f>
        <v>144</v>
      </c>
      <c r="E7" s="314">
        <f>SUMIFS(INFO.RENTABILIDAD!$L$1:$L$15000,INFO.RENTABILIDAD!$F$1:$F$15000,C7,INFO.RENTABILIDAD!$W$1:$W$15000,"SI")</f>
        <v>60705000</v>
      </c>
      <c r="F7" s="314">
        <v>110000000</v>
      </c>
      <c r="G7" s="315">
        <f t="shared" si="0"/>
        <v>0.55186363636363633</v>
      </c>
      <c r="H7" s="314">
        <f t="shared" si="3"/>
        <v>73333333.333333328</v>
      </c>
      <c r="I7" s="316">
        <f t="shared" si="4"/>
        <v>0.20827272727272728</v>
      </c>
      <c r="J7" s="317">
        <f>SUMIF(INFO.PROYECCIÓN!$F:$F,C7,INFO.PROYECCIÓN!L:L)</f>
        <v>22910000</v>
      </c>
      <c r="K7" s="290">
        <f t="shared" si="1"/>
        <v>-0.23986363636363636</v>
      </c>
      <c r="L7" s="291">
        <f t="shared" si="2"/>
        <v>-26385000</v>
      </c>
      <c r="M7" s="70"/>
      <c r="N7" s="7"/>
      <c r="O7" s="55"/>
      <c r="P7" s="55"/>
      <c r="R7" s="51" t="s">
        <v>121</v>
      </c>
    </row>
    <row r="8" spans="1:26" ht="19.8" customHeight="1" thickBot="1">
      <c r="A8" s="56"/>
      <c r="B8" s="377"/>
      <c r="C8" s="335" t="s">
        <v>127</v>
      </c>
      <c r="D8" s="336">
        <f>+COUNTIF(INFO.RENTABILIDAD!$F:F,C8)</f>
        <v>107</v>
      </c>
      <c r="E8" s="337">
        <f>SUMIFS(INFO.RENTABILIDAD!$L$1:$L$15000,INFO.RENTABILIDAD!$F$1:$F$15000,C8,INFO.RENTABILIDAD!$W$1:$W$15000,"SI")</f>
        <v>22214000</v>
      </c>
      <c r="F8" s="337">
        <v>30000000</v>
      </c>
      <c r="G8" s="338">
        <f t="shared" si="0"/>
        <v>0.74046666666666672</v>
      </c>
      <c r="H8" s="339">
        <f t="shared" si="3"/>
        <v>20000000</v>
      </c>
      <c r="I8" s="338">
        <f t="shared" si="4"/>
        <v>7.9533333333333331E-2</v>
      </c>
      <c r="J8" s="337">
        <f>SUMIF(INFO.PROYECCIÓN!$F:$F,C8,INFO.PROYECCIÓN!L:L)</f>
        <v>2386000</v>
      </c>
      <c r="K8" s="290">
        <f t="shared" si="1"/>
        <v>-0.18</v>
      </c>
      <c r="L8" s="291">
        <f t="shared" si="2"/>
        <v>-5400000</v>
      </c>
      <c r="M8" s="70">
        <f>(E8+J8)/F8</f>
        <v>0.82</v>
      </c>
      <c r="N8" s="7"/>
      <c r="O8" s="165" t="s">
        <v>113</v>
      </c>
      <c r="P8" s="165" t="s">
        <v>114</v>
      </c>
      <c r="Q8" s="116"/>
    </row>
    <row r="9" spans="1:26" ht="19.8" customHeight="1" thickBot="1">
      <c r="A9" s="54"/>
      <c r="B9" s="378"/>
      <c r="C9" s="318" t="s">
        <v>126</v>
      </c>
      <c r="D9" s="319">
        <f>+COUNTIF(INFO.RENTABILIDAD!$F:F,C9)</f>
        <v>100</v>
      </c>
      <c r="E9" s="320">
        <f>SUMIFS(INFO.RENTABILIDAD!$L$1:$L$15000,INFO.RENTABILIDAD!$F$1:$F$15000,C9,INFO.RENTABILIDAD!$W$1:$W$15000,"SI")</f>
        <v>29544500</v>
      </c>
      <c r="F9" s="320">
        <v>70000000</v>
      </c>
      <c r="G9" s="321">
        <f t="shared" si="0"/>
        <v>0.42206428571428573</v>
      </c>
      <c r="H9" s="322">
        <f t="shared" si="3"/>
        <v>46666666.666666664</v>
      </c>
      <c r="I9" s="321">
        <f t="shared" si="4"/>
        <v>9.1571428571428568E-2</v>
      </c>
      <c r="J9" s="320">
        <f>SUMIF(INFO.PROYECCIÓN!$F:$F,C9,INFO.PROYECCIÓN!L:L)</f>
        <v>6410000</v>
      </c>
      <c r="K9" s="292">
        <f t="shared" si="1"/>
        <v>-0.48636428571428569</v>
      </c>
      <c r="L9" s="293">
        <f t="shared" si="2"/>
        <v>-34045500</v>
      </c>
      <c r="M9" s="71">
        <f>(E11+J11)/F11</f>
        <v>0.66337500000000005</v>
      </c>
      <c r="N9" s="161"/>
      <c r="O9" s="50">
        <f>'PPTO TP C.E'!P32</f>
        <v>0.66666666666666663</v>
      </c>
      <c r="P9" s="50">
        <f>P33</f>
        <v>0.65254680851063829</v>
      </c>
      <c r="T9" s="13"/>
    </row>
    <row r="10" spans="1:26" ht="38.4" customHeight="1" thickBot="1">
      <c r="A10" s="54"/>
      <c r="B10" s="179"/>
      <c r="C10" s="271"/>
      <c r="D10" s="287" t="s">
        <v>141</v>
      </c>
      <c r="E10" s="288">
        <f>SUM(E5:E9)</f>
        <v>250258000</v>
      </c>
      <c r="F10" s="340">
        <f>SUM(F5:F9)</f>
        <v>400000000</v>
      </c>
      <c r="G10" s="274"/>
      <c r="H10" s="286">
        <f t="shared" si="3"/>
        <v>266666666.66666666</v>
      </c>
      <c r="I10" s="274"/>
      <c r="J10" s="273"/>
      <c r="K10" s="273"/>
      <c r="L10" s="275"/>
      <c r="M10" s="71"/>
      <c r="N10" s="161"/>
      <c r="O10" s="50"/>
      <c r="P10" s="50"/>
      <c r="T10" s="13"/>
    </row>
    <row r="11" spans="1:26" ht="19.8" customHeight="1" thickBot="1">
      <c r="A11" s="54"/>
      <c r="B11" s="376" t="s">
        <v>40</v>
      </c>
      <c r="C11" s="323" t="s">
        <v>107</v>
      </c>
      <c r="D11" s="324">
        <f>+COUNTIF(INFO.RENTABILIDAD!$F:F,C11)</f>
        <v>26</v>
      </c>
      <c r="E11" s="325">
        <f>SUMIFS(INFO.RENTABILIDAD!$L$1:$L$15000,INFO.RENTABILIDAD!$F$1:$F$15000,C11,INFO.RENTABILIDAD!$W$1:$W$15000,"SI")</f>
        <v>16275000</v>
      </c>
      <c r="F11" s="325">
        <v>40000000</v>
      </c>
      <c r="G11" s="326">
        <f t="shared" si="0"/>
        <v>0.40687499999999999</v>
      </c>
      <c r="H11" s="325">
        <f t="shared" si="3"/>
        <v>26666666.666666668</v>
      </c>
      <c r="I11" s="327">
        <f t="shared" si="4"/>
        <v>0.25650000000000001</v>
      </c>
      <c r="J11" s="328">
        <f>SUMIF(INFO.PROYECCIÓN!$F:$F,C11,INFO.PROYECCIÓN!L:L)</f>
        <v>10260000</v>
      </c>
      <c r="K11" s="302">
        <f t="shared" si="1"/>
        <v>-0.33662500000000001</v>
      </c>
      <c r="L11" s="303">
        <f t="shared" si="2"/>
        <v>-13465000</v>
      </c>
      <c r="M11" s="70">
        <f>(E12+J12)/F12</f>
        <v>0.56592500000000001</v>
      </c>
      <c r="N11" s="7"/>
      <c r="O11" s="165" t="str">
        <f>O34</f>
        <v>% DIFERENCIA</v>
      </c>
      <c r="P11" s="165" t="s">
        <v>115</v>
      </c>
    </row>
    <row r="12" spans="1:26" ht="19.8" customHeight="1" thickBot="1">
      <c r="A12" s="54"/>
      <c r="B12" s="378"/>
      <c r="C12" s="318" t="s">
        <v>5</v>
      </c>
      <c r="D12" s="319">
        <f>+COUNTIF(INFO.RENTABILIDAD!$F:F,C12)</f>
        <v>29</v>
      </c>
      <c r="E12" s="320">
        <f>SUMIFS(INFO.RENTABILIDAD!$L$1:$L$15000,INFO.RENTABILIDAD!$F$1:$F$15000,C12,INFO.RENTABILIDAD!$W$1:$W$15000,"SI")</f>
        <v>21257000</v>
      </c>
      <c r="F12" s="320">
        <v>40000000</v>
      </c>
      <c r="G12" s="321">
        <f t="shared" si="0"/>
        <v>0.53142500000000004</v>
      </c>
      <c r="H12" s="322">
        <f t="shared" si="3"/>
        <v>26666666.666666668</v>
      </c>
      <c r="I12" s="321">
        <f t="shared" si="4"/>
        <v>3.4500000000000003E-2</v>
      </c>
      <c r="J12" s="320">
        <f>SUMIF(INFO.PROYECCIÓN!$F:$F,C12,INFO.PROYECCIÓN!L:L)</f>
        <v>1380000</v>
      </c>
      <c r="K12" s="292">
        <f t="shared" si="1"/>
        <v>-0.43407499999999999</v>
      </c>
      <c r="L12" s="293">
        <f t="shared" si="2"/>
        <v>-17363000</v>
      </c>
      <c r="M12" s="70" t="e">
        <f>(E18+J18)/F18</f>
        <v>#DIV/0!</v>
      </c>
      <c r="N12" s="161"/>
      <c r="O12" s="120">
        <f>P34</f>
        <v>-1.4119858156028342E-2</v>
      </c>
      <c r="P12" s="50">
        <f>100%-P9</f>
        <v>0.34745319148936171</v>
      </c>
    </row>
    <row r="13" spans="1:26" ht="38.4" customHeight="1" thickBot="1">
      <c r="A13" s="54"/>
      <c r="B13" s="179"/>
      <c r="C13" s="172"/>
      <c r="D13" s="191" t="s">
        <v>140</v>
      </c>
      <c r="E13" s="192">
        <f>SUM(E11:E12)</f>
        <v>37532000</v>
      </c>
      <c r="F13" s="341">
        <f>SUM(F11:F12)</f>
        <v>80000000</v>
      </c>
      <c r="G13" s="173"/>
      <c r="H13" s="174">
        <f>SUM(H11:H12)</f>
        <v>53333333.333333336</v>
      </c>
      <c r="I13" s="173"/>
      <c r="J13" s="125"/>
      <c r="K13" s="125"/>
      <c r="L13" s="174"/>
      <c r="M13" s="71"/>
      <c r="N13" s="161"/>
      <c r="O13" s="50"/>
      <c r="P13" s="50"/>
      <c r="T13" s="13"/>
    </row>
    <row r="14" spans="1:26" ht="15" customHeight="1" thickBot="1">
      <c r="A14" s="54"/>
      <c r="M14" s="72" t="e">
        <f>(E20+J20)/F20</f>
        <v>#DIV/0!</v>
      </c>
      <c r="N14" s="7"/>
      <c r="O14" s="117">
        <f>P26</f>
        <v>0.87602021276595743</v>
      </c>
      <c r="P14" s="119">
        <f>(P20*P26)</f>
        <v>411729500</v>
      </c>
      <c r="Q14" s="116" t="s">
        <v>116</v>
      </c>
    </row>
    <row r="15" spans="1:26" ht="15" customHeight="1" thickBot="1">
      <c r="A15" s="54"/>
      <c r="B15" s="379"/>
      <c r="C15" s="379"/>
      <c r="D15" s="379"/>
      <c r="E15" s="379"/>
      <c r="F15" s="379"/>
      <c r="G15" s="379"/>
      <c r="H15" s="379"/>
      <c r="I15" s="379"/>
      <c r="J15" s="379"/>
      <c r="K15" s="379"/>
      <c r="L15" s="379"/>
      <c r="M15" s="262"/>
      <c r="N15" s="263"/>
      <c r="O15" s="263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</row>
    <row r="16" spans="1:26" ht="15" customHeight="1" thickBot="1">
      <c r="A16" s="54"/>
      <c r="B16" s="379"/>
      <c r="C16" s="379"/>
      <c r="D16" s="379"/>
      <c r="E16" s="379"/>
      <c r="F16" s="379"/>
      <c r="G16" s="379"/>
      <c r="H16" s="379"/>
      <c r="I16" s="379"/>
      <c r="J16" s="379"/>
      <c r="K16" s="379"/>
      <c r="L16" s="379"/>
      <c r="M16" s="265" t="e">
        <f>(E21+J21)/F21</f>
        <v>#DIV/0!</v>
      </c>
      <c r="N16" s="263"/>
      <c r="O16" s="380" t="s">
        <v>135</v>
      </c>
      <c r="P16" s="381"/>
      <c r="Q16" s="264"/>
      <c r="R16" s="264"/>
      <c r="S16" s="264"/>
      <c r="T16" s="264"/>
      <c r="U16" s="264"/>
      <c r="V16" s="264"/>
      <c r="W16" s="264"/>
      <c r="X16" s="264"/>
      <c r="Y16" s="264"/>
      <c r="Z16" s="264"/>
    </row>
    <row r="17" spans="1:26" ht="15" customHeight="1">
      <c r="A17" s="54"/>
      <c r="B17" s="266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4"/>
      <c r="N17" s="268"/>
      <c r="O17" s="269" t="s">
        <v>48</v>
      </c>
      <c r="P17" s="270">
        <f>'BALANCE PPTO'!E15</f>
        <v>24</v>
      </c>
      <c r="Q17" s="264"/>
      <c r="R17" s="264"/>
      <c r="S17" s="264"/>
      <c r="T17" s="264"/>
      <c r="U17" s="264"/>
      <c r="V17" s="264"/>
      <c r="W17" s="264"/>
      <c r="X17" s="264"/>
      <c r="Y17" s="264"/>
      <c r="Z17" s="264"/>
    </row>
    <row r="18" spans="1:26" ht="15" customHeight="1">
      <c r="A18" s="54"/>
      <c r="B18" s="375"/>
      <c r="C18" s="271"/>
      <c r="D18" s="272"/>
      <c r="E18" s="273"/>
      <c r="F18" s="273"/>
      <c r="G18" s="274"/>
      <c r="H18" s="275"/>
      <c r="I18" s="274"/>
      <c r="J18" s="273"/>
      <c r="K18" s="267"/>
      <c r="L18" s="275"/>
      <c r="M18" s="264"/>
      <c r="N18" s="268"/>
      <c r="O18" s="276" t="s">
        <v>49</v>
      </c>
      <c r="P18" s="277">
        <f>'BALANCE PPTO'!E16</f>
        <v>16</v>
      </c>
      <c r="Q18" s="264"/>
      <c r="R18" s="264"/>
      <c r="S18" s="264"/>
      <c r="T18" s="264"/>
      <c r="U18" s="264"/>
      <c r="V18" s="264"/>
      <c r="W18" s="264"/>
      <c r="X18" s="264"/>
      <c r="Y18" s="264"/>
      <c r="Z18" s="264"/>
    </row>
    <row r="19" spans="1:26" ht="15" customHeight="1">
      <c r="A19" s="54"/>
      <c r="B19" s="375"/>
      <c r="C19" s="278"/>
      <c r="D19" s="272"/>
      <c r="E19" s="273"/>
      <c r="F19" s="273"/>
      <c r="G19" s="274"/>
      <c r="H19" s="275"/>
      <c r="I19" s="274"/>
      <c r="J19" s="273"/>
      <c r="K19" s="267"/>
      <c r="L19" s="275"/>
      <c r="M19" s="264"/>
      <c r="N19" s="268"/>
      <c r="O19" s="276" t="s">
        <v>42</v>
      </c>
      <c r="P19" s="279">
        <f>'TABLERO Y AGENDA'!N3</f>
        <v>46072</v>
      </c>
      <c r="Q19" s="264"/>
      <c r="R19" s="264"/>
      <c r="S19" s="264"/>
      <c r="T19" s="264"/>
      <c r="U19" s="264"/>
      <c r="V19" s="264"/>
      <c r="W19" s="264"/>
      <c r="X19" s="264"/>
      <c r="Y19" s="264"/>
      <c r="Z19" s="264"/>
    </row>
    <row r="20" spans="1:26" ht="15" customHeight="1">
      <c r="A20" s="54"/>
      <c r="B20" s="375"/>
      <c r="C20" s="271"/>
      <c r="D20" s="272"/>
      <c r="E20" s="273"/>
      <c r="F20" s="273"/>
      <c r="G20" s="274"/>
      <c r="H20" s="275"/>
      <c r="I20" s="274"/>
      <c r="J20" s="273"/>
      <c r="K20" s="267"/>
      <c r="L20" s="275"/>
      <c r="M20" s="264"/>
      <c r="N20" s="268"/>
      <c r="O20" s="276" t="s">
        <v>136</v>
      </c>
      <c r="P20" s="280">
        <v>470000000</v>
      </c>
      <c r="Q20" s="264"/>
      <c r="R20" s="264"/>
      <c r="S20" s="264"/>
      <c r="T20" s="264"/>
      <c r="U20" s="264"/>
      <c r="V20" s="264"/>
      <c r="W20" s="264"/>
      <c r="X20" s="264"/>
      <c r="Y20" s="264"/>
      <c r="Z20" s="264"/>
    </row>
    <row r="21" spans="1:26" ht="15" customHeight="1">
      <c r="A21" s="54"/>
      <c r="B21" s="375"/>
      <c r="C21" s="271"/>
      <c r="D21" s="272"/>
      <c r="E21" s="273"/>
      <c r="F21" s="273"/>
      <c r="G21" s="274"/>
      <c r="H21" s="275"/>
      <c r="I21" s="274"/>
      <c r="J21" s="273"/>
      <c r="K21" s="267"/>
      <c r="L21" s="275"/>
      <c r="M21" s="264"/>
      <c r="N21" s="268"/>
      <c r="O21" s="276" t="s">
        <v>137</v>
      </c>
      <c r="P21" s="281">
        <f>P35*P18</f>
        <v>313333333.33333331</v>
      </c>
      <c r="Q21" s="264"/>
      <c r="R21" s="264"/>
      <c r="S21" s="264"/>
      <c r="T21" s="264"/>
      <c r="U21" s="264"/>
      <c r="V21" s="264"/>
      <c r="W21" s="264"/>
      <c r="X21" s="264"/>
      <c r="Y21" s="264"/>
      <c r="Z21" s="264"/>
    </row>
    <row r="22" spans="1:26" ht="15" customHeight="1">
      <c r="A22" s="54"/>
      <c r="B22" s="375"/>
      <c r="C22" s="271"/>
      <c r="D22" s="272"/>
      <c r="E22" s="273"/>
      <c r="F22" s="273"/>
      <c r="G22" s="274"/>
      <c r="H22" s="275"/>
      <c r="I22" s="274"/>
      <c r="J22" s="273"/>
      <c r="K22" s="267"/>
      <c r="L22" s="275"/>
      <c r="M22" s="264"/>
      <c r="N22" s="268"/>
      <c r="O22" s="276" t="s">
        <v>138</v>
      </c>
      <c r="P22" s="282">
        <f>'REPORTE X DÍAS'!K16</f>
        <v>306697000</v>
      </c>
      <c r="Q22" s="264"/>
      <c r="R22" s="264"/>
      <c r="S22" s="264"/>
      <c r="T22" s="264"/>
      <c r="U22" s="264"/>
      <c r="V22" s="264"/>
      <c r="W22" s="264"/>
      <c r="X22" s="264"/>
      <c r="Y22" s="264"/>
      <c r="Z22" s="264"/>
    </row>
    <row r="23" spans="1:26" ht="15" customHeight="1">
      <c r="A23" s="54"/>
      <c r="B23" s="375"/>
      <c r="C23" s="278"/>
      <c r="D23" s="272"/>
      <c r="E23" s="283"/>
      <c r="F23" s="273"/>
      <c r="G23" s="273"/>
      <c r="H23" s="274"/>
      <c r="I23" s="274"/>
      <c r="J23" s="273"/>
      <c r="K23" s="267"/>
      <c r="L23" s="267"/>
      <c r="M23" s="264"/>
      <c r="N23" s="268"/>
      <c r="O23" s="276" t="s">
        <v>139</v>
      </c>
      <c r="P23" s="280">
        <f>SUM(INFO.PROYECCIÓN!L:L)</f>
        <v>105032500</v>
      </c>
      <c r="Q23" s="264"/>
      <c r="R23" s="264"/>
      <c r="S23" s="264"/>
      <c r="T23" s="264"/>
      <c r="U23" s="264"/>
      <c r="V23" s="264"/>
      <c r="W23" s="264"/>
      <c r="X23" s="264"/>
      <c r="Y23" s="264"/>
      <c r="Z23" s="264"/>
    </row>
    <row r="24" spans="1:26" ht="15" customHeight="1">
      <c r="A24" s="54"/>
      <c r="B24" s="375"/>
      <c r="C24" s="271"/>
      <c r="D24" s="272"/>
      <c r="E24" s="273"/>
      <c r="F24" s="273"/>
      <c r="G24" s="274"/>
      <c r="H24" s="274"/>
      <c r="I24" s="274"/>
      <c r="J24" s="273"/>
      <c r="K24" s="267"/>
      <c r="L24" s="267"/>
      <c r="M24" s="264"/>
      <c r="N24" s="268"/>
      <c r="O24" s="284" t="s">
        <v>90</v>
      </c>
      <c r="P24" s="280">
        <f>P20-P23-P22</f>
        <v>58270500</v>
      </c>
      <c r="Q24" s="264"/>
      <c r="R24" s="264"/>
      <c r="S24" s="264"/>
      <c r="T24" s="264"/>
      <c r="U24" s="264"/>
      <c r="V24" s="264"/>
      <c r="W24" s="264"/>
      <c r="X24" s="264"/>
      <c r="Y24" s="264"/>
      <c r="Z24" s="264"/>
    </row>
    <row r="25" spans="1:26" ht="15" customHeight="1">
      <c r="A25" s="54"/>
      <c r="B25" s="370"/>
      <c r="C25" s="172"/>
      <c r="D25" s="124"/>
      <c r="E25" s="125"/>
      <c r="F25" s="125"/>
      <c r="G25" s="173"/>
      <c r="H25" s="173"/>
      <c r="I25" s="173"/>
      <c r="J25" s="125"/>
      <c r="K25" s="178"/>
      <c r="L25" s="178"/>
      <c r="O25" s="58" t="s">
        <v>53</v>
      </c>
      <c r="P25" s="52">
        <f>P22+P23</f>
        <v>411729500</v>
      </c>
    </row>
    <row r="26" spans="1:26" ht="15" customHeight="1">
      <c r="A26" s="54"/>
      <c r="B26" s="370"/>
      <c r="C26" s="179"/>
      <c r="D26" s="124"/>
      <c r="E26" s="125"/>
      <c r="F26" s="125"/>
      <c r="G26" s="173"/>
      <c r="H26" s="173"/>
      <c r="I26" s="173"/>
      <c r="J26" s="125"/>
      <c r="K26" s="178"/>
      <c r="L26" s="178"/>
      <c r="O26" s="58" t="s">
        <v>44</v>
      </c>
      <c r="P26" s="136">
        <f>P25/P20</f>
        <v>0.87602021276595743</v>
      </c>
    </row>
    <row r="27" spans="1:26" ht="15" hidden="1" customHeight="1">
      <c r="A27" s="54"/>
      <c r="B27" s="370"/>
      <c r="C27" s="185"/>
      <c r="D27" s="124"/>
      <c r="E27" s="125"/>
      <c r="F27" s="125"/>
      <c r="G27" s="173"/>
      <c r="H27" s="173"/>
      <c r="I27" s="173"/>
      <c r="J27" s="125"/>
      <c r="K27" s="178"/>
      <c r="L27" s="178"/>
      <c r="N27" s="51"/>
      <c r="O27" s="137"/>
      <c r="P27" s="138"/>
    </row>
    <row r="28" spans="1:26" s="53" customFormat="1" ht="15" customHeight="1" thickBot="1">
      <c r="A28" s="57"/>
      <c r="B28" s="370"/>
      <c r="C28" s="172"/>
      <c r="D28" s="169"/>
      <c r="E28" s="125"/>
      <c r="F28" s="125"/>
      <c r="G28" s="173"/>
      <c r="H28" s="173"/>
      <c r="I28" s="173"/>
      <c r="J28" s="125"/>
      <c r="K28" s="178"/>
      <c r="L28" s="178"/>
      <c r="M28" s="109"/>
      <c r="N28" s="109"/>
      <c r="O28" s="60" t="str">
        <f>O11</f>
        <v>% DIFERENCIA</v>
      </c>
      <c r="P28" s="139">
        <f>O12</f>
        <v>-1.4119858156028342E-2</v>
      </c>
      <c r="Q28" s="109"/>
      <c r="R28" s="109"/>
      <c r="S28" s="109"/>
    </row>
    <row r="29" spans="1:26" ht="15" customHeight="1">
      <c r="A29" s="54"/>
      <c r="L29" s="170"/>
      <c r="M29" s="170"/>
      <c r="N29" s="170"/>
      <c r="O29" s="170"/>
      <c r="P29" s="170"/>
      <c r="Q29" s="170"/>
      <c r="R29" s="170"/>
      <c r="S29" s="170"/>
    </row>
    <row r="30" spans="1:26" ht="15" customHeight="1">
      <c r="A30" s="54"/>
      <c r="L30" s="170"/>
      <c r="M30" s="170"/>
      <c r="N30" s="170"/>
      <c r="O30" s="111"/>
      <c r="P30" s="170"/>
      <c r="Q30" s="170"/>
      <c r="R30" s="170"/>
      <c r="S30" s="170"/>
    </row>
    <row r="31" spans="1:26" ht="15" customHeight="1">
      <c r="A31" s="54"/>
      <c r="L31" s="170"/>
      <c r="M31" s="170"/>
      <c r="N31" s="170"/>
      <c r="O31" s="365" t="s">
        <v>98</v>
      </c>
      <c r="P31" s="365"/>
      <c r="Q31" s="170"/>
      <c r="R31" s="170"/>
      <c r="S31" s="170"/>
    </row>
    <row r="32" spans="1:26" ht="15" customHeight="1">
      <c r="A32" s="54"/>
      <c r="L32" s="170"/>
      <c r="M32" s="170"/>
      <c r="N32" s="170"/>
      <c r="O32" s="109" t="s">
        <v>72</v>
      </c>
      <c r="P32" s="112">
        <f>P18/P17</f>
        <v>0.66666666666666663</v>
      </c>
      <c r="Q32" s="170"/>
      <c r="R32" s="170"/>
      <c r="S32" s="170"/>
    </row>
    <row r="33" spans="1:19" ht="15" customHeight="1">
      <c r="A33" s="54"/>
      <c r="L33" s="170"/>
      <c r="M33" s="170"/>
      <c r="N33" s="170"/>
      <c r="O33" s="109" t="s">
        <v>86</v>
      </c>
      <c r="P33" s="112">
        <f>P22/P20</f>
        <v>0.65254680851063829</v>
      </c>
      <c r="Q33" s="170"/>
      <c r="R33" s="170"/>
      <c r="S33" s="170"/>
    </row>
    <row r="34" spans="1:19" ht="15" customHeight="1">
      <c r="A34" s="54"/>
      <c r="L34" s="170"/>
      <c r="M34" s="170"/>
      <c r="N34" s="170"/>
      <c r="O34" s="109" t="s">
        <v>94</v>
      </c>
      <c r="P34" s="112">
        <f>P33-P32</f>
        <v>-1.4119858156028342E-2</v>
      </c>
      <c r="Q34" s="170"/>
      <c r="R34" s="170"/>
      <c r="S34" s="170"/>
    </row>
    <row r="35" spans="1:19" ht="15" customHeight="1">
      <c r="A35" s="54"/>
      <c r="L35" s="170"/>
      <c r="M35" s="170"/>
      <c r="N35" s="170"/>
      <c r="O35" s="109" t="s">
        <v>45</v>
      </c>
      <c r="P35" s="113">
        <f>P20/P17</f>
        <v>19583333.333333332</v>
      </c>
      <c r="Q35" s="114">
        <f>P35*22</f>
        <v>430833333.33333331</v>
      </c>
      <c r="R35" s="170"/>
      <c r="S35" s="170"/>
    </row>
    <row r="36" spans="1:19" ht="15" customHeight="1">
      <c r="A36" s="54"/>
      <c r="L36" s="170"/>
      <c r="M36" s="170"/>
      <c r="N36" s="170"/>
      <c r="O36" s="170" t="s">
        <v>93</v>
      </c>
      <c r="P36" s="114">
        <f>P22-(E5+E6+E8+E11+E12+E18+E19+E20)</f>
        <v>109156500</v>
      </c>
      <c r="Q36" s="170"/>
      <c r="R36" s="170"/>
      <c r="S36" s="170"/>
    </row>
    <row r="37" spans="1:19" ht="15" customHeight="1">
      <c r="A37" s="54"/>
      <c r="L37" s="170"/>
      <c r="M37" s="170"/>
      <c r="N37" s="170"/>
      <c r="O37" s="170" t="s">
        <v>90</v>
      </c>
      <c r="P37" s="114">
        <f>'REPORTE X DÍAS'!K20</f>
        <v>108270500</v>
      </c>
      <c r="Q37" s="170"/>
      <c r="R37" s="170"/>
      <c r="S37" s="170"/>
    </row>
    <row r="38" spans="1:19" ht="15" customHeight="1">
      <c r="A38" s="54"/>
      <c r="L38" s="170"/>
      <c r="M38" s="170"/>
      <c r="N38" s="109"/>
      <c r="O38" s="109" t="s">
        <v>105</v>
      </c>
      <c r="P38" s="109">
        <f>'REPORTE X DÍAS'!K18</f>
        <v>0</v>
      </c>
      <c r="Q38" s="170"/>
      <c r="R38" s="170"/>
    </row>
    <row r="39" spans="1:19" ht="15" customHeight="1">
      <c r="A39" s="54"/>
      <c r="L39" s="170"/>
      <c r="M39" s="170"/>
      <c r="N39" s="170"/>
      <c r="O39" s="109" t="s">
        <v>104</v>
      </c>
      <c r="P39" s="109">
        <f>'REPORTE X DÍAS'!K19</f>
        <v>6687000</v>
      </c>
      <c r="Q39" s="170"/>
      <c r="R39" s="170"/>
    </row>
    <row r="40" spans="1:19" ht="15" customHeight="1">
      <c r="A40" s="54"/>
      <c r="L40" s="170"/>
      <c r="M40" s="170"/>
      <c r="N40" s="170"/>
      <c r="O40" s="170"/>
      <c r="P40" s="170"/>
      <c r="Q40" s="170"/>
      <c r="R40" s="170"/>
    </row>
    <row r="41" spans="1:19" ht="15" customHeight="1">
      <c r="A41" s="54"/>
      <c r="L41" s="170"/>
      <c r="M41" s="170"/>
      <c r="N41" s="170"/>
      <c r="O41" s="170"/>
      <c r="P41" s="170"/>
      <c r="Q41" s="170"/>
      <c r="R41" s="170"/>
    </row>
    <row r="42" spans="1:19" ht="15" customHeight="1">
      <c r="A42" s="54"/>
      <c r="L42" s="170"/>
      <c r="M42" s="170"/>
      <c r="N42" s="170"/>
      <c r="O42" s="170"/>
      <c r="P42" s="170"/>
      <c r="Q42" s="170"/>
      <c r="R42" s="170"/>
    </row>
    <row r="43" spans="1:19" ht="15" customHeight="1">
      <c r="A43" s="54"/>
      <c r="L43" s="170"/>
      <c r="M43" s="170"/>
      <c r="N43" s="170"/>
      <c r="O43" s="170"/>
      <c r="P43" s="170"/>
      <c r="Q43" s="170"/>
      <c r="R43" s="170"/>
    </row>
    <row r="44" spans="1:19" ht="15" customHeight="1">
      <c r="A44" s="54"/>
      <c r="L44" s="170"/>
      <c r="M44" s="170"/>
      <c r="N44" s="170"/>
      <c r="O44" s="170"/>
      <c r="P44" s="170"/>
      <c r="Q44" s="170"/>
      <c r="R44" s="170"/>
    </row>
    <row r="45" spans="1:19" ht="15" customHeight="1">
      <c r="A45" s="54"/>
      <c r="L45" s="13"/>
      <c r="M45" s="13"/>
      <c r="N45" s="51"/>
      <c r="O45" s="51"/>
    </row>
    <row r="46" spans="1:19" ht="15" customHeight="1">
      <c r="A46" s="54"/>
      <c r="L46" s="13"/>
      <c r="M46" s="13"/>
      <c r="N46" s="51"/>
      <c r="O46" s="51"/>
    </row>
    <row r="47" spans="1:19" ht="15" customHeight="1">
      <c r="A47" s="54"/>
      <c r="L47" s="13"/>
      <c r="M47" s="13"/>
      <c r="N47" s="51"/>
      <c r="O47" s="51"/>
    </row>
    <row r="48" spans="1:19" ht="15" customHeight="1">
      <c r="A48" s="54"/>
      <c r="L48" s="13"/>
      <c r="M48" s="13"/>
      <c r="N48" s="51"/>
      <c r="O48" s="51"/>
    </row>
    <row r="49" spans="1:15" ht="15" customHeight="1">
      <c r="A49" s="54"/>
      <c r="L49" s="13"/>
      <c r="M49" s="13"/>
      <c r="N49" s="51"/>
      <c r="O49" s="51"/>
    </row>
    <row r="50" spans="1:15" ht="15" customHeight="1">
      <c r="A50" s="54"/>
      <c r="L50" s="13"/>
      <c r="M50" s="13"/>
      <c r="N50" s="51"/>
      <c r="O50" s="51"/>
    </row>
    <row r="51" spans="1:15" ht="15" customHeight="1">
      <c r="A51" s="54"/>
      <c r="L51" s="13"/>
      <c r="M51" s="13"/>
      <c r="N51" s="51"/>
      <c r="O51" s="51"/>
    </row>
    <row r="52" spans="1:15" ht="15" customHeight="1">
      <c r="A52" s="54"/>
      <c r="L52" s="13"/>
      <c r="M52" s="13"/>
      <c r="N52" s="51"/>
      <c r="O52" s="51"/>
    </row>
    <row r="53" spans="1:15" ht="15" customHeight="1">
      <c r="A53" s="54"/>
      <c r="L53" s="13"/>
      <c r="M53" s="13"/>
      <c r="N53" s="51"/>
      <c r="O53" s="51"/>
    </row>
    <row r="54" spans="1:15" ht="15" customHeight="1">
      <c r="A54" s="54"/>
      <c r="L54" s="13"/>
      <c r="M54" s="13"/>
      <c r="N54" s="51"/>
      <c r="O54" s="51"/>
    </row>
    <row r="55" spans="1:15" ht="15" customHeight="1">
      <c r="A55" s="54"/>
      <c r="L55" s="13"/>
      <c r="M55" s="13"/>
      <c r="N55" s="51"/>
      <c r="O55" s="51"/>
    </row>
    <row r="56" spans="1:15" ht="15" customHeight="1">
      <c r="A56" s="54"/>
      <c r="L56" s="13"/>
      <c r="M56" s="13"/>
      <c r="N56" s="51"/>
      <c r="O56" s="51"/>
    </row>
    <row r="57" spans="1:15" ht="15" customHeight="1">
      <c r="A57" s="54"/>
      <c r="L57" s="13"/>
      <c r="M57" s="13"/>
      <c r="N57" s="51"/>
      <c r="O57" s="51"/>
    </row>
    <row r="58" spans="1:15" ht="15" customHeight="1">
      <c r="A58" s="54"/>
      <c r="L58" s="13"/>
      <c r="M58" s="13"/>
      <c r="N58" s="51"/>
      <c r="O58" s="51"/>
    </row>
    <row r="59" spans="1:15" ht="15" customHeight="1">
      <c r="A59" s="54"/>
      <c r="L59" s="13"/>
      <c r="M59" s="13"/>
      <c r="N59" s="51"/>
      <c r="O59" s="51"/>
    </row>
    <row r="60" spans="1:15" ht="15" customHeight="1">
      <c r="A60" s="54"/>
      <c r="L60" s="13"/>
      <c r="M60" s="13"/>
      <c r="N60" s="51"/>
      <c r="O60" s="51"/>
    </row>
    <row r="61" spans="1:15" ht="15" customHeight="1">
      <c r="A61" s="54"/>
      <c r="L61" s="13"/>
      <c r="M61" s="13"/>
      <c r="N61" s="51"/>
      <c r="O61" s="51"/>
    </row>
    <row r="62" spans="1:15" ht="15" customHeight="1">
      <c r="A62" s="54"/>
      <c r="L62" s="13"/>
      <c r="M62" s="13"/>
      <c r="N62" s="51"/>
      <c r="O62" s="51"/>
    </row>
    <row r="63" spans="1:15" ht="15" customHeight="1">
      <c r="A63" s="54"/>
      <c r="L63" s="13"/>
      <c r="M63" s="13"/>
      <c r="N63" s="51"/>
      <c r="O63" s="51"/>
    </row>
    <row r="64" spans="1:15" ht="15" customHeight="1">
      <c r="A64" s="54"/>
      <c r="L64" s="13"/>
      <c r="M64" s="13"/>
      <c r="N64" s="51"/>
      <c r="O64" s="51"/>
    </row>
    <row r="65" spans="1:15" ht="15" customHeight="1">
      <c r="A65" s="54"/>
      <c r="L65" s="13"/>
      <c r="M65" s="13"/>
      <c r="N65" s="51"/>
      <c r="O65" s="51"/>
    </row>
    <row r="66" spans="1:15" ht="15" customHeight="1">
      <c r="A66" s="54"/>
      <c r="L66" s="13"/>
      <c r="M66" s="13"/>
      <c r="N66" s="51"/>
      <c r="O66" s="51"/>
    </row>
    <row r="67" spans="1:15" ht="15" customHeight="1">
      <c r="A67" s="54"/>
      <c r="L67" s="13"/>
      <c r="M67" s="13"/>
      <c r="N67" s="51"/>
      <c r="O67" s="51"/>
    </row>
    <row r="68" spans="1:15" ht="15" customHeight="1">
      <c r="A68" s="54"/>
      <c r="L68" s="13"/>
      <c r="M68" s="13"/>
      <c r="N68" s="51"/>
      <c r="O68" s="51"/>
    </row>
    <row r="69" spans="1:15" ht="15" customHeight="1">
      <c r="A69" s="54"/>
      <c r="L69" s="13"/>
      <c r="M69" s="13"/>
      <c r="N69" s="51"/>
      <c r="O69" s="51"/>
    </row>
    <row r="70" spans="1:15" ht="15" customHeight="1">
      <c r="A70" s="54"/>
      <c r="L70" s="13"/>
      <c r="M70" s="13"/>
      <c r="N70" s="51"/>
      <c r="O70" s="51"/>
    </row>
    <row r="71" spans="1:15" ht="15" customHeight="1">
      <c r="A71" s="54"/>
      <c r="L71" s="13"/>
      <c r="M71" s="13"/>
      <c r="N71" s="51"/>
      <c r="O71" s="51"/>
    </row>
    <row r="72" spans="1:15" ht="15" customHeight="1">
      <c r="A72" s="54"/>
      <c r="L72" s="13"/>
      <c r="M72" s="13"/>
      <c r="N72" s="51"/>
      <c r="O72" s="51"/>
    </row>
    <row r="73" spans="1:15" ht="15" customHeight="1">
      <c r="A73" s="54"/>
      <c r="L73" s="13"/>
      <c r="M73" s="13"/>
      <c r="N73" s="51"/>
      <c r="O73" s="51"/>
    </row>
    <row r="74" spans="1:15" ht="15" customHeight="1">
      <c r="A74" s="54"/>
      <c r="L74" s="13"/>
      <c r="M74" s="13"/>
      <c r="N74" s="51"/>
      <c r="O74" s="51"/>
    </row>
    <row r="75" spans="1:15" ht="15" customHeight="1">
      <c r="A75" s="54"/>
      <c r="L75" s="13"/>
      <c r="M75" s="13"/>
      <c r="N75" s="51"/>
      <c r="O75" s="51"/>
    </row>
    <row r="76" spans="1:15" ht="15" customHeight="1">
      <c r="A76" s="54"/>
      <c r="L76" s="13"/>
      <c r="M76" s="13"/>
      <c r="N76" s="51"/>
      <c r="O76" s="51"/>
    </row>
    <row r="77" spans="1:15" ht="15" customHeight="1">
      <c r="A77" s="54"/>
      <c r="L77" s="13"/>
      <c r="M77" s="13"/>
      <c r="N77" s="51"/>
      <c r="O77" s="51"/>
    </row>
    <row r="78" spans="1:15" ht="15" customHeight="1">
      <c r="A78" s="54"/>
      <c r="L78" s="13"/>
      <c r="M78" s="13"/>
      <c r="N78" s="51"/>
      <c r="O78" s="51"/>
    </row>
    <row r="79" spans="1:15" ht="15" customHeight="1">
      <c r="A79" s="54"/>
      <c r="L79" s="13"/>
      <c r="M79" s="13"/>
      <c r="N79" s="51"/>
      <c r="O79" s="51"/>
    </row>
    <row r="80" spans="1:15" ht="15" customHeight="1">
      <c r="A80" s="54"/>
      <c r="L80" s="13"/>
      <c r="M80" s="13"/>
      <c r="N80" s="51"/>
      <c r="O80" s="51"/>
    </row>
    <row r="81" spans="1:15" ht="15" customHeight="1">
      <c r="A81" s="54"/>
      <c r="L81" s="13"/>
      <c r="M81" s="13"/>
      <c r="N81" s="51"/>
      <c r="O81" s="51"/>
    </row>
    <row r="82" spans="1:15" ht="15" customHeight="1">
      <c r="A82" s="54"/>
      <c r="L82" s="13"/>
      <c r="M82" s="13"/>
      <c r="N82" s="51"/>
      <c r="O82" s="51"/>
    </row>
    <row r="83" spans="1:15" ht="15" customHeight="1">
      <c r="A83" s="54"/>
      <c r="L83" s="13"/>
      <c r="M83" s="13"/>
      <c r="N83" s="51"/>
      <c r="O83" s="51"/>
    </row>
    <row r="84" spans="1:15" ht="15" customHeight="1">
      <c r="A84" s="54"/>
      <c r="L84" s="13"/>
      <c r="M84" s="13"/>
      <c r="N84" s="51"/>
      <c r="O84" s="51"/>
    </row>
    <row r="85" spans="1:15" ht="15" customHeight="1">
      <c r="A85" s="54"/>
      <c r="L85" s="13"/>
      <c r="M85" s="13"/>
      <c r="N85" s="51"/>
      <c r="O85" s="51"/>
    </row>
    <row r="86" spans="1:15" ht="15" customHeight="1">
      <c r="A86" s="54"/>
      <c r="L86" s="13"/>
      <c r="M86" s="13"/>
      <c r="N86" s="51"/>
      <c r="O86" s="51"/>
    </row>
    <row r="87" spans="1:15" ht="15" customHeight="1">
      <c r="A87" s="54"/>
      <c r="L87" s="13"/>
      <c r="M87" s="13"/>
      <c r="N87" s="51"/>
      <c r="O87" s="51"/>
    </row>
    <row r="88" spans="1:15" ht="15" customHeight="1">
      <c r="A88" s="54"/>
      <c r="L88" s="13"/>
      <c r="M88" s="13"/>
      <c r="N88" s="51"/>
      <c r="O88" s="51"/>
    </row>
    <row r="89" spans="1:15" ht="15" customHeight="1">
      <c r="A89" s="54"/>
      <c r="L89" s="13"/>
      <c r="M89" s="13"/>
      <c r="N89" s="51"/>
      <c r="O89" s="51"/>
    </row>
    <row r="90" spans="1:15" ht="15" customHeight="1">
      <c r="A90" s="54"/>
      <c r="L90" s="13"/>
      <c r="M90" s="13"/>
      <c r="N90" s="51"/>
      <c r="O90" s="51"/>
    </row>
    <row r="91" spans="1:15" ht="15" customHeight="1">
      <c r="A91" s="54"/>
      <c r="L91" s="13"/>
      <c r="M91" s="13"/>
      <c r="N91" s="51"/>
      <c r="O91" s="51"/>
    </row>
    <row r="92" spans="1:15" ht="15" customHeight="1">
      <c r="A92" s="54"/>
      <c r="L92" s="13"/>
      <c r="M92" s="13"/>
      <c r="N92" s="51"/>
      <c r="O92" s="51"/>
    </row>
    <row r="93" spans="1:15" ht="15" customHeight="1">
      <c r="A93" s="54"/>
      <c r="L93" s="13"/>
      <c r="M93" s="13"/>
      <c r="N93" s="51"/>
      <c r="O93" s="51"/>
    </row>
    <row r="94" spans="1:15" ht="15" customHeight="1">
      <c r="A94" s="54"/>
      <c r="L94" s="13"/>
      <c r="M94" s="13"/>
      <c r="N94" s="51"/>
      <c r="O94" s="51"/>
    </row>
    <row r="95" spans="1:15" ht="15" customHeight="1">
      <c r="A95" s="54"/>
      <c r="L95" s="13"/>
      <c r="M95" s="13"/>
      <c r="N95" s="51"/>
      <c r="O95" s="51"/>
    </row>
    <row r="96" spans="1:15" ht="15" customHeight="1">
      <c r="A96" s="54"/>
      <c r="L96" s="13"/>
      <c r="M96" s="13"/>
      <c r="N96" s="51"/>
      <c r="O96" s="51"/>
    </row>
    <row r="97" spans="1:15" ht="15" customHeight="1">
      <c r="A97" s="54"/>
      <c r="L97" s="13"/>
      <c r="M97" s="13"/>
      <c r="N97" s="51"/>
      <c r="O97" s="51"/>
    </row>
    <row r="98" spans="1:15" ht="15" customHeight="1">
      <c r="A98" s="54"/>
      <c r="L98" s="13"/>
      <c r="M98" s="13"/>
      <c r="N98" s="51"/>
      <c r="O98" s="51"/>
    </row>
    <row r="99" spans="1:15" ht="15" customHeight="1">
      <c r="A99" s="54"/>
      <c r="L99" s="13"/>
      <c r="M99" s="13"/>
      <c r="N99" s="51"/>
      <c r="O99" s="51"/>
    </row>
    <row r="100" spans="1:15" ht="15" customHeight="1">
      <c r="A100" s="54"/>
      <c r="L100" s="13"/>
      <c r="M100" s="13"/>
      <c r="N100" s="51"/>
      <c r="O100" s="51"/>
    </row>
    <row r="101" spans="1:15" ht="15" customHeight="1">
      <c r="A101" s="54"/>
      <c r="L101" s="13"/>
      <c r="M101" s="13"/>
      <c r="N101" s="51"/>
      <c r="O101" s="51"/>
    </row>
    <row r="102" spans="1:15" ht="15" customHeight="1">
      <c r="A102" s="54"/>
      <c r="L102" s="13"/>
      <c r="M102" s="13"/>
      <c r="N102" s="51"/>
      <c r="O102" s="51"/>
    </row>
    <row r="103" spans="1:15" ht="15" customHeight="1">
      <c r="A103" s="54"/>
      <c r="L103" s="13"/>
      <c r="M103" s="13"/>
      <c r="N103" s="51"/>
      <c r="O103" s="51"/>
    </row>
    <row r="104" spans="1:15" ht="15" customHeight="1">
      <c r="A104" s="54"/>
      <c r="L104" s="13"/>
      <c r="M104" s="13"/>
      <c r="N104" s="51"/>
      <c r="O104" s="51"/>
    </row>
    <row r="105" spans="1:15" ht="15" customHeight="1">
      <c r="A105" s="54"/>
      <c r="L105" s="13"/>
      <c r="M105" s="13"/>
      <c r="N105" s="51"/>
      <c r="O105" s="51"/>
    </row>
    <row r="106" spans="1:15" ht="15" customHeight="1">
      <c r="A106" s="54"/>
      <c r="L106" s="13"/>
      <c r="M106" s="13"/>
      <c r="N106" s="51"/>
      <c r="O106" s="51"/>
    </row>
    <row r="107" spans="1:15" ht="15" customHeight="1">
      <c r="A107" s="54"/>
      <c r="L107" s="13"/>
      <c r="M107" s="13"/>
      <c r="N107" s="51"/>
      <c r="O107" s="51"/>
    </row>
    <row r="108" spans="1:15" ht="15" customHeight="1">
      <c r="A108" s="54"/>
      <c r="L108" s="13"/>
      <c r="M108" s="13"/>
      <c r="N108" s="51"/>
      <c r="O108" s="51"/>
    </row>
    <row r="109" spans="1:15" ht="15" customHeight="1">
      <c r="A109" s="54"/>
      <c r="L109" s="13"/>
      <c r="M109" s="13"/>
      <c r="N109" s="51"/>
      <c r="O109" s="51"/>
    </row>
    <row r="110" spans="1:15" ht="15" customHeight="1">
      <c r="A110" s="54"/>
      <c r="L110" s="13"/>
      <c r="M110" s="13"/>
      <c r="N110" s="51"/>
      <c r="O110" s="51"/>
    </row>
    <row r="111" spans="1:15" ht="15" customHeight="1">
      <c r="A111" s="54"/>
      <c r="L111" s="13"/>
      <c r="M111" s="13"/>
      <c r="N111" s="51"/>
      <c r="O111" s="51"/>
    </row>
    <row r="112" spans="1:15" ht="15" customHeight="1">
      <c r="A112" s="54"/>
      <c r="L112" s="13"/>
      <c r="M112" s="13"/>
      <c r="N112" s="51"/>
      <c r="O112" s="51"/>
    </row>
    <row r="113" spans="1:15" ht="15" customHeight="1">
      <c r="A113" s="54"/>
      <c r="L113" s="13"/>
      <c r="M113" s="13"/>
      <c r="N113" s="51"/>
      <c r="O113" s="51"/>
    </row>
    <row r="114" spans="1:15" ht="15" customHeight="1">
      <c r="A114" s="54"/>
      <c r="L114" s="13"/>
      <c r="M114" s="13"/>
      <c r="N114" s="51"/>
      <c r="O114" s="51"/>
    </row>
    <row r="115" spans="1:15" ht="15" customHeight="1">
      <c r="A115" s="54"/>
      <c r="L115" s="13"/>
      <c r="M115" s="13"/>
      <c r="N115" s="51"/>
      <c r="O115" s="51"/>
    </row>
    <row r="116" spans="1:15" ht="15" customHeight="1">
      <c r="A116" s="54"/>
      <c r="L116" s="13"/>
      <c r="M116" s="13"/>
      <c r="N116" s="51"/>
      <c r="O116" s="51"/>
    </row>
    <row r="117" spans="1:15" ht="15" customHeight="1">
      <c r="A117" s="54"/>
      <c r="L117" s="13"/>
      <c r="M117" s="13"/>
      <c r="N117" s="51"/>
      <c r="O117" s="51"/>
    </row>
    <row r="118" spans="1:15" ht="15" customHeight="1">
      <c r="A118" s="54"/>
      <c r="L118" s="13"/>
      <c r="M118" s="13"/>
      <c r="N118" s="51"/>
      <c r="O118" s="51"/>
    </row>
    <row r="119" spans="1:15" ht="15" customHeight="1">
      <c r="A119" s="54"/>
      <c r="L119" s="13"/>
      <c r="M119" s="13"/>
      <c r="N119" s="51"/>
      <c r="O119" s="51"/>
    </row>
    <row r="120" spans="1:15" ht="15" customHeight="1">
      <c r="A120" s="54"/>
      <c r="L120" s="13"/>
      <c r="M120" s="13"/>
      <c r="N120" s="51"/>
      <c r="O120" s="51"/>
    </row>
    <row r="121" spans="1:15" ht="15" customHeight="1">
      <c r="A121" s="54"/>
      <c r="L121" s="13"/>
      <c r="M121" s="13"/>
      <c r="N121" s="51"/>
      <c r="O121" s="51"/>
    </row>
    <row r="122" spans="1:15" ht="15" customHeight="1">
      <c r="A122" s="54"/>
      <c r="L122" s="13"/>
      <c r="M122" s="13"/>
      <c r="N122" s="51"/>
      <c r="O122" s="51"/>
    </row>
    <row r="123" spans="1:15" ht="15" customHeight="1">
      <c r="A123" s="54"/>
      <c r="L123" s="13"/>
      <c r="M123" s="13"/>
      <c r="N123" s="51"/>
      <c r="O123" s="51"/>
    </row>
    <row r="124" spans="1:15" ht="15" customHeight="1">
      <c r="A124" s="54"/>
      <c r="L124" s="13"/>
      <c r="M124" s="13"/>
      <c r="N124" s="51"/>
      <c r="O124" s="51"/>
    </row>
    <row r="125" spans="1:15" ht="15" customHeight="1">
      <c r="A125" s="54"/>
      <c r="L125" s="13"/>
      <c r="M125" s="13"/>
      <c r="N125" s="51"/>
      <c r="O125" s="51"/>
    </row>
    <row r="126" spans="1:15" ht="15" customHeight="1">
      <c r="A126" s="54"/>
      <c r="L126" s="13"/>
      <c r="M126" s="13"/>
      <c r="N126" s="51"/>
      <c r="O126" s="51"/>
    </row>
    <row r="127" spans="1:15" ht="15" customHeight="1">
      <c r="A127" s="54"/>
      <c r="L127" s="13"/>
      <c r="M127" s="13"/>
      <c r="N127" s="51"/>
      <c r="O127" s="51"/>
    </row>
    <row r="128" spans="1:15" ht="15" customHeight="1">
      <c r="A128" s="54"/>
      <c r="L128" s="13"/>
      <c r="M128" s="13"/>
      <c r="N128" s="51"/>
      <c r="O128" s="51"/>
    </row>
    <row r="129" spans="1:15" ht="15" customHeight="1">
      <c r="A129" s="54"/>
      <c r="L129" s="13"/>
      <c r="M129" s="13"/>
      <c r="N129" s="51"/>
      <c r="O129" s="51"/>
    </row>
    <row r="130" spans="1:15" ht="15" customHeight="1">
      <c r="A130" s="54"/>
      <c r="L130" s="13"/>
      <c r="M130" s="13"/>
      <c r="N130" s="51"/>
      <c r="O130" s="51"/>
    </row>
    <row r="131" spans="1:15" ht="15" customHeight="1">
      <c r="A131" s="54"/>
      <c r="L131" s="13"/>
      <c r="M131" s="13"/>
      <c r="N131" s="51"/>
      <c r="O131" s="51"/>
    </row>
    <row r="132" spans="1:15" ht="15" customHeight="1">
      <c r="A132" s="54"/>
      <c r="L132" s="13"/>
      <c r="M132" s="13"/>
      <c r="N132" s="51"/>
      <c r="O132" s="51"/>
    </row>
    <row r="133" spans="1:15" ht="15" customHeight="1">
      <c r="A133" s="54"/>
      <c r="L133" s="13"/>
      <c r="M133" s="13"/>
      <c r="N133" s="51"/>
      <c r="O133" s="51"/>
    </row>
    <row r="134" spans="1:15" ht="15" customHeight="1">
      <c r="A134" s="54"/>
      <c r="L134" s="13"/>
      <c r="M134" s="13"/>
      <c r="N134" s="51"/>
      <c r="O134" s="51"/>
    </row>
    <row r="135" spans="1:15" ht="15" customHeight="1">
      <c r="A135" s="54"/>
      <c r="L135" s="13"/>
      <c r="M135" s="13"/>
      <c r="N135" s="51"/>
      <c r="O135" s="51"/>
    </row>
    <row r="136" spans="1:15" ht="15" customHeight="1">
      <c r="A136" s="54"/>
      <c r="L136" s="13"/>
      <c r="M136" s="13"/>
      <c r="N136" s="51"/>
      <c r="O136" s="51"/>
    </row>
    <row r="137" spans="1:15" ht="15" customHeight="1">
      <c r="A137" s="54"/>
      <c r="L137" s="13"/>
      <c r="M137" s="13"/>
      <c r="N137" s="51"/>
      <c r="O137" s="51"/>
    </row>
    <row r="138" spans="1:15" ht="15" customHeight="1">
      <c r="A138" s="54"/>
      <c r="L138" s="13"/>
      <c r="M138" s="13"/>
      <c r="N138" s="51"/>
      <c r="O138" s="51"/>
    </row>
    <row r="139" spans="1:15" ht="15" customHeight="1">
      <c r="A139" s="54"/>
      <c r="L139" s="13"/>
      <c r="M139" s="13"/>
      <c r="N139" s="51"/>
      <c r="O139" s="51"/>
    </row>
    <row r="140" spans="1:15" ht="15" customHeight="1">
      <c r="A140" s="54"/>
      <c r="L140" s="13"/>
      <c r="M140" s="13"/>
      <c r="N140" s="51"/>
      <c r="O140" s="51"/>
    </row>
    <row r="141" spans="1:15" ht="15" customHeight="1">
      <c r="A141" s="54"/>
      <c r="L141" s="13"/>
      <c r="M141" s="13"/>
      <c r="N141" s="51"/>
      <c r="O141" s="51"/>
    </row>
    <row r="142" spans="1:15" ht="15" customHeight="1">
      <c r="A142" s="54"/>
      <c r="L142" s="13"/>
      <c r="M142" s="13"/>
      <c r="N142" s="51"/>
      <c r="O142" s="51"/>
    </row>
    <row r="143" spans="1:15" ht="15" customHeight="1">
      <c r="A143" s="54"/>
      <c r="L143" s="13"/>
      <c r="M143" s="13"/>
      <c r="N143" s="51"/>
      <c r="O143" s="51"/>
    </row>
    <row r="144" spans="1:15" ht="15" customHeight="1">
      <c r="A144" s="54"/>
      <c r="L144" s="13"/>
      <c r="M144" s="13"/>
      <c r="N144" s="51"/>
      <c r="O144" s="51"/>
    </row>
    <row r="145" spans="1:15" ht="15" customHeight="1">
      <c r="A145" s="54"/>
      <c r="L145" s="13"/>
      <c r="M145" s="13"/>
      <c r="N145" s="51"/>
      <c r="O145" s="51"/>
    </row>
    <row r="146" spans="1:15" ht="15" customHeight="1">
      <c r="A146" s="54"/>
      <c r="L146" s="13"/>
      <c r="M146" s="13"/>
      <c r="N146" s="51"/>
      <c r="O146" s="51"/>
    </row>
    <row r="147" spans="1:15" ht="15" customHeight="1">
      <c r="A147" s="54"/>
      <c r="L147" s="13"/>
      <c r="M147" s="13"/>
      <c r="N147" s="51"/>
      <c r="O147" s="51"/>
    </row>
    <row r="148" spans="1:15" ht="15" customHeight="1">
      <c r="A148" s="54"/>
      <c r="L148" s="13"/>
      <c r="M148" s="13"/>
      <c r="N148" s="51"/>
      <c r="O148" s="51"/>
    </row>
    <row r="149" spans="1:15" ht="15" customHeight="1">
      <c r="A149" s="54"/>
      <c r="L149" s="13"/>
      <c r="M149" s="13"/>
      <c r="N149" s="51"/>
      <c r="O149" s="51"/>
    </row>
    <row r="150" spans="1:15" ht="15" customHeight="1">
      <c r="A150" s="54"/>
      <c r="L150" s="13"/>
      <c r="M150" s="13"/>
      <c r="N150" s="51"/>
      <c r="O150" s="51"/>
    </row>
    <row r="151" spans="1:15" ht="15" customHeight="1">
      <c r="A151" s="54"/>
      <c r="L151" s="13"/>
      <c r="M151" s="13"/>
      <c r="N151" s="51"/>
      <c r="O151" s="51"/>
    </row>
    <row r="152" spans="1:15" ht="15" customHeight="1">
      <c r="A152" s="54"/>
      <c r="L152" s="13"/>
      <c r="M152" s="13"/>
      <c r="N152" s="51"/>
      <c r="O152" s="51"/>
    </row>
    <row r="153" spans="1:15" ht="15" customHeight="1">
      <c r="A153" s="54"/>
      <c r="L153" s="13"/>
      <c r="M153" s="13"/>
      <c r="N153" s="51"/>
      <c r="O153" s="51"/>
    </row>
    <row r="154" spans="1:15" ht="15" customHeight="1">
      <c r="A154" s="54"/>
      <c r="L154" s="13"/>
      <c r="M154" s="13"/>
      <c r="N154" s="51"/>
      <c r="O154" s="51"/>
    </row>
    <row r="155" spans="1:15" ht="15" customHeight="1">
      <c r="A155" s="54"/>
      <c r="L155" s="13"/>
      <c r="M155" s="13"/>
      <c r="N155" s="51"/>
      <c r="O155" s="51"/>
    </row>
    <row r="156" spans="1:15" ht="15" customHeight="1">
      <c r="A156" s="54"/>
      <c r="L156" s="13"/>
      <c r="M156" s="13"/>
      <c r="N156" s="51"/>
      <c r="O156" s="51"/>
    </row>
    <row r="157" spans="1:15" ht="15" customHeight="1">
      <c r="A157" s="54"/>
      <c r="L157" s="13"/>
      <c r="M157" s="13"/>
      <c r="N157" s="51"/>
      <c r="O157" s="51"/>
    </row>
    <row r="158" spans="1:15" ht="15" customHeight="1">
      <c r="A158" s="54"/>
      <c r="L158" s="13"/>
      <c r="M158" s="13"/>
      <c r="N158" s="51"/>
      <c r="O158" s="51"/>
    </row>
    <row r="159" spans="1:15" ht="15" customHeight="1">
      <c r="A159" s="54"/>
      <c r="L159" s="13"/>
      <c r="M159" s="13"/>
      <c r="N159" s="51"/>
      <c r="O159" s="51"/>
    </row>
    <row r="160" spans="1:15" ht="15" customHeight="1">
      <c r="A160" s="54"/>
      <c r="L160" s="13"/>
      <c r="M160" s="13"/>
      <c r="N160" s="51"/>
      <c r="O160" s="51"/>
    </row>
    <row r="161" spans="1:15" ht="15" customHeight="1">
      <c r="A161" s="54"/>
      <c r="L161" s="13"/>
      <c r="M161" s="13"/>
      <c r="N161" s="51"/>
      <c r="O161" s="51"/>
    </row>
    <row r="162" spans="1:15" ht="15" customHeight="1">
      <c r="A162" s="54"/>
      <c r="L162" s="13"/>
      <c r="M162" s="13"/>
      <c r="N162" s="51"/>
      <c r="O162" s="51"/>
    </row>
    <row r="163" spans="1:15" ht="15" customHeight="1">
      <c r="A163" s="54"/>
      <c r="L163" s="13"/>
      <c r="M163" s="13"/>
      <c r="N163" s="51"/>
      <c r="O163" s="51"/>
    </row>
    <row r="164" spans="1:15" ht="15" customHeight="1">
      <c r="A164" s="54"/>
      <c r="L164" s="13"/>
      <c r="M164" s="13"/>
      <c r="N164" s="51"/>
      <c r="O164" s="51"/>
    </row>
    <row r="165" spans="1:15" ht="15" customHeight="1">
      <c r="A165" s="54"/>
      <c r="L165" s="13"/>
      <c r="M165" s="13"/>
      <c r="N165" s="51"/>
      <c r="O165" s="51"/>
    </row>
    <row r="166" spans="1:15" ht="15" customHeight="1">
      <c r="A166" s="54"/>
      <c r="L166" s="13"/>
      <c r="M166" s="13"/>
      <c r="N166" s="51"/>
      <c r="O166" s="51"/>
    </row>
    <row r="167" spans="1:15" ht="15" customHeight="1">
      <c r="A167" s="54"/>
      <c r="L167" s="13"/>
      <c r="M167" s="13"/>
      <c r="N167" s="51"/>
      <c r="O167" s="51"/>
    </row>
    <row r="168" spans="1:15" ht="15" customHeight="1">
      <c r="A168" s="54"/>
      <c r="L168" s="13"/>
      <c r="M168" s="13"/>
      <c r="N168" s="51"/>
      <c r="O168" s="51"/>
    </row>
    <row r="169" spans="1:15" ht="15" customHeight="1">
      <c r="A169" s="54"/>
      <c r="L169" s="13"/>
      <c r="M169" s="13"/>
      <c r="N169" s="51"/>
      <c r="O169" s="51"/>
    </row>
    <row r="170" spans="1:15" ht="15" customHeight="1">
      <c r="A170" s="54"/>
      <c r="L170" s="13"/>
      <c r="M170" s="13"/>
      <c r="N170" s="51"/>
      <c r="O170" s="51"/>
    </row>
    <row r="171" spans="1:15" ht="15" customHeight="1">
      <c r="A171" s="54"/>
      <c r="L171" s="13"/>
      <c r="M171" s="13"/>
      <c r="N171" s="51"/>
      <c r="O171" s="51"/>
    </row>
    <row r="172" spans="1:15" ht="15" customHeight="1">
      <c r="A172" s="54"/>
      <c r="L172" s="13"/>
      <c r="M172" s="13"/>
      <c r="N172" s="51"/>
      <c r="O172" s="51"/>
    </row>
    <row r="173" spans="1:15" ht="15" customHeight="1">
      <c r="A173" s="54"/>
      <c r="L173" s="13"/>
      <c r="M173" s="13"/>
      <c r="N173" s="51"/>
      <c r="O173" s="51"/>
    </row>
    <row r="174" spans="1:15" ht="15" customHeight="1">
      <c r="A174" s="54"/>
      <c r="L174" s="13"/>
      <c r="M174" s="13"/>
      <c r="N174" s="51"/>
      <c r="O174" s="51"/>
    </row>
    <row r="175" spans="1:15" ht="15" customHeight="1">
      <c r="A175" s="54"/>
      <c r="L175" s="13"/>
      <c r="M175" s="13"/>
      <c r="N175" s="51"/>
      <c r="O175" s="51"/>
    </row>
    <row r="176" spans="1:15" ht="15" customHeight="1">
      <c r="A176" s="54"/>
      <c r="L176" s="13"/>
      <c r="M176" s="13"/>
      <c r="N176" s="51"/>
      <c r="O176" s="51"/>
    </row>
    <row r="177" spans="1:15" ht="15" customHeight="1">
      <c r="A177" s="54"/>
      <c r="L177" s="13"/>
      <c r="M177" s="13"/>
      <c r="N177" s="51"/>
      <c r="O177" s="51"/>
    </row>
    <row r="178" spans="1:15" ht="15" customHeight="1">
      <c r="A178" s="54"/>
      <c r="L178" s="13"/>
      <c r="M178" s="13"/>
      <c r="N178" s="51"/>
      <c r="O178" s="51"/>
    </row>
    <row r="179" spans="1:15" ht="15" customHeight="1">
      <c r="A179" s="54"/>
      <c r="L179" s="13"/>
      <c r="M179" s="13"/>
      <c r="N179" s="51"/>
      <c r="O179" s="51"/>
    </row>
    <row r="180" spans="1:15" ht="15" customHeight="1">
      <c r="A180" s="54"/>
      <c r="L180" s="13"/>
      <c r="M180" s="13"/>
      <c r="N180" s="51"/>
      <c r="O180" s="51"/>
    </row>
    <row r="181" spans="1:15" ht="15" customHeight="1">
      <c r="A181" s="54"/>
      <c r="L181" s="13"/>
      <c r="M181" s="13"/>
      <c r="N181" s="51"/>
      <c r="O181" s="51"/>
    </row>
    <row r="182" spans="1:15" ht="15" customHeight="1">
      <c r="A182" s="54"/>
      <c r="L182" s="13"/>
      <c r="M182" s="13"/>
      <c r="N182" s="51"/>
      <c r="O182" s="51"/>
    </row>
    <row r="183" spans="1:15" ht="15" customHeight="1">
      <c r="A183" s="54"/>
      <c r="L183" s="13"/>
      <c r="M183" s="13"/>
      <c r="N183" s="51"/>
      <c r="O183" s="51"/>
    </row>
    <row r="184" spans="1:15" ht="15" customHeight="1">
      <c r="A184" s="54"/>
      <c r="L184" s="13"/>
      <c r="M184" s="13"/>
      <c r="N184" s="51"/>
      <c r="O184" s="51"/>
    </row>
    <row r="185" spans="1:15" ht="15" customHeight="1">
      <c r="A185" s="54"/>
      <c r="L185" s="13"/>
      <c r="M185" s="13"/>
      <c r="N185" s="51"/>
      <c r="O185" s="51"/>
    </row>
    <row r="186" spans="1:15" ht="15" customHeight="1">
      <c r="L186" s="13"/>
      <c r="M186" s="13"/>
      <c r="N186" s="51"/>
      <c r="O186" s="51"/>
    </row>
    <row r="187" spans="1:15" ht="15" customHeight="1">
      <c r="L187" s="13"/>
      <c r="M187" s="13"/>
      <c r="N187" s="51"/>
      <c r="O187" s="51"/>
    </row>
    <row r="188" spans="1:15" ht="15" customHeight="1">
      <c r="L188" s="13"/>
      <c r="M188" s="13"/>
      <c r="N188" s="51"/>
      <c r="O188" s="51"/>
    </row>
    <row r="189" spans="1:15" ht="15" customHeight="1">
      <c r="L189" s="13"/>
      <c r="M189" s="13"/>
      <c r="N189" s="51"/>
      <c r="O189" s="51"/>
    </row>
    <row r="190" spans="1:15" ht="15" customHeight="1">
      <c r="L190" s="13"/>
      <c r="M190" s="13"/>
      <c r="N190" s="51"/>
      <c r="O190" s="51"/>
    </row>
    <row r="191" spans="1:15" ht="15" customHeight="1">
      <c r="L191" s="13"/>
      <c r="M191" s="13"/>
      <c r="N191" s="51"/>
      <c r="O191" s="51"/>
    </row>
    <row r="192" spans="1:15" ht="15" customHeight="1">
      <c r="L192" s="13"/>
      <c r="M192" s="13"/>
      <c r="N192" s="51"/>
      <c r="O192" s="51"/>
    </row>
    <row r="193" spans="12:15" ht="15" customHeight="1">
      <c r="L193" s="13"/>
      <c r="M193" s="13"/>
      <c r="N193" s="51"/>
      <c r="O193" s="51"/>
    </row>
    <row r="194" spans="12:15" ht="15" customHeight="1">
      <c r="L194" s="13"/>
      <c r="M194" s="13"/>
      <c r="N194" s="51"/>
      <c r="O194" s="51"/>
    </row>
    <row r="195" spans="12:15" ht="15" customHeight="1">
      <c r="L195" s="13"/>
      <c r="M195" s="13"/>
      <c r="N195" s="51"/>
      <c r="O195" s="51"/>
    </row>
    <row r="196" spans="12:15" ht="15" customHeight="1">
      <c r="L196" s="13"/>
      <c r="M196" s="13"/>
      <c r="N196" s="51"/>
      <c r="O196" s="51"/>
    </row>
    <row r="197" spans="12:15" ht="15" customHeight="1">
      <c r="L197" s="13"/>
      <c r="M197" s="13"/>
      <c r="N197" s="51"/>
      <c r="O197" s="51"/>
    </row>
    <row r="198" spans="12:15" ht="15" customHeight="1">
      <c r="L198" s="13"/>
      <c r="M198" s="13"/>
      <c r="N198" s="51"/>
      <c r="O198" s="51"/>
    </row>
    <row r="199" spans="12:15" ht="15" customHeight="1">
      <c r="L199" s="13"/>
      <c r="M199" s="13"/>
      <c r="N199" s="51"/>
      <c r="O199" s="51"/>
    </row>
    <row r="200" spans="12:15" ht="15" customHeight="1">
      <c r="L200" s="13"/>
      <c r="M200" s="13"/>
      <c r="N200" s="51"/>
      <c r="O200" s="51"/>
    </row>
    <row r="201" spans="12:15" ht="15" customHeight="1">
      <c r="L201" s="13"/>
      <c r="M201" s="13"/>
      <c r="N201" s="51"/>
      <c r="O201" s="51"/>
    </row>
    <row r="202" spans="12:15" ht="15" customHeight="1">
      <c r="L202" s="13"/>
      <c r="M202" s="13"/>
      <c r="N202" s="51"/>
      <c r="O202" s="51"/>
    </row>
    <row r="203" spans="12:15" ht="15" customHeight="1">
      <c r="L203" s="13"/>
      <c r="M203" s="13"/>
      <c r="N203" s="51"/>
      <c r="O203" s="51"/>
    </row>
    <row r="204" spans="12:15" ht="15" customHeight="1">
      <c r="L204" s="13"/>
      <c r="M204" s="13"/>
      <c r="N204" s="51"/>
      <c r="O204" s="51"/>
    </row>
    <row r="205" spans="12:15" ht="15" customHeight="1">
      <c r="L205" s="13"/>
      <c r="M205" s="13"/>
      <c r="N205" s="51"/>
      <c r="O205" s="51"/>
    </row>
    <row r="206" spans="12:15" ht="15" customHeight="1">
      <c r="L206" s="13"/>
      <c r="M206" s="13"/>
      <c r="N206" s="51"/>
      <c r="O206" s="51"/>
    </row>
    <row r="207" spans="12:15" ht="15" customHeight="1">
      <c r="L207" s="13"/>
      <c r="M207" s="13"/>
      <c r="N207" s="51"/>
      <c r="O207" s="51"/>
    </row>
    <row r="208" spans="12:15" ht="15" customHeight="1">
      <c r="L208" s="13"/>
      <c r="M208" s="13"/>
      <c r="N208" s="51"/>
      <c r="O208" s="51"/>
    </row>
    <row r="209" spans="12:15" ht="15" customHeight="1">
      <c r="L209" s="13"/>
      <c r="M209" s="13"/>
      <c r="N209" s="51"/>
      <c r="O209" s="51"/>
    </row>
    <row r="210" spans="12:15" ht="15" customHeight="1">
      <c r="L210" s="13"/>
      <c r="M210" s="13"/>
      <c r="N210" s="51"/>
      <c r="O210" s="51"/>
    </row>
    <row r="211" spans="12:15" ht="15" customHeight="1">
      <c r="L211" s="13"/>
      <c r="M211" s="13"/>
      <c r="N211" s="51"/>
      <c r="O211" s="51"/>
    </row>
    <row r="212" spans="12:15" ht="15" customHeight="1">
      <c r="L212" s="13"/>
      <c r="M212" s="13"/>
      <c r="N212" s="51"/>
      <c r="O212" s="51"/>
    </row>
    <row r="213" spans="12:15" ht="15" customHeight="1">
      <c r="L213" s="13"/>
      <c r="M213" s="13"/>
      <c r="N213" s="51"/>
      <c r="O213" s="51"/>
    </row>
    <row r="214" spans="12:15" ht="15" customHeight="1">
      <c r="L214" s="13"/>
      <c r="M214" s="13"/>
      <c r="N214" s="51"/>
      <c r="O214" s="51"/>
    </row>
    <row r="215" spans="12:15" ht="15" customHeight="1">
      <c r="L215" s="13"/>
      <c r="M215" s="13"/>
      <c r="N215" s="51"/>
      <c r="O215" s="51"/>
    </row>
    <row r="216" spans="12:15" ht="15" customHeight="1">
      <c r="L216" s="13"/>
      <c r="M216" s="13"/>
      <c r="N216" s="51"/>
      <c r="O216" s="51"/>
    </row>
    <row r="217" spans="12:15" ht="15" customHeight="1">
      <c r="L217" s="13"/>
      <c r="M217" s="13"/>
      <c r="N217" s="51"/>
      <c r="O217" s="51"/>
    </row>
    <row r="218" spans="12:15" ht="15" customHeight="1">
      <c r="L218" s="13"/>
      <c r="M218" s="13"/>
      <c r="N218" s="51"/>
      <c r="O218" s="51"/>
    </row>
    <row r="219" spans="12:15" ht="15" customHeight="1">
      <c r="L219" s="13"/>
      <c r="M219" s="13"/>
      <c r="N219" s="51"/>
      <c r="O219" s="51"/>
    </row>
    <row r="220" spans="12:15" ht="15" customHeight="1">
      <c r="L220" s="13"/>
      <c r="M220" s="13"/>
      <c r="N220" s="51"/>
      <c r="O220" s="51"/>
    </row>
    <row r="221" spans="12:15" ht="15" customHeight="1">
      <c r="L221" s="13"/>
      <c r="M221" s="13"/>
      <c r="N221" s="51"/>
      <c r="O221" s="51"/>
    </row>
    <row r="222" spans="12:15" ht="15" customHeight="1">
      <c r="L222" s="13"/>
      <c r="M222" s="13"/>
      <c r="N222" s="51"/>
      <c r="O222" s="51"/>
    </row>
    <row r="223" spans="12:15" ht="15" customHeight="1">
      <c r="L223" s="13"/>
      <c r="M223" s="13"/>
      <c r="N223" s="51"/>
      <c r="O223" s="51"/>
    </row>
    <row r="224" spans="12:15" ht="15" customHeight="1">
      <c r="L224" s="13"/>
      <c r="M224" s="13"/>
      <c r="N224" s="51"/>
      <c r="O224" s="51"/>
    </row>
    <row r="225" spans="12:15" ht="15" customHeight="1">
      <c r="L225" s="13"/>
      <c r="M225" s="13"/>
      <c r="N225" s="51"/>
      <c r="O225" s="51"/>
    </row>
    <row r="226" spans="12:15" ht="15" customHeight="1">
      <c r="L226" s="13"/>
      <c r="M226" s="13"/>
      <c r="N226" s="51"/>
      <c r="O226" s="51"/>
    </row>
    <row r="227" spans="12:15" ht="15" customHeight="1">
      <c r="L227" s="13"/>
      <c r="M227" s="13"/>
      <c r="N227" s="51"/>
      <c r="O227" s="51"/>
    </row>
    <row r="228" spans="12:15" ht="15" customHeight="1">
      <c r="L228" s="13"/>
      <c r="M228" s="13"/>
      <c r="N228" s="51"/>
      <c r="O228" s="51"/>
    </row>
    <row r="229" spans="12:15" ht="15" customHeight="1">
      <c r="L229" s="13"/>
      <c r="M229" s="13"/>
      <c r="N229" s="51"/>
      <c r="O229" s="51"/>
    </row>
    <row r="230" spans="12:15" ht="15" customHeight="1">
      <c r="L230" s="13"/>
      <c r="M230" s="13"/>
      <c r="N230" s="51"/>
      <c r="O230" s="51"/>
    </row>
    <row r="231" spans="12:15" ht="15" customHeight="1">
      <c r="L231" s="13"/>
      <c r="M231" s="13"/>
      <c r="N231" s="51"/>
      <c r="O231" s="51"/>
    </row>
    <row r="232" spans="12:15" ht="15" customHeight="1">
      <c r="L232" s="13"/>
      <c r="M232" s="13"/>
      <c r="N232" s="51"/>
      <c r="O232" s="51"/>
    </row>
    <row r="233" spans="12:15" ht="15" customHeight="1">
      <c r="L233" s="13"/>
      <c r="M233" s="13"/>
      <c r="N233" s="51"/>
      <c r="O233" s="51"/>
    </row>
    <row r="234" spans="12:15" ht="15" customHeight="1">
      <c r="L234" s="13"/>
      <c r="M234" s="13"/>
      <c r="N234" s="51"/>
      <c r="O234" s="51"/>
    </row>
    <row r="235" spans="12:15" ht="15" customHeight="1">
      <c r="L235" s="13"/>
      <c r="M235" s="13"/>
      <c r="N235" s="51"/>
      <c r="O235" s="51"/>
    </row>
    <row r="236" spans="12:15" ht="15" customHeight="1">
      <c r="L236" s="13"/>
      <c r="M236" s="13"/>
      <c r="N236" s="51"/>
      <c r="O236" s="51"/>
    </row>
    <row r="237" spans="12:15" ht="15" customHeight="1">
      <c r="L237" s="13"/>
      <c r="M237" s="13"/>
      <c r="N237" s="51"/>
      <c r="O237" s="51"/>
    </row>
    <row r="238" spans="12:15" ht="15" customHeight="1">
      <c r="L238" s="13"/>
      <c r="M238" s="13"/>
      <c r="N238" s="51"/>
      <c r="O238" s="51"/>
    </row>
    <row r="239" spans="12:15" ht="15" customHeight="1">
      <c r="L239" s="13"/>
      <c r="M239" s="13"/>
      <c r="N239" s="51"/>
      <c r="O239" s="51"/>
    </row>
    <row r="240" spans="12:15" ht="15" customHeight="1">
      <c r="L240" s="13"/>
      <c r="M240" s="13"/>
      <c r="N240" s="51"/>
      <c r="O240" s="51"/>
    </row>
    <row r="241" spans="12:15" ht="15" customHeight="1">
      <c r="L241" s="13"/>
      <c r="M241" s="13"/>
      <c r="N241" s="51"/>
      <c r="O241" s="51"/>
    </row>
    <row r="242" spans="12:15" ht="15" customHeight="1">
      <c r="L242" s="13"/>
      <c r="M242" s="13"/>
      <c r="N242" s="51"/>
      <c r="O242" s="51"/>
    </row>
    <row r="243" spans="12:15" ht="15" customHeight="1">
      <c r="L243" s="13"/>
      <c r="M243" s="13"/>
      <c r="N243" s="51"/>
      <c r="O243" s="51"/>
    </row>
    <row r="244" spans="12:15" ht="15" customHeight="1">
      <c r="L244" s="13"/>
      <c r="M244" s="13"/>
      <c r="N244" s="51"/>
      <c r="O244" s="51"/>
    </row>
    <row r="245" spans="12:15" ht="15" customHeight="1">
      <c r="L245" s="13"/>
      <c r="M245" s="13"/>
      <c r="N245" s="51"/>
      <c r="O245" s="51"/>
    </row>
    <row r="246" spans="12:15" ht="15" customHeight="1">
      <c r="L246" s="13"/>
      <c r="M246" s="13"/>
      <c r="N246" s="51"/>
      <c r="O246" s="51"/>
    </row>
    <row r="247" spans="12:15" ht="15" customHeight="1">
      <c r="L247" s="13"/>
      <c r="M247" s="13"/>
      <c r="N247" s="51"/>
      <c r="O247" s="51"/>
    </row>
    <row r="248" spans="12:15" ht="15" customHeight="1">
      <c r="L248" s="13"/>
      <c r="M248" s="13"/>
      <c r="N248" s="51"/>
      <c r="O248" s="51"/>
    </row>
    <row r="249" spans="12:15" ht="15" customHeight="1">
      <c r="L249" s="13"/>
      <c r="M249" s="13"/>
      <c r="N249" s="51"/>
      <c r="O249" s="51"/>
    </row>
    <row r="250" spans="12:15" ht="15" customHeight="1">
      <c r="L250" s="13"/>
      <c r="M250" s="13"/>
      <c r="N250" s="51"/>
      <c r="O250" s="51"/>
    </row>
    <row r="251" spans="12:15" ht="15" customHeight="1">
      <c r="L251" s="13"/>
      <c r="M251" s="13"/>
      <c r="N251" s="51"/>
      <c r="O251" s="51"/>
    </row>
    <row r="252" spans="12:15" ht="15" customHeight="1">
      <c r="L252" s="13"/>
      <c r="M252" s="13"/>
      <c r="N252" s="51"/>
      <c r="O252" s="51"/>
    </row>
    <row r="253" spans="12:15" ht="15" customHeight="1">
      <c r="L253" s="13"/>
      <c r="M253" s="13"/>
      <c r="N253" s="51"/>
      <c r="O253" s="51"/>
    </row>
    <row r="254" spans="12:15" ht="15" customHeight="1">
      <c r="L254" s="13"/>
      <c r="M254" s="13"/>
      <c r="N254" s="51"/>
      <c r="O254" s="51"/>
    </row>
    <row r="255" spans="12:15" ht="15" customHeight="1">
      <c r="L255" s="13"/>
      <c r="M255" s="13"/>
      <c r="N255" s="51"/>
      <c r="O255" s="51"/>
    </row>
    <row r="256" spans="12:15" ht="15" customHeight="1">
      <c r="L256" s="13"/>
      <c r="M256" s="13"/>
      <c r="N256" s="51"/>
      <c r="O256" s="51"/>
    </row>
    <row r="257" spans="12:15" ht="15" customHeight="1">
      <c r="L257" s="13"/>
      <c r="M257" s="13"/>
      <c r="N257" s="51"/>
      <c r="O257" s="51"/>
    </row>
    <row r="258" spans="12:15" ht="15" customHeight="1">
      <c r="L258" s="13"/>
      <c r="M258" s="13"/>
      <c r="N258" s="51"/>
      <c r="O258" s="51"/>
    </row>
    <row r="259" spans="12:15" ht="15" customHeight="1">
      <c r="L259" s="13"/>
      <c r="M259" s="13"/>
      <c r="N259" s="51"/>
      <c r="O259" s="51"/>
    </row>
    <row r="260" spans="12:15" ht="15" customHeight="1">
      <c r="L260" s="13"/>
      <c r="M260" s="13"/>
      <c r="N260" s="51"/>
      <c r="O260" s="51"/>
    </row>
    <row r="261" spans="12:15" ht="15" customHeight="1">
      <c r="L261" s="13"/>
      <c r="M261" s="13"/>
      <c r="N261" s="51"/>
      <c r="O261" s="51"/>
    </row>
    <row r="262" spans="12:15" ht="15" customHeight="1">
      <c r="L262" s="13"/>
      <c r="M262" s="13"/>
      <c r="N262" s="51"/>
      <c r="O262" s="51"/>
    </row>
    <row r="263" spans="12:15" ht="15" customHeight="1">
      <c r="L263" s="13"/>
      <c r="M263" s="13"/>
      <c r="N263" s="51"/>
      <c r="O263" s="51"/>
    </row>
    <row r="264" spans="12:15" ht="15" customHeight="1">
      <c r="L264" s="13"/>
      <c r="M264" s="13"/>
      <c r="N264" s="51"/>
      <c r="O264" s="51"/>
    </row>
    <row r="265" spans="12:15" ht="15" customHeight="1">
      <c r="L265" s="13"/>
      <c r="M265" s="13"/>
      <c r="N265" s="51"/>
      <c r="O265" s="51"/>
    </row>
    <row r="266" spans="12:15" ht="15" customHeight="1">
      <c r="L266" s="13"/>
      <c r="M266" s="13"/>
      <c r="N266" s="51"/>
      <c r="O266" s="51"/>
    </row>
    <row r="267" spans="12:15" ht="15" customHeight="1">
      <c r="L267" s="13"/>
      <c r="M267" s="13"/>
      <c r="N267" s="51"/>
      <c r="O267" s="51"/>
    </row>
    <row r="268" spans="12:15" ht="15" customHeight="1">
      <c r="L268" s="13"/>
      <c r="M268" s="13"/>
      <c r="N268" s="51"/>
      <c r="O268" s="51"/>
    </row>
    <row r="269" spans="12:15" ht="15" customHeight="1">
      <c r="L269" s="13"/>
      <c r="M269" s="13"/>
      <c r="N269" s="51"/>
      <c r="O269" s="51"/>
    </row>
    <row r="270" spans="12:15" ht="15" customHeight="1">
      <c r="L270" s="13"/>
      <c r="M270" s="13"/>
      <c r="N270" s="51"/>
      <c r="O270" s="51"/>
    </row>
    <row r="271" spans="12:15" ht="15" customHeight="1">
      <c r="L271" s="13"/>
      <c r="M271" s="13"/>
      <c r="N271" s="51"/>
      <c r="O271" s="51"/>
    </row>
    <row r="272" spans="12:15" ht="15" customHeight="1">
      <c r="L272" s="13"/>
      <c r="M272" s="13"/>
      <c r="N272" s="51"/>
      <c r="O272" s="51"/>
    </row>
    <row r="273" spans="12:15" ht="15" customHeight="1">
      <c r="L273" s="13"/>
      <c r="M273" s="13"/>
      <c r="N273" s="51"/>
      <c r="O273" s="51"/>
    </row>
    <row r="274" spans="12:15" ht="15" customHeight="1">
      <c r="L274" s="13"/>
      <c r="M274" s="13"/>
      <c r="N274" s="51"/>
      <c r="O274" s="51"/>
    </row>
    <row r="275" spans="12:15" ht="15" customHeight="1">
      <c r="L275" s="13"/>
      <c r="M275" s="13"/>
      <c r="N275" s="51"/>
      <c r="O275" s="51"/>
    </row>
    <row r="276" spans="12:15" ht="15" customHeight="1">
      <c r="N276" s="51"/>
      <c r="O276" s="51"/>
    </row>
    <row r="277" spans="12:15" ht="15" customHeight="1">
      <c r="N277" s="51"/>
      <c r="O277" s="51"/>
    </row>
    <row r="278" spans="12:15" ht="15" customHeight="1">
      <c r="N278" s="51"/>
      <c r="O278" s="51"/>
    </row>
    <row r="279" spans="12:15" ht="15" customHeight="1">
      <c r="N279" s="51"/>
      <c r="O279" s="51"/>
    </row>
    <row r="280" spans="12:15" ht="15" customHeight="1">
      <c r="N280" s="51"/>
      <c r="O280" s="51"/>
    </row>
    <row r="281" spans="12:15" ht="15" customHeight="1">
      <c r="N281" s="51"/>
      <c r="O281" s="51"/>
    </row>
    <row r="282" spans="12:15" ht="15" customHeight="1">
      <c r="N282" s="51"/>
      <c r="O282" s="51"/>
    </row>
    <row r="283" spans="12:15" ht="15" customHeight="1">
      <c r="N283" s="51"/>
      <c r="O283" s="51"/>
    </row>
    <row r="284" spans="12:15" ht="15" customHeight="1">
      <c r="N284" s="51"/>
      <c r="O284" s="51"/>
    </row>
    <row r="285" spans="12:15" ht="15" customHeight="1">
      <c r="N285" s="51"/>
      <c r="O285" s="51"/>
    </row>
    <row r="286" spans="12:15" ht="15" customHeight="1">
      <c r="N286" s="51"/>
      <c r="O286" s="51"/>
    </row>
    <row r="287" spans="12:15" ht="15" customHeight="1">
      <c r="N287" s="51"/>
      <c r="O287" s="51"/>
    </row>
    <row r="288" spans="12:15" ht="15" customHeight="1">
      <c r="N288" s="51"/>
      <c r="O288" s="51"/>
    </row>
    <row r="289" s="51" customFormat="1" ht="15" customHeight="1"/>
    <row r="290" s="51" customFormat="1" ht="15" customHeight="1"/>
    <row r="291" s="51" customFormat="1" ht="15" customHeight="1"/>
    <row r="292" s="51" customFormat="1" ht="15" customHeight="1"/>
    <row r="293" s="51" customFormat="1" ht="15" customHeight="1"/>
    <row r="294" s="51" customFormat="1" ht="15" customHeight="1"/>
    <row r="295" s="51" customFormat="1" ht="15" customHeight="1"/>
    <row r="296" s="51" customFormat="1" ht="15" customHeight="1"/>
    <row r="297" s="51" customFormat="1" ht="15" customHeight="1"/>
    <row r="298" s="51" customFormat="1" ht="15" customHeight="1"/>
    <row r="299" s="51" customFormat="1" ht="15" customHeight="1"/>
    <row r="300" s="51" customFormat="1" ht="15" customHeight="1"/>
    <row r="301" s="51" customFormat="1" ht="15" customHeight="1"/>
    <row r="302" s="51" customFormat="1" ht="15" customHeight="1"/>
    <row r="303" s="51" customFormat="1" ht="15" customHeight="1"/>
    <row r="304" s="51" customFormat="1" ht="15" customHeight="1"/>
    <row r="305" s="51" customFormat="1" ht="15" customHeight="1"/>
    <row r="306" s="51" customFormat="1" ht="15" customHeight="1"/>
    <row r="307" s="51" customFormat="1" ht="15" customHeight="1"/>
    <row r="308" s="51" customFormat="1" ht="15" customHeight="1"/>
    <row r="309" s="51" customFormat="1" ht="15" customHeight="1"/>
    <row r="310" s="51" customFormat="1" ht="15" customHeight="1"/>
    <row r="311" s="51" customFormat="1" ht="15" customHeight="1"/>
    <row r="312" s="51" customFormat="1" ht="15" customHeight="1"/>
    <row r="313" s="51" customFormat="1" ht="15" customHeight="1"/>
    <row r="314" s="51" customFormat="1" ht="15" customHeight="1"/>
    <row r="315" s="51" customFormat="1" ht="15" customHeight="1"/>
    <row r="316" s="51" customFormat="1" ht="15" customHeight="1"/>
    <row r="317" s="51" customFormat="1" ht="15" customHeight="1"/>
    <row r="318" s="51" customFormat="1" ht="15" customHeight="1"/>
    <row r="319" s="51" customFormat="1" ht="15" customHeight="1"/>
    <row r="320" s="51" customFormat="1" ht="15" customHeight="1"/>
    <row r="321" s="51" customFormat="1" ht="15" customHeight="1"/>
    <row r="322" s="51" customFormat="1" ht="15" customHeight="1"/>
    <row r="323" s="51" customFormat="1" ht="15" customHeight="1"/>
    <row r="324" s="51" customFormat="1" ht="15" customHeight="1"/>
    <row r="325" s="51" customFormat="1" ht="15" customHeight="1"/>
    <row r="326" s="51" customFormat="1" ht="15" customHeight="1"/>
    <row r="327" s="51" customFormat="1" ht="15" customHeight="1"/>
    <row r="328" s="51" customFormat="1" ht="15" customHeight="1"/>
    <row r="329" s="51" customFormat="1" ht="15" customHeight="1"/>
    <row r="330" s="51" customFormat="1" ht="15" customHeight="1"/>
    <row r="331" s="51" customFormat="1" ht="15" customHeight="1"/>
    <row r="332" s="51" customFormat="1" ht="15" customHeight="1"/>
    <row r="333" s="51" customFormat="1" ht="15" customHeight="1"/>
    <row r="334" s="51" customFormat="1" ht="15" customHeight="1"/>
    <row r="335" s="51" customFormat="1" ht="15" customHeight="1"/>
    <row r="336" s="51" customFormat="1" ht="15" customHeight="1"/>
    <row r="337" s="51" customFormat="1" ht="15" customHeight="1"/>
    <row r="338" s="51" customFormat="1" ht="15" customHeight="1"/>
    <row r="339" s="51" customFormat="1" ht="15" customHeight="1"/>
    <row r="340" s="51" customFormat="1" ht="15" customHeight="1"/>
    <row r="341" s="51" customFormat="1" ht="15" customHeight="1"/>
    <row r="342" s="51" customFormat="1" ht="15" customHeight="1"/>
    <row r="343" s="51" customFormat="1" ht="15" customHeight="1"/>
    <row r="344" s="51" customFormat="1" ht="15" customHeight="1"/>
    <row r="345" s="51" customFormat="1" ht="15" customHeight="1"/>
    <row r="346" s="51" customFormat="1" ht="15" customHeight="1"/>
    <row r="347" s="51" customFormat="1" ht="15" customHeight="1"/>
    <row r="348" s="51" customFormat="1" ht="15" customHeight="1"/>
    <row r="349" s="51" customFormat="1" ht="15" customHeight="1"/>
    <row r="350" s="51" customFormat="1" ht="15" customHeight="1"/>
    <row r="351" s="51" customFormat="1" ht="15" customHeight="1"/>
    <row r="352" s="51" customFormat="1" ht="15" customHeight="1"/>
    <row r="353" s="51" customFormat="1" ht="15" customHeight="1"/>
    <row r="354" s="51" customFormat="1" ht="15" customHeight="1"/>
    <row r="355" s="51" customFormat="1" ht="15" customHeight="1"/>
    <row r="356" s="51" customFormat="1" ht="15" customHeight="1"/>
    <row r="357" s="51" customFormat="1" ht="15" customHeight="1"/>
    <row r="358" s="51" customFormat="1" ht="15" customHeight="1"/>
    <row r="359" s="51" customFormat="1" ht="15" customHeight="1"/>
    <row r="360" s="51" customFormat="1" ht="15" customHeight="1"/>
    <row r="361" s="51" customFormat="1" ht="15" customHeight="1"/>
    <row r="362" s="51" customFormat="1" ht="15" customHeight="1"/>
    <row r="363" s="51" customFormat="1" ht="15" customHeight="1"/>
    <row r="364" s="51" customFormat="1" ht="15" customHeight="1"/>
    <row r="365" s="51" customFormat="1" ht="15" customHeight="1"/>
    <row r="366" s="51" customFormat="1" ht="15" customHeight="1"/>
    <row r="367" s="51" customFormat="1" ht="15" customHeight="1"/>
    <row r="368" s="51" customFormat="1" ht="15" customHeight="1"/>
    <row r="369" s="51" customFormat="1" ht="15" customHeight="1"/>
    <row r="370" s="51" customFormat="1" ht="15" customHeight="1"/>
    <row r="371" s="51" customFormat="1" ht="15" customHeight="1"/>
    <row r="372" s="51" customFormat="1" ht="15" customHeight="1"/>
    <row r="373" s="51" customFormat="1" ht="15" customHeight="1"/>
    <row r="374" s="51" customFormat="1" ht="15" customHeight="1"/>
    <row r="375" s="51" customFormat="1" ht="15" customHeight="1"/>
    <row r="376" s="51" customFormat="1" ht="15" customHeight="1"/>
    <row r="377" s="51" customFormat="1" ht="15" customHeight="1"/>
    <row r="378" s="51" customFormat="1" ht="15" customHeight="1"/>
    <row r="379" s="51" customFormat="1" ht="15" customHeight="1"/>
    <row r="380" s="51" customFormat="1" ht="15" customHeight="1"/>
    <row r="381" s="51" customFormat="1" ht="15" customHeight="1"/>
    <row r="382" s="51" customFormat="1" ht="15" customHeight="1"/>
    <row r="383" s="51" customFormat="1" ht="15" customHeight="1"/>
    <row r="384" s="51" customFormat="1" ht="15" customHeight="1"/>
    <row r="385" s="51" customFormat="1" ht="15" customHeight="1"/>
    <row r="386" s="51" customFormat="1" ht="15" customHeight="1"/>
    <row r="387" s="51" customFormat="1" ht="15" customHeight="1"/>
    <row r="388" s="51" customFormat="1" ht="15" customHeight="1"/>
    <row r="389" s="51" customFormat="1" ht="15" customHeight="1"/>
    <row r="390" s="51" customFormat="1" ht="15" customHeight="1"/>
    <row r="391" s="51" customFormat="1" ht="15" customHeight="1"/>
    <row r="392" s="51" customFormat="1" ht="15" customHeight="1"/>
    <row r="393" s="51" customFormat="1" ht="15" customHeight="1"/>
    <row r="394" s="51" customFormat="1" ht="15" customHeight="1"/>
    <row r="395" s="51" customFormat="1" ht="15" customHeight="1"/>
    <row r="396" s="51" customFormat="1" ht="15" customHeight="1"/>
    <row r="397" s="51" customFormat="1" ht="15" customHeight="1"/>
    <row r="398" s="51" customFormat="1" ht="15" customHeight="1"/>
    <row r="399" s="51" customFormat="1" ht="15" customHeight="1"/>
    <row r="400" s="51" customFormat="1" ht="15" customHeight="1"/>
    <row r="401" s="51" customFormat="1" ht="15" customHeight="1"/>
    <row r="402" s="51" customFormat="1" ht="15" customHeight="1"/>
    <row r="403" s="51" customFormat="1" ht="15" customHeight="1"/>
    <row r="404" s="51" customFormat="1" ht="15" customHeight="1"/>
    <row r="405" s="51" customFormat="1" ht="15" customHeight="1"/>
    <row r="406" s="51" customFormat="1" ht="15" customHeight="1"/>
    <row r="407" s="51" customFormat="1" ht="15" customHeight="1"/>
    <row r="408" s="51" customFormat="1" ht="15" customHeight="1"/>
    <row r="409" s="51" customFormat="1" ht="15" customHeight="1"/>
    <row r="410" s="51" customFormat="1" ht="15" customHeight="1"/>
    <row r="411" s="51" customFormat="1" ht="15" customHeight="1"/>
    <row r="412" s="51" customFormat="1" ht="15" customHeight="1"/>
    <row r="413" s="51" customFormat="1" ht="15" customHeight="1"/>
    <row r="414" s="51" customFormat="1" ht="15" customHeight="1"/>
    <row r="415" s="51" customFormat="1" ht="15" customHeight="1"/>
    <row r="416" s="51" customFormat="1" ht="15" customHeight="1"/>
    <row r="417" s="51" customFormat="1" ht="15" customHeight="1"/>
    <row r="418" s="51" customFormat="1" ht="15" customHeight="1"/>
    <row r="419" s="51" customFormat="1" ht="15" customHeight="1"/>
    <row r="420" s="51" customFormat="1" ht="15" customHeight="1"/>
    <row r="421" s="51" customFormat="1" ht="15" customHeight="1"/>
    <row r="422" s="51" customFormat="1" ht="15" customHeight="1"/>
    <row r="423" s="51" customFormat="1" ht="15" customHeight="1"/>
    <row r="424" s="51" customFormat="1" ht="15" customHeight="1"/>
    <row r="425" s="51" customFormat="1" ht="15" customHeight="1"/>
    <row r="426" s="51" customFormat="1" ht="15" customHeight="1"/>
    <row r="427" s="51" customFormat="1" ht="15" customHeight="1"/>
    <row r="428" s="51" customFormat="1" ht="15" customHeight="1"/>
    <row r="429" s="51" customFormat="1" ht="15" customHeight="1"/>
    <row r="430" s="51" customFormat="1" ht="15" customHeight="1"/>
    <row r="431" s="51" customFormat="1" ht="15" customHeight="1"/>
    <row r="432" s="51" customFormat="1" ht="15" customHeight="1"/>
    <row r="433" s="51" customFormat="1" ht="15" customHeight="1"/>
    <row r="434" s="51" customFormat="1" ht="15" customHeight="1"/>
    <row r="435" s="51" customFormat="1" ht="15" customHeight="1"/>
    <row r="436" s="51" customFormat="1" ht="15" customHeight="1"/>
    <row r="437" s="51" customFormat="1" ht="15" customHeight="1"/>
    <row r="438" s="51" customFormat="1" ht="15" customHeight="1"/>
    <row r="439" s="51" customFormat="1" ht="15" customHeight="1"/>
    <row r="440" s="51" customFormat="1" ht="15" customHeight="1"/>
    <row r="441" s="51" customFormat="1" ht="15" customHeight="1"/>
    <row r="442" s="51" customFormat="1" ht="15" customHeight="1"/>
    <row r="443" s="51" customFormat="1" ht="15" customHeight="1"/>
    <row r="444" s="51" customFormat="1" ht="15" customHeight="1"/>
    <row r="445" s="51" customFormat="1" ht="15" customHeight="1"/>
    <row r="446" s="51" customFormat="1" ht="15" customHeight="1"/>
    <row r="447" s="51" customFormat="1" ht="15" customHeight="1"/>
    <row r="448" s="51" customFormat="1" ht="15" customHeight="1"/>
    <row r="449" s="51" customFormat="1" ht="15" customHeight="1"/>
    <row r="450" s="51" customFormat="1" ht="15" customHeight="1"/>
    <row r="451" s="51" customFormat="1" ht="15" customHeight="1"/>
    <row r="452" s="51" customFormat="1" ht="15" customHeight="1"/>
    <row r="453" s="51" customFormat="1" ht="15" customHeight="1"/>
    <row r="454" s="51" customFormat="1" ht="15" customHeight="1"/>
    <row r="455" s="51" customFormat="1" ht="15" customHeight="1"/>
    <row r="456" s="51" customFormat="1" ht="15" customHeight="1"/>
    <row r="457" s="51" customFormat="1" ht="15" customHeight="1"/>
    <row r="458" s="51" customFormat="1" ht="15" customHeight="1"/>
    <row r="459" s="51" customFormat="1" ht="15" customHeight="1"/>
    <row r="460" s="51" customFormat="1" ht="15" customHeight="1"/>
    <row r="461" s="51" customFormat="1" ht="15" customHeight="1"/>
    <row r="462" s="51" customFormat="1" ht="15" customHeight="1"/>
    <row r="463" s="51" customFormat="1" ht="15" customHeight="1"/>
    <row r="464" s="51" customFormat="1" ht="15" customHeight="1"/>
    <row r="465" s="51" customFormat="1" ht="15" customHeight="1"/>
    <row r="466" s="51" customFormat="1" ht="15" customHeight="1"/>
    <row r="467" s="51" customFormat="1" ht="15" customHeight="1"/>
    <row r="468" s="51" customFormat="1" ht="15" customHeight="1"/>
    <row r="469" s="51" customFormat="1" ht="15" customHeight="1"/>
    <row r="470" s="51" customFormat="1" ht="15" customHeight="1"/>
    <row r="471" s="51" customFormat="1" ht="15" customHeight="1"/>
    <row r="472" s="51" customFormat="1" ht="15" customHeight="1"/>
    <row r="473" s="51" customFormat="1" ht="15" customHeight="1"/>
    <row r="474" s="51" customFormat="1" ht="15" customHeight="1"/>
    <row r="475" s="51" customFormat="1" ht="15" customHeight="1"/>
    <row r="476" s="51" customFormat="1" ht="15" customHeight="1"/>
    <row r="477" s="51" customFormat="1" ht="15" customHeight="1"/>
    <row r="478" s="51" customFormat="1" ht="15" customHeight="1"/>
    <row r="479" s="51" customFormat="1" ht="15" customHeight="1"/>
    <row r="480" s="51" customFormat="1" ht="15" customHeight="1"/>
    <row r="481" s="51" customFormat="1" ht="15" customHeight="1"/>
    <row r="482" s="51" customFormat="1" ht="15" customHeight="1"/>
    <row r="483" s="51" customFormat="1" ht="15" customHeight="1"/>
    <row r="484" s="51" customFormat="1" ht="15" customHeight="1"/>
    <row r="485" s="51" customFormat="1" ht="15" customHeight="1"/>
    <row r="486" s="51" customFormat="1" ht="15" customHeight="1"/>
    <row r="487" s="51" customFormat="1" ht="15" customHeight="1"/>
    <row r="488" s="51" customFormat="1" ht="15" customHeight="1"/>
    <row r="489" s="51" customFormat="1" ht="15" customHeight="1"/>
    <row r="490" s="51" customFormat="1" ht="15" customHeight="1"/>
    <row r="491" s="51" customFormat="1" ht="15" customHeight="1"/>
    <row r="492" s="51" customFormat="1" ht="15" customHeight="1"/>
    <row r="493" s="51" customFormat="1" ht="15" customHeight="1"/>
    <row r="494" s="51" customFormat="1" ht="15" customHeight="1"/>
    <row r="495" s="51" customFormat="1" ht="15" customHeight="1"/>
    <row r="496" s="51" customFormat="1" ht="15" customHeight="1"/>
    <row r="497" s="51" customFormat="1" ht="15" customHeight="1"/>
    <row r="498" s="51" customFormat="1" ht="15" customHeight="1"/>
    <row r="499" s="51" customFormat="1" ht="15" customHeight="1"/>
    <row r="500" s="51" customFormat="1" ht="15" customHeight="1"/>
    <row r="501" s="51" customFormat="1" ht="15" customHeight="1"/>
    <row r="502" s="51" customFormat="1" ht="15" customHeight="1"/>
    <row r="503" s="51" customFormat="1" ht="15" customHeight="1"/>
    <row r="504" s="51" customFormat="1" ht="15" customHeight="1"/>
    <row r="505" s="51" customFormat="1" ht="15" customHeight="1"/>
    <row r="506" s="51" customFormat="1" ht="15" customHeight="1"/>
    <row r="507" s="51" customFormat="1" ht="15" customHeight="1"/>
    <row r="508" s="51" customFormat="1" ht="15" customHeight="1"/>
    <row r="509" s="51" customFormat="1" ht="15" customHeight="1"/>
    <row r="510" s="51" customFormat="1" ht="15" customHeight="1"/>
    <row r="511" s="51" customFormat="1" ht="15" customHeight="1"/>
    <row r="512" s="51" customFormat="1" ht="15" customHeight="1"/>
    <row r="513" s="51" customFormat="1" ht="15" customHeight="1"/>
    <row r="514" s="51" customFormat="1" ht="15" customHeight="1"/>
    <row r="515" s="51" customFormat="1" ht="15" customHeight="1"/>
    <row r="516" s="51" customFormat="1" ht="15" customHeight="1"/>
    <row r="517" s="51" customFormat="1" ht="15" customHeight="1"/>
    <row r="518" s="51" customFormat="1" ht="15" customHeight="1"/>
    <row r="519" s="51" customFormat="1" ht="15" customHeight="1"/>
    <row r="520" s="51" customFormat="1" ht="15" customHeight="1"/>
    <row r="521" s="51" customFormat="1" ht="15" customHeight="1"/>
    <row r="522" s="51" customFormat="1" ht="15" customHeight="1"/>
    <row r="523" s="51" customFormat="1" ht="15" customHeight="1"/>
    <row r="524" s="51" customFormat="1" ht="15" customHeight="1"/>
    <row r="525" s="51" customFormat="1" ht="15" customHeight="1"/>
    <row r="526" s="51" customFormat="1" ht="15" customHeight="1"/>
    <row r="527" s="51" customFormat="1" ht="15" customHeight="1"/>
    <row r="528" s="51" customFormat="1" ht="15" customHeight="1"/>
    <row r="529" s="51" customFormat="1" ht="15" customHeight="1"/>
    <row r="530" s="51" customFormat="1" ht="15" customHeight="1"/>
    <row r="531" s="51" customFormat="1" ht="15" customHeight="1"/>
    <row r="532" s="51" customFormat="1" ht="15" customHeight="1"/>
    <row r="533" s="51" customFormat="1" ht="15" customHeight="1"/>
    <row r="534" s="51" customFormat="1" ht="15" customHeight="1"/>
    <row r="535" s="51" customFormat="1" ht="15" customHeight="1"/>
    <row r="536" s="51" customFormat="1" ht="15" customHeight="1"/>
    <row r="537" s="51" customFormat="1" ht="15" customHeight="1"/>
    <row r="538" s="51" customFormat="1" ht="15" customHeight="1"/>
    <row r="539" s="51" customFormat="1" ht="15" customHeight="1"/>
    <row r="540" s="51" customFormat="1" ht="15" customHeight="1"/>
    <row r="541" s="51" customFormat="1" ht="15" customHeight="1"/>
    <row r="542" s="51" customFormat="1" ht="15" customHeight="1"/>
    <row r="543" s="51" customFormat="1" ht="15" customHeight="1"/>
    <row r="544" s="51" customFormat="1" ht="15" customHeight="1"/>
    <row r="545" s="51" customFormat="1" ht="15" customHeight="1"/>
    <row r="546" s="51" customFormat="1" ht="15" customHeight="1"/>
    <row r="547" s="51" customFormat="1" ht="15" customHeight="1"/>
    <row r="548" s="51" customFormat="1" ht="15" customHeight="1"/>
    <row r="549" s="51" customFormat="1" ht="15" customHeight="1"/>
    <row r="550" s="51" customFormat="1" ht="15" customHeight="1"/>
    <row r="551" s="51" customFormat="1" ht="15" customHeight="1"/>
    <row r="552" s="51" customFormat="1" ht="15" customHeight="1"/>
    <row r="553" s="51" customFormat="1" ht="15" customHeight="1"/>
    <row r="554" s="51" customFormat="1" ht="15" customHeight="1"/>
    <row r="555" s="51" customFormat="1" ht="15" customHeight="1"/>
    <row r="556" s="51" customFormat="1" ht="15" customHeight="1"/>
    <row r="557" s="51" customFormat="1" ht="15" customHeight="1"/>
    <row r="558" s="51" customFormat="1" ht="15" customHeight="1"/>
    <row r="559" s="51" customFormat="1" ht="15" customHeight="1"/>
    <row r="560" s="51" customFormat="1" ht="15" customHeight="1"/>
    <row r="561" s="51" customFormat="1" ht="15" customHeight="1"/>
    <row r="562" s="51" customFormat="1" ht="15" customHeight="1"/>
    <row r="563" s="51" customFormat="1" ht="15" customHeight="1"/>
    <row r="564" s="51" customFormat="1" ht="15" customHeight="1"/>
    <row r="565" s="51" customFormat="1" ht="15" customHeight="1"/>
    <row r="566" s="51" customFormat="1" ht="15" customHeight="1"/>
    <row r="567" s="51" customFormat="1" ht="15" customHeight="1"/>
    <row r="568" s="51" customFormat="1" ht="15" customHeight="1"/>
    <row r="569" s="51" customFormat="1" ht="15" customHeight="1"/>
    <row r="570" s="51" customFormat="1" ht="15" customHeight="1"/>
    <row r="571" s="51" customFormat="1" ht="15" customHeight="1"/>
    <row r="572" s="51" customFormat="1" ht="15" customHeight="1"/>
    <row r="573" s="51" customFormat="1" ht="15" customHeight="1"/>
    <row r="574" s="51" customFormat="1" ht="15" customHeight="1"/>
    <row r="575" s="51" customFormat="1" ht="15" customHeight="1"/>
    <row r="576" s="51" customFormat="1" ht="15" customHeight="1"/>
    <row r="577" s="51" customFormat="1" ht="15" customHeight="1"/>
    <row r="578" s="51" customFormat="1" ht="15" customHeight="1"/>
    <row r="579" s="51" customFormat="1" ht="15" customHeight="1"/>
    <row r="580" s="51" customFormat="1" ht="15" customHeight="1"/>
    <row r="581" s="51" customFormat="1" ht="15" customHeight="1"/>
    <row r="582" s="51" customFormat="1" ht="15" customHeight="1"/>
    <row r="583" s="51" customFormat="1" ht="15" customHeight="1"/>
    <row r="584" s="51" customFormat="1" ht="15" customHeight="1"/>
    <row r="585" s="51" customFormat="1" ht="15" customHeight="1"/>
    <row r="586" s="51" customFormat="1" ht="15" customHeight="1"/>
    <row r="587" s="51" customFormat="1" ht="15" customHeight="1"/>
    <row r="588" s="51" customFormat="1" ht="15" customHeight="1"/>
    <row r="589" s="51" customFormat="1" ht="15" customHeight="1"/>
    <row r="590" s="51" customFormat="1" ht="15" customHeight="1"/>
    <row r="591" s="51" customFormat="1" ht="15" customHeight="1"/>
    <row r="592" s="51" customFormat="1" ht="15" customHeight="1"/>
    <row r="593" s="51" customFormat="1" ht="15" customHeight="1"/>
    <row r="594" s="51" customFormat="1" ht="15" customHeight="1"/>
    <row r="595" s="51" customFormat="1" ht="15" customHeight="1"/>
    <row r="596" s="51" customFormat="1" ht="15" customHeight="1"/>
    <row r="597" s="51" customFormat="1" ht="15" customHeight="1"/>
    <row r="598" s="51" customFormat="1" ht="15" customHeight="1"/>
    <row r="599" s="51" customFormat="1" ht="15" customHeight="1"/>
    <row r="600" s="51" customFormat="1" ht="15" customHeight="1"/>
    <row r="601" s="51" customFormat="1" ht="15" customHeight="1"/>
    <row r="602" s="51" customFormat="1" ht="15" customHeight="1"/>
    <row r="603" s="51" customFormat="1" ht="15" customHeight="1"/>
    <row r="604" s="51" customFormat="1" ht="15" customHeight="1"/>
    <row r="605" s="51" customFormat="1" ht="15" customHeight="1"/>
    <row r="606" s="51" customFormat="1" ht="15" customHeight="1"/>
    <row r="607" s="51" customFormat="1" ht="15" customHeight="1"/>
    <row r="608" s="51" customFormat="1" ht="15" customHeight="1"/>
    <row r="609" s="51" customFormat="1" ht="15" customHeight="1"/>
    <row r="610" s="51" customFormat="1" ht="15" customHeight="1"/>
    <row r="611" s="51" customFormat="1" ht="15" customHeight="1"/>
    <row r="612" s="51" customFormat="1" ht="15" customHeight="1"/>
    <row r="613" s="51" customFormat="1" ht="15" customHeight="1"/>
    <row r="614" s="51" customFormat="1" ht="15" customHeight="1"/>
    <row r="615" s="51" customFormat="1" ht="15" customHeight="1"/>
    <row r="616" s="51" customFormat="1" ht="15" customHeight="1"/>
    <row r="617" s="51" customFormat="1" ht="15" customHeight="1"/>
    <row r="618" s="51" customFormat="1" ht="15" customHeight="1"/>
    <row r="619" s="51" customFormat="1" ht="15" customHeight="1"/>
    <row r="620" s="51" customFormat="1" ht="15" customHeight="1"/>
    <row r="621" s="51" customFormat="1" ht="15" customHeight="1"/>
    <row r="622" s="51" customFormat="1" ht="15" customHeight="1"/>
    <row r="623" s="51" customFormat="1" ht="15" customHeight="1"/>
    <row r="624" s="51" customFormat="1" ht="15" customHeight="1"/>
    <row r="625" s="51" customFormat="1" ht="15" customHeight="1"/>
  </sheetData>
  <mergeCells count="11">
    <mergeCell ref="B18:B22"/>
    <mergeCell ref="B23:B24"/>
    <mergeCell ref="B25:B28"/>
    <mergeCell ref="O31:P31"/>
    <mergeCell ref="B2:L3"/>
    <mergeCell ref="O4:P4"/>
    <mergeCell ref="B5:B9"/>
    <mergeCell ref="O5:P6"/>
    <mergeCell ref="B11:B12"/>
    <mergeCell ref="B15:L16"/>
    <mergeCell ref="O16:P16"/>
  </mergeCells>
  <conditionalFormatting sqref="L18:L22">
    <cfRule type="cellIs" dxfId="29" priority="10" operator="lessThan">
      <formula>0</formula>
    </cfRule>
  </conditionalFormatting>
  <conditionalFormatting sqref="L18:L22">
    <cfRule type="cellIs" dxfId="28" priority="16" operator="greaterThan">
      <formula>0</formula>
    </cfRule>
    <cfRule type="cellIs" dxfId="27" priority="17" operator="lessThan">
      <formula>3645000</formula>
    </cfRule>
    <cfRule type="cellIs" dxfId="26" priority="18" operator="greaterThan">
      <formula>0</formula>
    </cfRule>
    <cfRule type="cellIs" dxfId="25" priority="19" operator="lessThan">
      <formula>0</formula>
    </cfRule>
  </conditionalFormatting>
  <conditionalFormatting sqref="O12">
    <cfRule type="cellIs" dxfId="24" priority="14" operator="lessThan">
      <formula>0</formula>
    </cfRule>
    <cfRule type="cellIs" dxfId="23" priority="15" operator="greaterThan">
      <formula>0</formula>
    </cfRule>
  </conditionalFormatting>
  <conditionalFormatting sqref="P28">
    <cfRule type="cellIs" dxfId="22" priority="11" operator="lessThan">
      <formula>0</formula>
    </cfRule>
    <cfRule type="cellIs" dxfId="21" priority="12" operator="greaterThan">
      <formula>0</formula>
    </cfRule>
  </conditionalFormatting>
  <conditionalFormatting sqref="L13">
    <cfRule type="cellIs" dxfId="20" priority="3" operator="lessThan">
      <formula>0</formula>
    </cfRule>
  </conditionalFormatting>
  <conditionalFormatting sqref="L13">
    <cfRule type="cellIs" dxfId="19" priority="4" operator="greaterThan">
      <formula>0</formula>
    </cfRule>
    <cfRule type="cellIs" dxfId="18" priority="5" operator="lessThan">
      <formula>3645000</formula>
    </cfRule>
    <cfRule type="cellIs" dxfId="17" priority="6" operator="greaterThan">
      <formula>0</formula>
    </cfRule>
    <cfRule type="cellIs" dxfId="16" priority="7" operator="lessThan">
      <formula>0</formula>
    </cfRule>
  </conditionalFormatting>
  <pageMargins left="0.7" right="0.7" top="0.75" bottom="0.75" header="0" footer="0"/>
  <pageSetup orientation="landscape" r:id="rId1"/>
  <ignoredErrors>
    <ignoredError sqref="E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623"/>
  <sheetViews>
    <sheetView showGridLines="0" tabSelected="1" topLeftCell="A2" zoomScaleNormal="100" workbookViewId="0">
      <selection activeCell="G6" sqref="G6"/>
    </sheetView>
  </sheetViews>
  <sheetFormatPr baseColWidth="10" defaultColWidth="12.59765625" defaultRowHeight="15" customHeight="1"/>
  <cols>
    <col min="1" max="1" width="4.296875" style="51" customWidth="1"/>
    <col min="2" max="2" width="10.09765625" style="51" hidden="1" customWidth="1"/>
    <col min="3" max="3" width="6.296875" style="53" customWidth="1"/>
    <col min="4" max="4" width="26" style="13" customWidth="1"/>
    <col min="5" max="5" width="23.59765625" style="51" customWidth="1"/>
    <col min="6" max="6" width="13.69921875" style="51" bestFit="1" customWidth="1"/>
    <col min="7" max="7" width="24" style="242" customWidth="1"/>
    <col min="8" max="10" width="16.59765625" style="51" customWidth="1"/>
    <col min="11" max="11" width="16.3984375" style="51" customWidth="1"/>
    <col min="12" max="12" width="15.59765625" style="241" customWidth="1"/>
    <col min="13" max="13" width="17" style="51" customWidth="1"/>
    <col min="14" max="19" width="12.3984375" style="51" customWidth="1"/>
    <col min="20" max="16384" width="12.59765625" style="51"/>
  </cols>
  <sheetData>
    <row r="3" spans="1:13" ht="15" customHeight="1" thickBot="1"/>
    <row r="4" spans="1:13" ht="23.4" customHeight="1" thickBot="1">
      <c r="A4" s="54"/>
      <c r="B4" s="78" t="s">
        <v>38</v>
      </c>
      <c r="C4" s="9"/>
      <c r="D4" s="382" t="s">
        <v>84</v>
      </c>
      <c r="E4" s="383"/>
    </row>
    <row r="5" spans="1:13" ht="15" customHeight="1">
      <c r="A5" s="54"/>
      <c r="B5" s="70" t="e">
        <f>(#REF!+#REF!)/#REF!</f>
        <v>#REF!</v>
      </c>
      <c r="C5" s="7"/>
      <c r="D5" s="371">
        <f>'BALANCE PPTO'!E17</f>
        <v>46072</v>
      </c>
      <c r="E5" s="372"/>
    </row>
    <row r="6" spans="1:13" ht="15" customHeight="1" thickBot="1">
      <c r="A6" s="54"/>
      <c r="B6" s="70" t="e">
        <f>(#REF!+#REF!)/#REF!</f>
        <v>#REF!</v>
      </c>
      <c r="C6" s="7"/>
      <c r="D6" s="373"/>
      <c r="E6" s="374"/>
    </row>
    <row r="7" spans="1:13" ht="15" customHeight="1" thickBot="1">
      <c r="A7" s="54"/>
      <c r="B7" s="70"/>
      <c r="C7" s="7"/>
      <c r="D7" s="55"/>
      <c r="E7" s="55"/>
      <c r="I7" s="51" t="s">
        <v>170</v>
      </c>
    </row>
    <row r="8" spans="1:13" ht="16.8" customHeight="1" thickBot="1">
      <c r="A8" s="56"/>
      <c r="B8" s="70" t="e">
        <f>(#REF!+#REF!)/#REF!</f>
        <v>#REF!</v>
      </c>
      <c r="C8" s="7"/>
      <c r="D8" s="165" t="s">
        <v>113</v>
      </c>
      <c r="E8" s="165" t="s">
        <v>114</v>
      </c>
      <c r="F8" s="116"/>
    </row>
    <row r="9" spans="1:13" ht="15" customHeight="1" thickBot="1">
      <c r="A9" s="54"/>
      <c r="B9" s="71" t="e">
        <f>(#REF!+#REF!)/#REF!</f>
        <v>#REF!</v>
      </c>
      <c r="C9" s="161"/>
      <c r="D9" s="50">
        <f>'BALANCE PPTO'!E30</f>
        <v>0.66666666666666663</v>
      </c>
      <c r="E9" s="50">
        <f>E31</f>
        <v>0.58980192307692303</v>
      </c>
      <c r="I9" s="13"/>
      <c r="J9" s="13"/>
    </row>
    <row r="10" spans="1:13" ht="16.2" customHeight="1" thickBot="1">
      <c r="A10" s="54"/>
      <c r="B10" s="70" t="e">
        <f>(#REF!+#REF!)/#REF!</f>
        <v>#REF!</v>
      </c>
      <c r="C10" s="7"/>
      <c r="D10" s="165" t="str">
        <f>D32</f>
        <v>% DIFERENCIA</v>
      </c>
      <c r="E10" s="165" t="s">
        <v>115</v>
      </c>
    </row>
    <row r="11" spans="1:13" ht="15" customHeight="1" thickBot="1">
      <c r="A11" s="54"/>
      <c r="B11" s="70" t="e">
        <f>(#REF!+#REF!)/#REF!</f>
        <v>#REF!</v>
      </c>
      <c r="C11" s="161"/>
      <c r="D11" s="120">
        <f>E32</f>
        <v>-7.68647435897436E-2</v>
      </c>
      <c r="E11" s="50">
        <f>100%-E9</f>
        <v>0.41019807692307697</v>
      </c>
    </row>
    <row r="12" spans="1:13" ht="15" customHeight="1">
      <c r="A12" s="54"/>
      <c r="B12" s="70" t="e">
        <f>(#REF!+#REF!)/#REF!</f>
        <v>#REF!</v>
      </c>
      <c r="C12" s="161"/>
      <c r="D12" s="51"/>
    </row>
    <row r="13" spans="1:13" ht="15" customHeight="1" thickBot="1">
      <c r="A13" s="54"/>
      <c r="B13" s="106"/>
      <c r="C13" s="161"/>
      <c r="D13" s="7"/>
    </row>
    <row r="14" spans="1:13" ht="30" customHeight="1" thickBot="1">
      <c r="A14" s="54"/>
      <c r="B14" s="69" t="e">
        <f>(#REF!+#REF!)/#REF!</f>
        <v>#REF!</v>
      </c>
      <c r="C14" s="161"/>
      <c r="D14" s="382" t="s">
        <v>194</v>
      </c>
      <c r="E14" s="383"/>
      <c r="F14" s="116"/>
    </row>
    <row r="15" spans="1:13" ht="15.6" customHeight="1">
      <c r="A15" s="54"/>
      <c r="D15" s="180" t="s">
        <v>48</v>
      </c>
      <c r="E15" s="66">
        <v>24</v>
      </c>
      <c r="F15" s="116"/>
      <c r="G15" s="253" t="s">
        <v>180</v>
      </c>
      <c r="H15" s="254" t="s">
        <v>178</v>
      </c>
      <c r="I15" s="255" t="s">
        <v>181</v>
      </c>
      <c r="J15" s="255" t="s">
        <v>189</v>
      </c>
      <c r="L15" s="384" t="s">
        <v>188</v>
      </c>
      <c r="M15" s="384"/>
    </row>
    <row r="16" spans="1:13" ht="15.6" customHeight="1">
      <c r="A16" s="54"/>
      <c r="D16" s="181" t="s">
        <v>49</v>
      </c>
      <c r="E16" s="73">
        <f>'TABLERO Y AGENDA'!P3</f>
        <v>16</v>
      </c>
      <c r="G16" s="247" t="s">
        <v>182</v>
      </c>
      <c r="H16" s="250">
        <f>'PPTO TP C.E'!E10</f>
        <v>250258000</v>
      </c>
      <c r="I16" s="250">
        <f>'PPTO TP C.E'!F10</f>
        <v>400000000</v>
      </c>
      <c r="J16" s="250">
        <f>H16-I16</f>
        <v>-149742000</v>
      </c>
      <c r="L16" s="256" t="s">
        <v>184</v>
      </c>
      <c r="M16" s="244">
        <f>I20</f>
        <v>580000000</v>
      </c>
    </row>
    <row r="17" spans="1:13" ht="15.6" customHeight="1">
      <c r="A17" s="54"/>
      <c r="D17" s="182" t="s">
        <v>42</v>
      </c>
      <c r="E17" s="16">
        <f>'TABLERO Y AGENDA'!N3</f>
        <v>46072</v>
      </c>
      <c r="G17" s="247" t="s">
        <v>183</v>
      </c>
      <c r="H17" s="250">
        <f>'PPTO TP C.E'!E13</f>
        <v>37532000</v>
      </c>
      <c r="I17" s="250">
        <v>80000000</v>
      </c>
      <c r="J17" s="250">
        <f t="shared" ref="J17:J19" si="0">H17-I17</f>
        <v>-42468000</v>
      </c>
      <c r="L17" s="256" t="s">
        <v>185</v>
      </c>
      <c r="M17" s="244">
        <f>H20</f>
        <v>354101171</v>
      </c>
    </row>
    <row r="18" spans="1:13" ht="15.6" customHeight="1">
      <c r="A18" s="54"/>
      <c r="D18" s="193" t="s">
        <v>143</v>
      </c>
      <c r="E18" s="17">
        <v>520000000</v>
      </c>
      <c r="G18" s="329" t="s">
        <v>176</v>
      </c>
      <c r="H18" s="330">
        <f>'PPTO TP LOUNGE'!E22</f>
        <v>18907000</v>
      </c>
      <c r="I18" s="330">
        <v>40000000</v>
      </c>
      <c r="J18" s="330">
        <f t="shared" si="0"/>
        <v>-21093000</v>
      </c>
      <c r="L18" s="257" t="s">
        <v>186</v>
      </c>
      <c r="M18" s="251">
        <f>E21</f>
        <v>105032500</v>
      </c>
    </row>
    <row r="19" spans="1:13" ht="15.6" customHeight="1">
      <c r="A19" s="54"/>
      <c r="D19" s="295" t="s">
        <v>195</v>
      </c>
      <c r="E19" s="63">
        <f>E33*E16</f>
        <v>346666666.66666669</v>
      </c>
      <c r="G19" s="246" t="s">
        <v>177</v>
      </c>
      <c r="H19" s="245">
        <f>PRODUCTOS!C11</f>
        <v>47404171</v>
      </c>
      <c r="I19" s="245">
        <v>60000000</v>
      </c>
      <c r="J19" s="245">
        <f t="shared" si="0"/>
        <v>-12595829</v>
      </c>
      <c r="L19" s="258" t="s">
        <v>187</v>
      </c>
      <c r="M19" s="252">
        <f>M18+M17-M16</f>
        <v>-120866329</v>
      </c>
    </row>
    <row r="20" spans="1:13" ht="15.6" customHeight="1">
      <c r="A20" s="54"/>
      <c r="D20" s="295" t="s">
        <v>193</v>
      </c>
      <c r="E20" s="52">
        <f>'REPORTE X DÍAS'!K16</f>
        <v>306697000</v>
      </c>
      <c r="G20" s="248" t="s">
        <v>179</v>
      </c>
      <c r="H20" s="249">
        <f>SUM(H16:H19)</f>
        <v>354101171</v>
      </c>
      <c r="I20" s="249">
        <f>SUM(I16:I19)</f>
        <v>580000000</v>
      </c>
      <c r="J20" s="249"/>
    </row>
    <row r="21" spans="1:13" ht="15.6" customHeight="1">
      <c r="A21" s="54"/>
      <c r="D21" s="295" t="s">
        <v>196</v>
      </c>
      <c r="E21" s="17">
        <f>SUM(INFO.PROYECCIÓN!L:L)</f>
        <v>105032500</v>
      </c>
      <c r="H21" s="244">
        <f>H20*3</f>
        <v>1062303513</v>
      </c>
    </row>
    <row r="22" spans="1:13" ht="15.6" customHeight="1">
      <c r="A22" s="54"/>
      <c r="D22" s="183" t="s">
        <v>90</v>
      </c>
      <c r="E22" s="17">
        <f>E18-E21-E20</f>
        <v>108270500</v>
      </c>
    </row>
    <row r="23" spans="1:13" ht="15.6" customHeight="1">
      <c r="A23" s="54"/>
      <c r="D23" s="182" t="s">
        <v>53</v>
      </c>
      <c r="E23" s="52">
        <f>E20+E21</f>
        <v>411729500</v>
      </c>
      <c r="G23" s="242">
        <f>+H20/21</f>
        <v>16861960.523809522</v>
      </c>
    </row>
    <row r="24" spans="1:13" ht="15.6" customHeight="1">
      <c r="A24" s="54"/>
      <c r="D24" s="182" t="s">
        <v>44</v>
      </c>
      <c r="E24" s="136">
        <f>E23/E18</f>
        <v>0.79178749999999998</v>
      </c>
    </row>
    <row r="25" spans="1:13" ht="15.6" hidden="1" customHeight="1">
      <c r="A25" s="54"/>
      <c r="C25" s="51"/>
      <c r="D25" s="137"/>
      <c r="E25" s="138"/>
    </row>
    <row r="26" spans="1:13" s="53" customFormat="1" ht="15.6" customHeight="1" thickBot="1">
      <c r="A26" s="57"/>
      <c r="B26" s="109"/>
      <c r="C26" s="109"/>
      <c r="D26" s="184" t="str">
        <f>D10</f>
        <v>% DIFERENCIA</v>
      </c>
      <c r="E26" s="139">
        <f>D11</f>
        <v>-7.68647435897436E-2</v>
      </c>
      <c r="F26" s="109"/>
      <c r="L26" s="259"/>
    </row>
    <row r="27" spans="1:13" ht="15" customHeight="1">
      <c r="A27" s="54"/>
      <c r="B27" s="110"/>
      <c r="C27" s="110"/>
      <c r="D27" s="110"/>
      <c r="E27" s="110"/>
      <c r="F27" s="110"/>
      <c r="G27" s="243"/>
      <c r="H27" s="110"/>
    </row>
    <row r="28" spans="1:13" ht="15" customHeight="1">
      <c r="A28" s="54"/>
      <c r="B28" s="110"/>
      <c r="C28" s="110"/>
      <c r="D28" s="111"/>
      <c r="E28" s="110"/>
      <c r="F28" s="110"/>
      <c r="G28" s="243"/>
      <c r="H28" s="110"/>
    </row>
    <row r="29" spans="1:13" ht="15" customHeight="1">
      <c r="A29" s="54"/>
      <c r="B29" s="110"/>
      <c r="C29" s="110"/>
      <c r="D29" s="365" t="s">
        <v>98</v>
      </c>
      <c r="E29" s="365"/>
      <c r="F29" s="110"/>
      <c r="G29" s="243"/>
      <c r="H29" s="110"/>
    </row>
    <row r="30" spans="1:13" ht="15" customHeight="1">
      <c r="A30" s="54"/>
      <c r="B30" s="110"/>
      <c r="C30" s="110"/>
      <c r="D30" s="109" t="s">
        <v>72</v>
      </c>
      <c r="E30" s="112">
        <f>E16/E15</f>
        <v>0.66666666666666663</v>
      </c>
      <c r="F30" s="110"/>
      <c r="G30" s="243"/>
      <c r="H30" s="110"/>
    </row>
    <row r="31" spans="1:13" ht="15" customHeight="1">
      <c r="A31" s="54"/>
      <c r="B31" s="110"/>
      <c r="C31" s="110"/>
      <c r="D31" s="109" t="s">
        <v>86</v>
      </c>
      <c r="E31" s="112">
        <f>E20/E18</f>
        <v>0.58980192307692303</v>
      </c>
      <c r="F31" s="110"/>
      <c r="G31" s="243"/>
      <c r="H31" s="110"/>
    </row>
    <row r="32" spans="1:13" ht="15" customHeight="1">
      <c r="A32" s="54"/>
      <c r="B32" s="110"/>
      <c r="C32" s="110"/>
      <c r="D32" s="109" t="s">
        <v>94</v>
      </c>
      <c r="E32" s="112">
        <f>E31-E30</f>
        <v>-7.68647435897436E-2</v>
      </c>
      <c r="F32" s="110"/>
      <c r="G32" s="243"/>
      <c r="H32" s="110"/>
    </row>
    <row r="33" spans="1:8" ht="15" customHeight="1">
      <c r="A33" s="54"/>
      <c r="B33" s="110"/>
      <c r="C33" s="110"/>
      <c r="D33" s="109" t="s">
        <v>45</v>
      </c>
      <c r="E33" s="113">
        <f>E18/E15</f>
        <v>21666666.666666668</v>
      </c>
      <c r="F33" s="114">
        <f>E33*22</f>
        <v>476666666.66666669</v>
      </c>
      <c r="G33" s="243"/>
      <c r="H33" s="110"/>
    </row>
    <row r="34" spans="1:8" ht="15" customHeight="1">
      <c r="A34" s="54"/>
      <c r="B34" s="110"/>
      <c r="C34" s="110"/>
      <c r="D34" s="110" t="s">
        <v>93</v>
      </c>
      <c r="E34" s="114" t="e">
        <f>E20-(#REF!+#REF!+#REF!+#REF!+#REF!+#REF!+#REF!+#REF!)</f>
        <v>#REF!</v>
      </c>
      <c r="F34" s="110"/>
      <c r="G34" s="243"/>
      <c r="H34" s="110"/>
    </row>
    <row r="35" spans="1:8" ht="15" customHeight="1">
      <c r="A35" s="54"/>
      <c r="B35" s="110"/>
      <c r="C35" s="110"/>
      <c r="D35" s="110" t="s">
        <v>90</v>
      </c>
      <c r="E35" s="114">
        <f>'REPORTE X DÍAS'!K20</f>
        <v>108270500</v>
      </c>
      <c r="F35" s="110"/>
      <c r="G35" s="243"/>
      <c r="H35" s="110"/>
    </row>
    <row r="36" spans="1:8" ht="15" customHeight="1">
      <c r="A36" s="54"/>
      <c r="B36" s="110"/>
      <c r="C36" s="109"/>
      <c r="D36" s="109" t="s">
        <v>105</v>
      </c>
      <c r="E36" s="109">
        <f>'REPORTE X DÍAS'!K18</f>
        <v>0</v>
      </c>
      <c r="F36" s="110"/>
      <c r="G36" s="243"/>
    </row>
    <row r="37" spans="1:8" ht="15" customHeight="1">
      <c r="A37" s="54"/>
      <c r="B37" s="110"/>
      <c r="C37" s="110"/>
      <c r="D37" s="109" t="s">
        <v>104</v>
      </c>
      <c r="E37" s="109">
        <f>'REPORTE X DÍAS'!K19</f>
        <v>6687000</v>
      </c>
      <c r="F37" s="110"/>
      <c r="G37" s="243"/>
    </row>
    <row r="38" spans="1:8" ht="15" customHeight="1">
      <c r="A38" s="54"/>
      <c r="B38" s="110"/>
      <c r="C38" s="110"/>
      <c r="D38" s="110"/>
      <c r="E38" s="110"/>
      <c r="F38" s="110"/>
      <c r="G38" s="243"/>
    </row>
    <row r="39" spans="1:8" ht="15" customHeight="1">
      <c r="A39" s="54"/>
      <c r="B39" s="110"/>
      <c r="C39" s="110"/>
      <c r="D39" s="110"/>
      <c r="E39" s="110"/>
      <c r="F39" s="110"/>
      <c r="G39" s="243"/>
    </row>
    <row r="40" spans="1:8" ht="15" customHeight="1">
      <c r="A40" s="54"/>
      <c r="B40" s="110"/>
      <c r="C40" s="110"/>
      <c r="D40" s="110"/>
      <c r="E40" s="110"/>
      <c r="F40" s="110"/>
      <c r="G40" s="243"/>
    </row>
    <row r="41" spans="1:8" ht="15" customHeight="1">
      <c r="A41" s="54"/>
      <c r="B41" s="110"/>
      <c r="C41" s="110"/>
      <c r="D41" s="110"/>
      <c r="E41" s="110"/>
      <c r="F41" s="110"/>
      <c r="G41" s="243"/>
    </row>
    <row r="42" spans="1:8" ht="30.6" customHeight="1">
      <c r="A42" s="54"/>
      <c r="B42" s="110"/>
      <c r="C42" s="110"/>
      <c r="D42" s="240" t="s">
        <v>174</v>
      </c>
      <c r="E42" s="240" t="s">
        <v>175</v>
      </c>
      <c r="F42" s="110"/>
      <c r="G42" s="243"/>
    </row>
    <row r="43" spans="1:8" ht="39.6" customHeight="1">
      <c r="A43" s="54"/>
      <c r="B43" s="13"/>
      <c r="C43" s="51"/>
      <c r="D43" s="238" t="s">
        <v>172</v>
      </c>
      <c r="E43" s="239">
        <v>420000000</v>
      </c>
    </row>
    <row r="44" spans="1:8" ht="39.6" customHeight="1">
      <c r="A44" s="54"/>
      <c r="B44" s="13"/>
      <c r="C44" s="51"/>
      <c r="D44" s="238" t="s">
        <v>173</v>
      </c>
      <c r="E44" s="239">
        <v>40000000</v>
      </c>
    </row>
    <row r="45" spans="1:8" ht="39.6" customHeight="1">
      <c r="A45" s="54"/>
      <c r="B45" s="13"/>
      <c r="C45" s="51"/>
      <c r="D45" s="238" t="s">
        <v>171</v>
      </c>
      <c r="E45" s="239">
        <v>55000000</v>
      </c>
    </row>
    <row r="46" spans="1:8" ht="15" customHeight="1">
      <c r="A46" s="54"/>
      <c r="B46" s="13"/>
      <c r="C46" s="51"/>
      <c r="D46" s="51"/>
    </row>
    <row r="47" spans="1:8" ht="15" customHeight="1">
      <c r="A47" s="54"/>
      <c r="B47" s="13"/>
      <c r="C47" s="51"/>
      <c r="D47" s="51"/>
    </row>
    <row r="48" spans="1:8" ht="15" customHeight="1">
      <c r="A48" s="54"/>
      <c r="B48" s="13"/>
      <c r="C48" s="51"/>
      <c r="D48" s="51"/>
    </row>
    <row r="49" spans="1:4" ht="15" customHeight="1">
      <c r="A49" s="54"/>
      <c r="B49" s="13"/>
      <c r="C49" s="51"/>
      <c r="D49" s="51"/>
    </row>
    <row r="50" spans="1:4" ht="15" customHeight="1">
      <c r="A50" s="54"/>
      <c r="B50" s="13"/>
      <c r="C50" s="51"/>
      <c r="D50" s="51"/>
    </row>
    <row r="51" spans="1:4" ht="15" customHeight="1">
      <c r="A51" s="54"/>
      <c r="B51" s="13"/>
      <c r="C51" s="51"/>
      <c r="D51" s="51"/>
    </row>
    <row r="52" spans="1:4" ht="15" customHeight="1">
      <c r="A52" s="54"/>
      <c r="B52" s="13"/>
      <c r="C52" s="51"/>
      <c r="D52" s="51"/>
    </row>
    <row r="53" spans="1:4" ht="15" customHeight="1">
      <c r="A53" s="54"/>
      <c r="B53" s="13"/>
      <c r="C53" s="51"/>
      <c r="D53" s="51"/>
    </row>
    <row r="54" spans="1:4" ht="15" customHeight="1">
      <c r="A54" s="54"/>
      <c r="B54" s="13"/>
      <c r="C54" s="51"/>
      <c r="D54" s="51"/>
    </row>
    <row r="55" spans="1:4" ht="15" customHeight="1">
      <c r="A55" s="54"/>
      <c r="B55" s="13"/>
      <c r="C55" s="51"/>
      <c r="D55" s="51"/>
    </row>
    <row r="56" spans="1:4" ht="15" customHeight="1">
      <c r="A56" s="54"/>
      <c r="B56" s="13"/>
      <c r="C56" s="51"/>
      <c r="D56" s="51"/>
    </row>
    <row r="57" spans="1:4" ht="15" customHeight="1">
      <c r="A57" s="54"/>
      <c r="B57" s="13"/>
      <c r="C57" s="51"/>
      <c r="D57" s="51"/>
    </row>
    <row r="58" spans="1:4" ht="15" customHeight="1">
      <c r="A58" s="54"/>
      <c r="B58" s="13"/>
      <c r="C58" s="51"/>
      <c r="D58" s="51"/>
    </row>
    <row r="59" spans="1:4" ht="15" customHeight="1">
      <c r="A59" s="54"/>
      <c r="B59" s="13"/>
      <c r="C59" s="51"/>
      <c r="D59" s="51"/>
    </row>
    <row r="60" spans="1:4" ht="15" customHeight="1">
      <c r="A60" s="54"/>
      <c r="B60" s="13"/>
      <c r="C60" s="51"/>
      <c r="D60" s="51"/>
    </row>
    <row r="61" spans="1:4" ht="15" customHeight="1">
      <c r="A61" s="54"/>
      <c r="B61" s="13"/>
      <c r="C61" s="51"/>
      <c r="D61" s="51"/>
    </row>
    <row r="62" spans="1:4" ht="15" customHeight="1">
      <c r="A62" s="54"/>
      <c r="B62" s="13"/>
      <c r="C62" s="51"/>
      <c r="D62" s="51"/>
    </row>
    <row r="63" spans="1:4" ht="15" customHeight="1">
      <c r="A63" s="54"/>
      <c r="B63" s="13"/>
      <c r="C63" s="51"/>
      <c r="D63" s="51"/>
    </row>
    <row r="64" spans="1:4" ht="15" customHeight="1">
      <c r="A64" s="54"/>
      <c r="B64" s="13"/>
      <c r="C64" s="51"/>
      <c r="D64" s="51"/>
    </row>
    <row r="65" spans="1:4" ht="15" customHeight="1">
      <c r="A65" s="54"/>
      <c r="B65" s="13"/>
      <c r="C65" s="51"/>
      <c r="D65" s="51"/>
    </row>
    <row r="66" spans="1:4" ht="15" customHeight="1">
      <c r="A66" s="54"/>
      <c r="B66" s="13"/>
      <c r="C66" s="51"/>
      <c r="D66" s="51"/>
    </row>
    <row r="67" spans="1:4" ht="15" customHeight="1">
      <c r="A67" s="54"/>
      <c r="B67" s="13"/>
      <c r="C67" s="51"/>
      <c r="D67" s="51"/>
    </row>
    <row r="68" spans="1:4" ht="15" customHeight="1">
      <c r="A68" s="54"/>
      <c r="B68" s="13"/>
      <c r="C68" s="51"/>
      <c r="D68" s="51"/>
    </row>
    <row r="69" spans="1:4" ht="15" customHeight="1">
      <c r="A69" s="54"/>
      <c r="B69" s="13"/>
      <c r="C69" s="51"/>
      <c r="D69" s="51"/>
    </row>
    <row r="70" spans="1:4" ht="15" customHeight="1">
      <c r="A70" s="54"/>
      <c r="B70" s="13"/>
      <c r="C70" s="51"/>
      <c r="D70" s="51"/>
    </row>
    <row r="71" spans="1:4" ht="15" customHeight="1">
      <c r="A71" s="54"/>
      <c r="B71" s="13"/>
      <c r="C71" s="51"/>
      <c r="D71" s="51"/>
    </row>
    <row r="72" spans="1:4" ht="15" customHeight="1">
      <c r="A72" s="54"/>
      <c r="B72" s="13"/>
      <c r="C72" s="51"/>
      <c r="D72" s="51"/>
    </row>
    <row r="73" spans="1:4" ht="15" customHeight="1">
      <c r="A73" s="54"/>
      <c r="B73" s="13"/>
      <c r="C73" s="51"/>
      <c r="D73" s="51"/>
    </row>
    <row r="74" spans="1:4" ht="15" customHeight="1">
      <c r="A74" s="54"/>
      <c r="B74" s="13"/>
      <c r="C74" s="51"/>
      <c r="D74" s="51"/>
    </row>
    <row r="75" spans="1:4" ht="15" customHeight="1">
      <c r="A75" s="54"/>
      <c r="B75" s="13"/>
      <c r="C75" s="51"/>
      <c r="D75" s="51"/>
    </row>
    <row r="76" spans="1:4" ht="15" customHeight="1">
      <c r="A76" s="54"/>
      <c r="B76" s="13"/>
      <c r="C76" s="51"/>
      <c r="D76" s="51"/>
    </row>
    <row r="77" spans="1:4" ht="15" customHeight="1">
      <c r="A77" s="54"/>
      <c r="B77" s="13"/>
      <c r="C77" s="51"/>
      <c r="D77" s="51"/>
    </row>
    <row r="78" spans="1:4" ht="15" customHeight="1">
      <c r="A78" s="54"/>
      <c r="B78" s="13"/>
      <c r="C78" s="51"/>
      <c r="D78" s="51"/>
    </row>
    <row r="79" spans="1:4" ht="15" customHeight="1">
      <c r="A79" s="54"/>
      <c r="B79" s="13"/>
      <c r="C79" s="51"/>
      <c r="D79" s="51"/>
    </row>
    <row r="80" spans="1:4" ht="15" customHeight="1">
      <c r="A80" s="54"/>
      <c r="B80" s="13"/>
      <c r="C80" s="51"/>
      <c r="D80" s="51"/>
    </row>
    <row r="81" spans="1:4" ht="15" customHeight="1">
      <c r="A81" s="54"/>
      <c r="B81" s="13"/>
      <c r="C81" s="51"/>
      <c r="D81" s="51"/>
    </row>
    <row r="82" spans="1:4" ht="15" customHeight="1">
      <c r="A82" s="54"/>
      <c r="B82" s="13"/>
      <c r="C82" s="51"/>
      <c r="D82" s="51"/>
    </row>
    <row r="83" spans="1:4" ht="15" customHeight="1">
      <c r="A83" s="54"/>
      <c r="B83" s="13"/>
      <c r="C83" s="51"/>
      <c r="D83" s="51"/>
    </row>
    <row r="84" spans="1:4" ht="15" customHeight="1">
      <c r="A84" s="54"/>
      <c r="B84" s="13"/>
      <c r="C84" s="51"/>
      <c r="D84" s="51"/>
    </row>
    <row r="85" spans="1:4" ht="15" customHeight="1">
      <c r="A85" s="54"/>
      <c r="B85" s="13"/>
      <c r="C85" s="51"/>
      <c r="D85" s="51"/>
    </row>
    <row r="86" spans="1:4" ht="15" customHeight="1">
      <c r="A86" s="54"/>
      <c r="B86" s="13"/>
      <c r="C86" s="51"/>
      <c r="D86" s="51"/>
    </row>
    <row r="87" spans="1:4" ht="15" customHeight="1">
      <c r="A87" s="54"/>
      <c r="B87" s="13"/>
      <c r="C87" s="51"/>
      <c r="D87" s="51"/>
    </row>
    <row r="88" spans="1:4" ht="15" customHeight="1">
      <c r="A88" s="54"/>
      <c r="B88" s="13"/>
      <c r="C88" s="51"/>
      <c r="D88" s="51"/>
    </row>
    <row r="89" spans="1:4" ht="15" customHeight="1">
      <c r="A89" s="54"/>
      <c r="B89" s="13"/>
      <c r="C89" s="51"/>
      <c r="D89" s="51"/>
    </row>
    <row r="90" spans="1:4" ht="15" customHeight="1">
      <c r="A90" s="54"/>
      <c r="B90" s="13"/>
      <c r="C90" s="51"/>
      <c r="D90" s="51"/>
    </row>
    <row r="91" spans="1:4" ht="15" customHeight="1">
      <c r="A91" s="54"/>
      <c r="B91" s="13"/>
      <c r="C91" s="51"/>
      <c r="D91" s="51"/>
    </row>
    <row r="92" spans="1:4" ht="15" customHeight="1">
      <c r="A92" s="54"/>
      <c r="B92" s="13"/>
      <c r="C92" s="51"/>
      <c r="D92" s="51"/>
    </row>
    <row r="93" spans="1:4" ht="15" customHeight="1">
      <c r="A93" s="54"/>
      <c r="B93" s="13"/>
      <c r="C93" s="51"/>
      <c r="D93" s="51"/>
    </row>
    <row r="94" spans="1:4" ht="15" customHeight="1">
      <c r="A94" s="54"/>
      <c r="B94" s="13"/>
      <c r="C94" s="51"/>
      <c r="D94" s="51"/>
    </row>
    <row r="95" spans="1:4" ht="15" customHeight="1">
      <c r="A95" s="54"/>
      <c r="B95" s="13"/>
      <c r="C95" s="51"/>
      <c r="D95" s="51"/>
    </row>
    <row r="96" spans="1:4" ht="15" customHeight="1">
      <c r="A96" s="54"/>
      <c r="B96" s="13"/>
      <c r="C96" s="51"/>
      <c r="D96" s="51"/>
    </row>
    <row r="97" spans="1:4" ht="15" customHeight="1">
      <c r="A97" s="54"/>
      <c r="B97" s="13"/>
      <c r="C97" s="51"/>
      <c r="D97" s="51"/>
    </row>
    <row r="98" spans="1:4" ht="15" customHeight="1">
      <c r="A98" s="54"/>
      <c r="B98" s="13"/>
      <c r="C98" s="51"/>
      <c r="D98" s="51"/>
    </row>
    <row r="99" spans="1:4" ht="15" customHeight="1">
      <c r="A99" s="54"/>
      <c r="B99" s="13"/>
      <c r="C99" s="51"/>
      <c r="D99" s="51"/>
    </row>
    <row r="100" spans="1:4" ht="15" customHeight="1">
      <c r="A100" s="54"/>
      <c r="B100" s="13"/>
      <c r="C100" s="51"/>
      <c r="D100" s="51"/>
    </row>
    <row r="101" spans="1:4" ht="15" customHeight="1">
      <c r="A101" s="54"/>
      <c r="B101" s="13"/>
      <c r="C101" s="51"/>
      <c r="D101" s="51"/>
    </row>
    <row r="102" spans="1:4" ht="15" customHeight="1">
      <c r="A102" s="54"/>
      <c r="B102" s="13"/>
      <c r="C102" s="51"/>
      <c r="D102" s="51"/>
    </row>
    <row r="103" spans="1:4" ht="15" customHeight="1">
      <c r="A103" s="54"/>
      <c r="B103" s="13"/>
      <c r="C103" s="51"/>
      <c r="D103" s="51"/>
    </row>
    <row r="104" spans="1:4" ht="15" customHeight="1">
      <c r="A104" s="54"/>
      <c r="B104" s="13"/>
      <c r="C104" s="51"/>
      <c r="D104" s="51"/>
    </row>
    <row r="105" spans="1:4" ht="15" customHeight="1">
      <c r="A105" s="54"/>
      <c r="B105" s="13"/>
      <c r="C105" s="51"/>
      <c r="D105" s="51"/>
    </row>
    <row r="106" spans="1:4" ht="15" customHeight="1">
      <c r="A106" s="54"/>
      <c r="B106" s="13"/>
      <c r="C106" s="51"/>
      <c r="D106" s="51"/>
    </row>
    <row r="107" spans="1:4" ht="15" customHeight="1">
      <c r="A107" s="54"/>
      <c r="B107" s="13"/>
      <c r="C107" s="51"/>
      <c r="D107" s="51"/>
    </row>
    <row r="108" spans="1:4" ht="15" customHeight="1">
      <c r="A108" s="54"/>
      <c r="B108" s="13"/>
      <c r="C108" s="51"/>
      <c r="D108" s="51"/>
    </row>
    <row r="109" spans="1:4" ht="15" customHeight="1">
      <c r="A109" s="54"/>
      <c r="B109" s="13"/>
      <c r="C109" s="51"/>
      <c r="D109" s="51"/>
    </row>
    <row r="110" spans="1:4" ht="15" customHeight="1">
      <c r="A110" s="54"/>
      <c r="B110" s="13"/>
      <c r="C110" s="51"/>
      <c r="D110" s="51"/>
    </row>
    <row r="111" spans="1:4" ht="15" customHeight="1">
      <c r="A111" s="54"/>
      <c r="B111" s="13"/>
      <c r="C111" s="51"/>
      <c r="D111" s="51"/>
    </row>
    <row r="112" spans="1:4" ht="15" customHeight="1">
      <c r="A112" s="54"/>
      <c r="B112" s="13"/>
      <c r="C112" s="51"/>
      <c r="D112" s="51"/>
    </row>
    <row r="113" spans="1:4" ht="15" customHeight="1">
      <c r="A113" s="54"/>
      <c r="B113" s="13"/>
      <c r="C113" s="51"/>
      <c r="D113" s="51"/>
    </row>
    <row r="114" spans="1:4" ht="15" customHeight="1">
      <c r="A114" s="54"/>
      <c r="B114" s="13"/>
      <c r="C114" s="51"/>
      <c r="D114" s="51"/>
    </row>
    <row r="115" spans="1:4" ht="15" customHeight="1">
      <c r="A115" s="54"/>
      <c r="B115" s="13"/>
      <c r="C115" s="51"/>
      <c r="D115" s="51"/>
    </row>
    <row r="116" spans="1:4" ht="15" customHeight="1">
      <c r="A116" s="54"/>
      <c r="B116" s="13"/>
      <c r="C116" s="51"/>
      <c r="D116" s="51"/>
    </row>
    <row r="117" spans="1:4" ht="15" customHeight="1">
      <c r="A117" s="54"/>
      <c r="B117" s="13"/>
      <c r="C117" s="51"/>
      <c r="D117" s="51"/>
    </row>
    <row r="118" spans="1:4" ht="15" customHeight="1">
      <c r="A118" s="54"/>
      <c r="B118" s="13"/>
      <c r="C118" s="51"/>
      <c r="D118" s="51"/>
    </row>
    <row r="119" spans="1:4" ht="15" customHeight="1">
      <c r="A119" s="54"/>
      <c r="B119" s="13"/>
      <c r="C119" s="51"/>
      <c r="D119" s="51"/>
    </row>
    <row r="120" spans="1:4" ht="15" customHeight="1">
      <c r="A120" s="54"/>
      <c r="B120" s="13"/>
      <c r="C120" s="51"/>
      <c r="D120" s="51"/>
    </row>
    <row r="121" spans="1:4" ht="15" customHeight="1">
      <c r="A121" s="54"/>
      <c r="B121" s="13"/>
      <c r="C121" s="51"/>
      <c r="D121" s="51"/>
    </row>
    <row r="122" spans="1:4" ht="15" customHeight="1">
      <c r="A122" s="54"/>
      <c r="B122" s="13"/>
      <c r="C122" s="51"/>
      <c r="D122" s="51"/>
    </row>
    <row r="123" spans="1:4" ht="15" customHeight="1">
      <c r="A123" s="54"/>
      <c r="B123" s="13"/>
      <c r="C123" s="51"/>
      <c r="D123" s="51"/>
    </row>
    <row r="124" spans="1:4" ht="15" customHeight="1">
      <c r="A124" s="54"/>
      <c r="B124" s="13"/>
      <c r="C124" s="51"/>
      <c r="D124" s="51"/>
    </row>
    <row r="125" spans="1:4" ht="15" customHeight="1">
      <c r="A125" s="54"/>
      <c r="B125" s="13"/>
      <c r="C125" s="51"/>
      <c r="D125" s="51"/>
    </row>
    <row r="126" spans="1:4" ht="15" customHeight="1">
      <c r="A126" s="54"/>
      <c r="B126" s="13"/>
      <c r="C126" s="51"/>
      <c r="D126" s="51"/>
    </row>
    <row r="127" spans="1:4" ht="15" customHeight="1">
      <c r="A127" s="54"/>
      <c r="B127" s="13"/>
      <c r="C127" s="51"/>
      <c r="D127" s="51"/>
    </row>
    <row r="128" spans="1:4" ht="15" customHeight="1">
      <c r="A128" s="54"/>
      <c r="B128" s="13"/>
      <c r="C128" s="51"/>
      <c r="D128" s="51"/>
    </row>
    <row r="129" spans="1:4" ht="15" customHeight="1">
      <c r="A129" s="54"/>
      <c r="B129" s="13"/>
      <c r="C129" s="51"/>
      <c r="D129" s="51"/>
    </row>
    <row r="130" spans="1:4" ht="15" customHeight="1">
      <c r="A130" s="54"/>
      <c r="B130" s="13"/>
      <c r="C130" s="51"/>
      <c r="D130" s="51"/>
    </row>
    <row r="131" spans="1:4" ht="15" customHeight="1">
      <c r="A131" s="54"/>
      <c r="B131" s="13"/>
      <c r="C131" s="51"/>
      <c r="D131" s="51"/>
    </row>
    <row r="132" spans="1:4" ht="15" customHeight="1">
      <c r="A132" s="54"/>
      <c r="B132" s="13"/>
      <c r="C132" s="51"/>
      <c r="D132" s="51"/>
    </row>
    <row r="133" spans="1:4" ht="15" customHeight="1">
      <c r="A133" s="54"/>
      <c r="B133" s="13"/>
      <c r="C133" s="51"/>
      <c r="D133" s="51"/>
    </row>
    <row r="134" spans="1:4" ht="15" customHeight="1">
      <c r="A134" s="54"/>
      <c r="B134" s="13"/>
      <c r="C134" s="51"/>
      <c r="D134" s="51"/>
    </row>
    <row r="135" spans="1:4" ht="15" customHeight="1">
      <c r="A135" s="54"/>
      <c r="B135" s="13"/>
      <c r="C135" s="51"/>
      <c r="D135" s="51"/>
    </row>
    <row r="136" spans="1:4" ht="15" customHeight="1">
      <c r="A136" s="54"/>
      <c r="B136" s="13"/>
      <c r="C136" s="51"/>
      <c r="D136" s="51"/>
    </row>
    <row r="137" spans="1:4" ht="15" customHeight="1">
      <c r="A137" s="54"/>
      <c r="B137" s="13"/>
      <c r="C137" s="51"/>
      <c r="D137" s="51"/>
    </row>
    <row r="138" spans="1:4" ht="15" customHeight="1">
      <c r="A138" s="54"/>
      <c r="B138" s="13"/>
      <c r="C138" s="51"/>
      <c r="D138" s="51"/>
    </row>
    <row r="139" spans="1:4" ht="15" customHeight="1">
      <c r="A139" s="54"/>
      <c r="B139" s="13"/>
      <c r="C139" s="51"/>
      <c r="D139" s="51"/>
    </row>
    <row r="140" spans="1:4" ht="15" customHeight="1">
      <c r="A140" s="54"/>
      <c r="B140" s="13"/>
      <c r="C140" s="51"/>
      <c r="D140" s="51"/>
    </row>
    <row r="141" spans="1:4" ht="15" customHeight="1">
      <c r="A141" s="54"/>
      <c r="B141" s="13"/>
      <c r="C141" s="51"/>
      <c r="D141" s="51"/>
    </row>
    <row r="142" spans="1:4" ht="15" customHeight="1">
      <c r="A142" s="54"/>
      <c r="B142" s="13"/>
      <c r="C142" s="51"/>
      <c r="D142" s="51"/>
    </row>
    <row r="143" spans="1:4" ht="15" customHeight="1">
      <c r="A143" s="54"/>
      <c r="B143" s="13"/>
      <c r="C143" s="51"/>
      <c r="D143" s="51"/>
    </row>
    <row r="144" spans="1:4" ht="15" customHeight="1">
      <c r="A144" s="54"/>
      <c r="B144" s="13"/>
      <c r="C144" s="51"/>
      <c r="D144" s="51"/>
    </row>
    <row r="145" spans="1:4" ht="15" customHeight="1">
      <c r="A145" s="54"/>
      <c r="B145" s="13"/>
      <c r="C145" s="51"/>
      <c r="D145" s="51"/>
    </row>
    <row r="146" spans="1:4" ht="15" customHeight="1">
      <c r="A146" s="54"/>
      <c r="B146" s="13"/>
      <c r="C146" s="51"/>
      <c r="D146" s="51"/>
    </row>
    <row r="147" spans="1:4" ht="15" customHeight="1">
      <c r="A147" s="54"/>
      <c r="B147" s="13"/>
      <c r="C147" s="51"/>
      <c r="D147" s="51"/>
    </row>
    <row r="148" spans="1:4" ht="15" customHeight="1">
      <c r="A148" s="54"/>
      <c r="B148" s="13"/>
      <c r="C148" s="51"/>
      <c r="D148" s="51"/>
    </row>
    <row r="149" spans="1:4" ht="15" customHeight="1">
      <c r="A149" s="54"/>
      <c r="B149" s="13"/>
      <c r="C149" s="51"/>
      <c r="D149" s="51"/>
    </row>
    <row r="150" spans="1:4" ht="15" customHeight="1">
      <c r="A150" s="54"/>
      <c r="B150" s="13"/>
      <c r="C150" s="51"/>
      <c r="D150" s="51"/>
    </row>
    <row r="151" spans="1:4" ht="15" customHeight="1">
      <c r="A151" s="54"/>
      <c r="B151" s="13"/>
      <c r="C151" s="51"/>
      <c r="D151" s="51"/>
    </row>
    <row r="152" spans="1:4" ht="15" customHeight="1">
      <c r="A152" s="54"/>
      <c r="B152" s="13"/>
      <c r="C152" s="51"/>
      <c r="D152" s="51"/>
    </row>
    <row r="153" spans="1:4" ht="15" customHeight="1">
      <c r="A153" s="54"/>
      <c r="B153" s="13"/>
      <c r="C153" s="51"/>
      <c r="D153" s="51"/>
    </row>
    <row r="154" spans="1:4" ht="15" customHeight="1">
      <c r="A154" s="54"/>
      <c r="B154" s="13"/>
      <c r="C154" s="51"/>
      <c r="D154" s="51"/>
    </row>
    <row r="155" spans="1:4" ht="15" customHeight="1">
      <c r="A155" s="54"/>
      <c r="B155" s="13"/>
      <c r="C155" s="51"/>
      <c r="D155" s="51"/>
    </row>
    <row r="156" spans="1:4" ht="15" customHeight="1">
      <c r="A156" s="54"/>
      <c r="B156" s="13"/>
      <c r="C156" s="51"/>
      <c r="D156" s="51"/>
    </row>
    <row r="157" spans="1:4" ht="15" customHeight="1">
      <c r="A157" s="54"/>
      <c r="B157" s="13"/>
      <c r="C157" s="51"/>
      <c r="D157" s="51"/>
    </row>
    <row r="158" spans="1:4" ht="15" customHeight="1">
      <c r="A158" s="54"/>
      <c r="B158" s="13"/>
      <c r="C158" s="51"/>
      <c r="D158" s="51"/>
    </row>
    <row r="159" spans="1:4" ht="15" customHeight="1">
      <c r="A159" s="54"/>
      <c r="B159" s="13"/>
      <c r="C159" s="51"/>
      <c r="D159" s="51"/>
    </row>
    <row r="160" spans="1:4" ht="15" customHeight="1">
      <c r="A160" s="54"/>
      <c r="B160" s="13"/>
      <c r="C160" s="51"/>
      <c r="D160" s="51"/>
    </row>
    <row r="161" spans="1:4" ht="15" customHeight="1">
      <c r="A161" s="54"/>
      <c r="B161" s="13"/>
      <c r="C161" s="51"/>
      <c r="D161" s="51"/>
    </row>
    <row r="162" spans="1:4" ht="15" customHeight="1">
      <c r="A162" s="54"/>
      <c r="B162" s="13"/>
      <c r="C162" s="51"/>
      <c r="D162" s="51"/>
    </row>
    <row r="163" spans="1:4" ht="15" customHeight="1">
      <c r="A163" s="54"/>
      <c r="B163" s="13"/>
      <c r="C163" s="51"/>
      <c r="D163" s="51"/>
    </row>
    <row r="164" spans="1:4" ht="15" customHeight="1">
      <c r="A164" s="54"/>
      <c r="B164" s="13"/>
      <c r="C164" s="51"/>
      <c r="D164" s="51"/>
    </row>
    <row r="165" spans="1:4" ht="15" customHeight="1">
      <c r="A165" s="54"/>
      <c r="B165" s="13"/>
      <c r="C165" s="51"/>
      <c r="D165" s="51"/>
    </row>
    <row r="166" spans="1:4" ht="15" customHeight="1">
      <c r="A166" s="54"/>
      <c r="B166" s="13"/>
      <c r="C166" s="51"/>
      <c r="D166" s="51"/>
    </row>
    <row r="167" spans="1:4" ht="15" customHeight="1">
      <c r="A167" s="54"/>
      <c r="B167" s="13"/>
      <c r="C167" s="51"/>
      <c r="D167" s="51"/>
    </row>
    <row r="168" spans="1:4" ht="15" customHeight="1">
      <c r="A168" s="54"/>
      <c r="B168" s="13"/>
      <c r="C168" s="51"/>
      <c r="D168" s="51"/>
    </row>
    <row r="169" spans="1:4" ht="15" customHeight="1">
      <c r="A169" s="54"/>
      <c r="B169" s="13"/>
      <c r="C169" s="51"/>
      <c r="D169" s="51"/>
    </row>
    <row r="170" spans="1:4" ht="15" customHeight="1">
      <c r="A170" s="54"/>
      <c r="B170" s="13"/>
      <c r="C170" s="51"/>
      <c r="D170" s="51"/>
    </row>
    <row r="171" spans="1:4" ht="15" customHeight="1">
      <c r="A171" s="54"/>
      <c r="B171" s="13"/>
      <c r="C171" s="51"/>
      <c r="D171" s="51"/>
    </row>
    <row r="172" spans="1:4" ht="15" customHeight="1">
      <c r="A172" s="54"/>
      <c r="B172" s="13"/>
      <c r="C172" s="51"/>
      <c r="D172" s="51"/>
    </row>
    <row r="173" spans="1:4" ht="15" customHeight="1">
      <c r="A173" s="54"/>
      <c r="B173" s="13"/>
      <c r="C173" s="51"/>
      <c r="D173" s="51"/>
    </row>
    <row r="174" spans="1:4" ht="15" customHeight="1">
      <c r="A174" s="54"/>
      <c r="B174" s="13"/>
      <c r="C174" s="51"/>
      <c r="D174" s="51"/>
    </row>
    <row r="175" spans="1:4" ht="15" customHeight="1">
      <c r="A175" s="54"/>
      <c r="B175" s="13"/>
      <c r="C175" s="51"/>
      <c r="D175" s="51"/>
    </row>
    <row r="176" spans="1:4" ht="15" customHeight="1">
      <c r="A176" s="54"/>
      <c r="B176" s="13"/>
      <c r="C176" s="51"/>
      <c r="D176" s="51"/>
    </row>
    <row r="177" spans="1:4" ht="15" customHeight="1">
      <c r="A177" s="54"/>
      <c r="B177" s="13"/>
      <c r="C177" s="51"/>
      <c r="D177" s="51"/>
    </row>
    <row r="178" spans="1:4" ht="15" customHeight="1">
      <c r="A178" s="54"/>
      <c r="B178" s="13"/>
      <c r="C178" s="51"/>
      <c r="D178" s="51"/>
    </row>
    <row r="179" spans="1:4" ht="15" customHeight="1">
      <c r="A179" s="54"/>
      <c r="B179" s="13"/>
      <c r="C179" s="51"/>
      <c r="D179" s="51"/>
    </row>
    <row r="180" spans="1:4" ht="15" customHeight="1">
      <c r="A180" s="54"/>
      <c r="B180" s="13"/>
      <c r="C180" s="51"/>
      <c r="D180" s="51"/>
    </row>
    <row r="181" spans="1:4" ht="15" customHeight="1">
      <c r="A181" s="54"/>
      <c r="B181" s="13"/>
      <c r="C181" s="51"/>
      <c r="D181" s="51"/>
    </row>
    <row r="182" spans="1:4" ht="15" customHeight="1">
      <c r="A182" s="54"/>
      <c r="B182" s="13"/>
      <c r="C182" s="51"/>
      <c r="D182" s="51"/>
    </row>
    <row r="183" spans="1:4" ht="15" customHeight="1">
      <c r="A183" s="54"/>
      <c r="B183" s="13"/>
      <c r="C183" s="51"/>
      <c r="D183" s="51"/>
    </row>
    <row r="184" spans="1:4" ht="15" customHeight="1">
      <c r="B184" s="13"/>
      <c r="C184" s="51"/>
      <c r="D184" s="51"/>
    </row>
    <row r="185" spans="1:4" ht="15" customHeight="1">
      <c r="B185" s="13"/>
      <c r="C185" s="51"/>
      <c r="D185" s="51"/>
    </row>
    <row r="186" spans="1:4" ht="15" customHeight="1">
      <c r="B186" s="13"/>
      <c r="C186" s="51"/>
      <c r="D186" s="51"/>
    </row>
    <row r="187" spans="1:4" ht="15" customHeight="1">
      <c r="B187" s="13"/>
      <c r="C187" s="51"/>
      <c r="D187" s="51"/>
    </row>
    <row r="188" spans="1:4" ht="15" customHeight="1">
      <c r="B188" s="13"/>
      <c r="C188" s="51"/>
      <c r="D188" s="51"/>
    </row>
    <row r="189" spans="1:4" ht="15" customHeight="1">
      <c r="B189" s="13"/>
      <c r="C189" s="51"/>
      <c r="D189" s="51"/>
    </row>
    <row r="190" spans="1:4" ht="15" customHeight="1">
      <c r="B190" s="13"/>
      <c r="C190" s="51"/>
      <c r="D190" s="51"/>
    </row>
    <row r="191" spans="1:4" ht="15" customHeight="1">
      <c r="B191" s="13"/>
      <c r="C191" s="51"/>
      <c r="D191" s="51"/>
    </row>
    <row r="192" spans="1:4" ht="15" customHeight="1">
      <c r="B192" s="13"/>
      <c r="C192" s="51"/>
      <c r="D192" s="51"/>
    </row>
    <row r="193" spans="2:4" ht="15" customHeight="1">
      <c r="B193" s="13"/>
      <c r="C193" s="51"/>
      <c r="D193" s="51"/>
    </row>
    <row r="194" spans="2:4" ht="15" customHeight="1">
      <c r="B194" s="13"/>
      <c r="C194" s="51"/>
      <c r="D194" s="51"/>
    </row>
    <row r="195" spans="2:4" ht="15" customHeight="1">
      <c r="B195" s="13"/>
      <c r="C195" s="51"/>
      <c r="D195" s="51"/>
    </row>
    <row r="196" spans="2:4" ht="15" customHeight="1">
      <c r="B196" s="13"/>
      <c r="C196" s="51"/>
      <c r="D196" s="51"/>
    </row>
    <row r="197" spans="2:4" ht="15" customHeight="1">
      <c r="B197" s="13"/>
      <c r="C197" s="51"/>
      <c r="D197" s="51"/>
    </row>
    <row r="198" spans="2:4" ht="15" customHeight="1">
      <c r="B198" s="13"/>
      <c r="C198" s="51"/>
      <c r="D198" s="51"/>
    </row>
    <row r="199" spans="2:4" ht="15" customHeight="1">
      <c r="B199" s="13"/>
      <c r="C199" s="51"/>
      <c r="D199" s="51"/>
    </row>
    <row r="200" spans="2:4" ht="15" customHeight="1">
      <c r="B200" s="13"/>
      <c r="C200" s="51"/>
      <c r="D200" s="51"/>
    </row>
    <row r="201" spans="2:4" ht="15" customHeight="1">
      <c r="B201" s="13"/>
      <c r="C201" s="51"/>
      <c r="D201" s="51"/>
    </row>
    <row r="202" spans="2:4" ht="15" customHeight="1">
      <c r="B202" s="13"/>
      <c r="C202" s="51"/>
      <c r="D202" s="51"/>
    </row>
    <row r="203" spans="2:4" ht="15" customHeight="1">
      <c r="B203" s="13"/>
      <c r="C203" s="51"/>
      <c r="D203" s="51"/>
    </row>
    <row r="204" spans="2:4" ht="15" customHeight="1">
      <c r="B204" s="13"/>
      <c r="C204" s="51"/>
      <c r="D204" s="51"/>
    </row>
    <row r="205" spans="2:4" ht="15" customHeight="1">
      <c r="B205" s="13"/>
      <c r="C205" s="51"/>
      <c r="D205" s="51"/>
    </row>
    <row r="206" spans="2:4" ht="15" customHeight="1">
      <c r="B206" s="13"/>
      <c r="C206" s="51"/>
      <c r="D206" s="51"/>
    </row>
    <row r="207" spans="2:4" ht="15" customHeight="1">
      <c r="B207" s="13"/>
      <c r="C207" s="51"/>
      <c r="D207" s="51"/>
    </row>
    <row r="208" spans="2:4" ht="15" customHeight="1">
      <c r="B208" s="13"/>
      <c r="C208" s="51"/>
      <c r="D208" s="51"/>
    </row>
    <row r="209" spans="2:4" ht="15" customHeight="1">
      <c r="B209" s="13"/>
      <c r="C209" s="51"/>
      <c r="D209" s="51"/>
    </row>
    <row r="210" spans="2:4" ht="15" customHeight="1">
      <c r="B210" s="13"/>
      <c r="C210" s="51"/>
      <c r="D210" s="51"/>
    </row>
    <row r="211" spans="2:4" ht="15" customHeight="1">
      <c r="B211" s="13"/>
      <c r="C211" s="51"/>
      <c r="D211" s="51"/>
    </row>
    <row r="212" spans="2:4" ht="15" customHeight="1">
      <c r="B212" s="13"/>
      <c r="C212" s="51"/>
      <c r="D212" s="51"/>
    </row>
    <row r="213" spans="2:4" ht="15" customHeight="1">
      <c r="B213" s="13"/>
      <c r="C213" s="51"/>
      <c r="D213" s="51"/>
    </row>
    <row r="214" spans="2:4" ht="15" customHeight="1">
      <c r="B214" s="13"/>
      <c r="C214" s="51"/>
      <c r="D214" s="51"/>
    </row>
    <row r="215" spans="2:4" ht="15" customHeight="1">
      <c r="B215" s="13"/>
      <c r="C215" s="51"/>
      <c r="D215" s="51"/>
    </row>
    <row r="216" spans="2:4" ht="15" customHeight="1">
      <c r="B216" s="13"/>
      <c r="C216" s="51"/>
      <c r="D216" s="51"/>
    </row>
    <row r="217" spans="2:4" ht="15" customHeight="1">
      <c r="B217" s="13"/>
      <c r="C217" s="51"/>
      <c r="D217" s="51"/>
    </row>
    <row r="218" spans="2:4" ht="15" customHeight="1">
      <c r="B218" s="13"/>
      <c r="C218" s="51"/>
      <c r="D218" s="51"/>
    </row>
    <row r="219" spans="2:4" ht="15" customHeight="1">
      <c r="B219" s="13"/>
      <c r="C219" s="51"/>
      <c r="D219" s="51"/>
    </row>
    <row r="220" spans="2:4" ht="15" customHeight="1">
      <c r="B220" s="13"/>
      <c r="C220" s="51"/>
      <c r="D220" s="51"/>
    </row>
    <row r="221" spans="2:4" ht="15" customHeight="1">
      <c r="B221" s="13"/>
      <c r="C221" s="51"/>
      <c r="D221" s="51"/>
    </row>
    <row r="222" spans="2:4" ht="15" customHeight="1">
      <c r="B222" s="13"/>
      <c r="C222" s="51"/>
      <c r="D222" s="51"/>
    </row>
    <row r="223" spans="2:4" ht="15" customHeight="1">
      <c r="B223" s="13"/>
      <c r="C223" s="51"/>
      <c r="D223" s="51"/>
    </row>
    <row r="224" spans="2:4" ht="15" customHeight="1">
      <c r="B224" s="13"/>
      <c r="C224" s="51"/>
      <c r="D224" s="51"/>
    </row>
    <row r="225" spans="2:4" ht="15" customHeight="1">
      <c r="B225" s="13"/>
      <c r="C225" s="51"/>
      <c r="D225" s="51"/>
    </row>
    <row r="226" spans="2:4" ht="15" customHeight="1">
      <c r="B226" s="13"/>
      <c r="C226" s="51"/>
      <c r="D226" s="51"/>
    </row>
    <row r="227" spans="2:4" ht="15" customHeight="1">
      <c r="B227" s="13"/>
      <c r="C227" s="51"/>
      <c r="D227" s="51"/>
    </row>
    <row r="228" spans="2:4" ht="15" customHeight="1">
      <c r="B228" s="13"/>
      <c r="C228" s="51"/>
      <c r="D228" s="51"/>
    </row>
    <row r="229" spans="2:4" ht="15" customHeight="1">
      <c r="B229" s="13"/>
      <c r="C229" s="51"/>
      <c r="D229" s="51"/>
    </row>
    <row r="230" spans="2:4" ht="15" customHeight="1">
      <c r="B230" s="13"/>
      <c r="C230" s="51"/>
      <c r="D230" s="51"/>
    </row>
    <row r="231" spans="2:4" ht="15" customHeight="1">
      <c r="B231" s="13"/>
      <c r="C231" s="51"/>
      <c r="D231" s="51"/>
    </row>
    <row r="232" spans="2:4" ht="15" customHeight="1">
      <c r="B232" s="13"/>
      <c r="C232" s="51"/>
      <c r="D232" s="51"/>
    </row>
    <row r="233" spans="2:4" ht="15" customHeight="1">
      <c r="B233" s="13"/>
      <c r="C233" s="51"/>
      <c r="D233" s="51"/>
    </row>
    <row r="234" spans="2:4" ht="15" customHeight="1">
      <c r="B234" s="13"/>
      <c r="C234" s="51"/>
      <c r="D234" s="51"/>
    </row>
    <row r="235" spans="2:4" ht="15" customHeight="1">
      <c r="B235" s="13"/>
      <c r="C235" s="51"/>
      <c r="D235" s="51"/>
    </row>
    <row r="236" spans="2:4" ht="15" customHeight="1">
      <c r="B236" s="13"/>
      <c r="C236" s="51"/>
      <c r="D236" s="51"/>
    </row>
    <row r="237" spans="2:4" ht="15" customHeight="1">
      <c r="B237" s="13"/>
      <c r="C237" s="51"/>
      <c r="D237" s="51"/>
    </row>
    <row r="238" spans="2:4" ht="15" customHeight="1">
      <c r="B238" s="13"/>
      <c r="C238" s="51"/>
      <c r="D238" s="51"/>
    </row>
    <row r="239" spans="2:4" ht="15" customHeight="1">
      <c r="B239" s="13"/>
      <c r="C239" s="51"/>
      <c r="D239" s="51"/>
    </row>
    <row r="240" spans="2:4" ht="15" customHeight="1">
      <c r="B240" s="13"/>
      <c r="C240" s="51"/>
      <c r="D240" s="51"/>
    </row>
    <row r="241" spans="2:4" ht="15" customHeight="1">
      <c r="B241" s="13"/>
      <c r="C241" s="51"/>
      <c r="D241" s="51"/>
    </row>
    <row r="242" spans="2:4" ht="15" customHeight="1">
      <c r="B242" s="13"/>
      <c r="C242" s="51"/>
      <c r="D242" s="51"/>
    </row>
    <row r="243" spans="2:4" ht="15" customHeight="1">
      <c r="B243" s="13"/>
      <c r="C243" s="51"/>
      <c r="D243" s="51"/>
    </row>
    <row r="244" spans="2:4" ht="15" customHeight="1">
      <c r="B244" s="13"/>
      <c r="C244" s="51"/>
      <c r="D244" s="51"/>
    </row>
    <row r="245" spans="2:4" ht="15" customHeight="1">
      <c r="B245" s="13"/>
      <c r="C245" s="51"/>
      <c r="D245" s="51"/>
    </row>
    <row r="246" spans="2:4" ht="15" customHeight="1">
      <c r="B246" s="13"/>
      <c r="C246" s="51"/>
      <c r="D246" s="51"/>
    </row>
    <row r="247" spans="2:4" ht="15" customHeight="1">
      <c r="B247" s="13"/>
      <c r="C247" s="51"/>
      <c r="D247" s="51"/>
    </row>
    <row r="248" spans="2:4" ht="15" customHeight="1">
      <c r="B248" s="13"/>
      <c r="C248" s="51"/>
      <c r="D248" s="51"/>
    </row>
    <row r="249" spans="2:4" ht="15" customHeight="1">
      <c r="B249" s="13"/>
      <c r="C249" s="51"/>
      <c r="D249" s="51"/>
    </row>
    <row r="250" spans="2:4" ht="15" customHeight="1">
      <c r="B250" s="13"/>
      <c r="C250" s="51"/>
      <c r="D250" s="51"/>
    </row>
    <row r="251" spans="2:4" ht="15" customHeight="1">
      <c r="B251" s="13"/>
      <c r="C251" s="51"/>
      <c r="D251" s="51"/>
    </row>
    <row r="252" spans="2:4" ht="15" customHeight="1">
      <c r="B252" s="13"/>
      <c r="C252" s="51"/>
      <c r="D252" s="51"/>
    </row>
    <row r="253" spans="2:4" ht="15" customHeight="1">
      <c r="B253" s="13"/>
      <c r="C253" s="51"/>
      <c r="D253" s="51"/>
    </row>
    <row r="254" spans="2:4" ht="15" customHeight="1">
      <c r="B254" s="13"/>
      <c r="C254" s="51"/>
      <c r="D254" s="51"/>
    </row>
    <row r="255" spans="2:4" ht="15" customHeight="1">
      <c r="B255" s="13"/>
      <c r="C255" s="51"/>
      <c r="D255" s="51"/>
    </row>
    <row r="256" spans="2:4" ht="15" customHeight="1">
      <c r="B256" s="13"/>
      <c r="C256" s="51"/>
      <c r="D256" s="51"/>
    </row>
    <row r="257" spans="2:4" ht="15" customHeight="1">
      <c r="B257" s="13"/>
      <c r="C257" s="51"/>
      <c r="D257" s="51"/>
    </row>
    <row r="258" spans="2:4" ht="15" customHeight="1">
      <c r="B258" s="13"/>
      <c r="C258" s="51"/>
      <c r="D258" s="51"/>
    </row>
    <row r="259" spans="2:4" ht="15" customHeight="1">
      <c r="B259" s="13"/>
      <c r="C259" s="51"/>
      <c r="D259" s="51"/>
    </row>
    <row r="260" spans="2:4" ht="15" customHeight="1">
      <c r="B260" s="13"/>
      <c r="C260" s="51"/>
      <c r="D260" s="51"/>
    </row>
    <row r="261" spans="2:4" ht="15" customHeight="1">
      <c r="B261" s="13"/>
      <c r="C261" s="51"/>
      <c r="D261" s="51"/>
    </row>
    <row r="262" spans="2:4" ht="15" customHeight="1">
      <c r="B262" s="13"/>
      <c r="C262" s="51"/>
      <c r="D262" s="51"/>
    </row>
    <row r="263" spans="2:4" ht="15" customHeight="1">
      <c r="B263" s="13"/>
      <c r="C263" s="51"/>
      <c r="D263" s="51"/>
    </row>
    <row r="264" spans="2:4" ht="15" customHeight="1">
      <c r="B264" s="13"/>
      <c r="C264" s="51"/>
      <c r="D264" s="51"/>
    </row>
    <row r="265" spans="2:4" ht="15" customHeight="1">
      <c r="B265" s="13"/>
      <c r="C265" s="51"/>
      <c r="D265" s="51"/>
    </row>
    <row r="266" spans="2:4" ht="15" customHeight="1">
      <c r="B266" s="13"/>
      <c r="C266" s="51"/>
      <c r="D266" s="51"/>
    </row>
    <row r="267" spans="2:4" ht="15" customHeight="1">
      <c r="B267" s="13"/>
      <c r="C267" s="51"/>
      <c r="D267" s="51"/>
    </row>
    <row r="268" spans="2:4" ht="15" customHeight="1">
      <c r="B268" s="13"/>
      <c r="C268" s="51"/>
      <c r="D268" s="51"/>
    </row>
    <row r="269" spans="2:4" ht="15" customHeight="1">
      <c r="B269" s="13"/>
      <c r="C269" s="51"/>
      <c r="D269" s="51"/>
    </row>
    <row r="270" spans="2:4" ht="15" customHeight="1">
      <c r="B270" s="13"/>
      <c r="C270" s="51"/>
      <c r="D270" s="51"/>
    </row>
    <row r="271" spans="2:4" ht="15" customHeight="1">
      <c r="B271" s="13"/>
      <c r="C271" s="51"/>
      <c r="D271" s="51"/>
    </row>
    <row r="272" spans="2:4" ht="15" customHeight="1">
      <c r="B272" s="13"/>
      <c r="C272" s="51"/>
      <c r="D272" s="51"/>
    </row>
    <row r="273" spans="2:4" ht="15" customHeight="1">
      <c r="B273" s="13"/>
      <c r="C273" s="51"/>
      <c r="D273" s="51"/>
    </row>
    <row r="274" spans="2:4" ht="15" customHeight="1">
      <c r="C274" s="51"/>
      <c r="D274" s="51"/>
    </row>
    <row r="275" spans="2:4" ht="15" customHeight="1">
      <c r="C275" s="51"/>
      <c r="D275" s="51"/>
    </row>
    <row r="276" spans="2:4" ht="15" customHeight="1">
      <c r="C276" s="51"/>
      <c r="D276" s="51"/>
    </row>
    <row r="277" spans="2:4" ht="15" customHeight="1">
      <c r="C277" s="51"/>
      <c r="D277" s="51"/>
    </row>
    <row r="278" spans="2:4" ht="15" customHeight="1">
      <c r="C278" s="51"/>
      <c r="D278" s="51"/>
    </row>
    <row r="279" spans="2:4" ht="15" customHeight="1">
      <c r="C279" s="51"/>
      <c r="D279" s="51"/>
    </row>
    <row r="280" spans="2:4" ht="15" customHeight="1">
      <c r="C280" s="51"/>
      <c r="D280" s="51"/>
    </row>
    <row r="281" spans="2:4" ht="15" customHeight="1">
      <c r="C281" s="51"/>
      <c r="D281" s="51"/>
    </row>
    <row r="282" spans="2:4" ht="15" customHeight="1">
      <c r="C282" s="51"/>
      <c r="D282" s="51"/>
    </row>
    <row r="283" spans="2:4" ht="15" customHeight="1">
      <c r="C283" s="51"/>
      <c r="D283" s="51"/>
    </row>
    <row r="284" spans="2:4" ht="15" customHeight="1">
      <c r="C284" s="51"/>
      <c r="D284" s="51"/>
    </row>
    <row r="285" spans="2:4" ht="15" customHeight="1">
      <c r="C285" s="51"/>
      <c r="D285" s="51"/>
    </row>
    <row r="286" spans="2:4" ht="15" customHeight="1">
      <c r="C286" s="51"/>
      <c r="D286" s="51"/>
    </row>
    <row r="287" spans="2:4" ht="15" customHeight="1">
      <c r="C287" s="51"/>
      <c r="D287" s="51"/>
    </row>
    <row r="288" spans="2:4" ht="15" customHeight="1">
      <c r="C288" s="51"/>
      <c r="D288" s="51"/>
    </row>
    <row r="289" spans="7:12" s="51" customFormat="1" ht="15" customHeight="1">
      <c r="G289" s="242"/>
      <c r="L289" s="241"/>
    </row>
    <row r="290" spans="7:12" s="51" customFormat="1" ht="15" customHeight="1">
      <c r="G290" s="242"/>
      <c r="L290" s="241"/>
    </row>
    <row r="291" spans="7:12" s="51" customFormat="1" ht="15" customHeight="1">
      <c r="G291" s="242"/>
      <c r="L291" s="241"/>
    </row>
    <row r="292" spans="7:12" s="51" customFormat="1" ht="15" customHeight="1">
      <c r="G292" s="242"/>
      <c r="L292" s="241"/>
    </row>
    <row r="293" spans="7:12" s="51" customFormat="1" ht="15" customHeight="1">
      <c r="G293" s="242"/>
      <c r="L293" s="241"/>
    </row>
    <row r="294" spans="7:12" s="51" customFormat="1" ht="15" customHeight="1">
      <c r="G294" s="242"/>
      <c r="L294" s="241"/>
    </row>
    <row r="295" spans="7:12" s="51" customFormat="1" ht="15" customHeight="1">
      <c r="G295" s="242"/>
      <c r="L295" s="241"/>
    </row>
    <row r="296" spans="7:12" s="51" customFormat="1" ht="15" customHeight="1">
      <c r="G296" s="242"/>
      <c r="L296" s="241"/>
    </row>
    <row r="297" spans="7:12" s="51" customFormat="1" ht="15" customHeight="1">
      <c r="G297" s="242"/>
      <c r="L297" s="241"/>
    </row>
    <row r="298" spans="7:12" s="51" customFormat="1" ht="15" customHeight="1">
      <c r="G298" s="242"/>
      <c r="L298" s="241"/>
    </row>
    <row r="299" spans="7:12" s="51" customFormat="1" ht="15" customHeight="1">
      <c r="G299" s="242"/>
      <c r="L299" s="241"/>
    </row>
    <row r="300" spans="7:12" s="51" customFormat="1" ht="15" customHeight="1">
      <c r="G300" s="242"/>
      <c r="L300" s="241"/>
    </row>
    <row r="301" spans="7:12" s="51" customFormat="1" ht="15" customHeight="1">
      <c r="G301" s="242"/>
      <c r="L301" s="241"/>
    </row>
    <row r="302" spans="7:12" s="51" customFormat="1" ht="15" customHeight="1">
      <c r="G302" s="242"/>
      <c r="L302" s="241"/>
    </row>
    <row r="303" spans="7:12" s="51" customFormat="1" ht="15" customHeight="1">
      <c r="G303" s="242"/>
      <c r="L303" s="241"/>
    </row>
    <row r="304" spans="7:12" s="51" customFormat="1" ht="15" customHeight="1">
      <c r="G304" s="242"/>
      <c r="L304" s="241"/>
    </row>
    <row r="305" spans="7:12" s="51" customFormat="1" ht="15" customHeight="1">
      <c r="G305" s="242"/>
      <c r="L305" s="241"/>
    </row>
    <row r="306" spans="7:12" s="51" customFormat="1" ht="15" customHeight="1">
      <c r="G306" s="242"/>
      <c r="L306" s="241"/>
    </row>
    <row r="307" spans="7:12" s="51" customFormat="1" ht="15" customHeight="1">
      <c r="G307" s="242"/>
      <c r="L307" s="241"/>
    </row>
    <row r="308" spans="7:12" s="51" customFormat="1" ht="15" customHeight="1">
      <c r="G308" s="242"/>
      <c r="L308" s="241"/>
    </row>
    <row r="309" spans="7:12" s="51" customFormat="1" ht="15" customHeight="1">
      <c r="G309" s="242"/>
      <c r="L309" s="241"/>
    </row>
    <row r="310" spans="7:12" s="51" customFormat="1" ht="15" customHeight="1">
      <c r="G310" s="242"/>
      <c r="L310" s="241"/>
    </row>
    <row r="311" spans="7:12" s="51" customFormat="1" ht="15" customHeight="1">
      <c r="G311" s="242"/>
      <c r="L311" s="241"/>
    </row>
    <row r="312" spans="7:12" s="51" customFormat="1" ht="15" customHeight="1">
      <c r="G312" s="242"/>
      <c r="L312" s="241"/>
    </row>
    <row r="313" spans="7:12" s="51" customFormat="1" ht="15" customHeight="1">
      <c r="G313" s="242"/>
      <c r="L313" s="241"/>
    </row>
    <row r="314" spans="7:12" s="51" customFormat="1" ht="15" customHeight="1">
      <c r="G314" s="242"/>
      <c r="L314" s="241"/>
    </row>
    <row r="315" spans="7:12" s="51" customFormat="1" ht="15" customHeight="1">
      <c r="G315" s="242"/>
      <c r="L315" s="241"/>
    </row>
    <row r="316" spans="7:12" s="51" customFormat="1" ht="15" customHeight="1">
      <c r="G316" s="242"/>
      <c r="L316" s="241"/>
    </row>
    <row r="317" spans="7:12" s="51" customFormat="1" ht="15" customHeight="1">
      <c r="G317" s="242"/>
      <c r="L317" s="241"/>
    </row>
    <row r="318" spans="7:12" s="51" customFormat="1" ht="15" customHeight="1">
      <c r="G318" s="242"/>
      <c r="L318" s="241"/>
    </row>
    <row r="319" spans="7:12" s="51" customFormat="1" ht="15" customHeight="1">
      <c r="G319" s="242"/>
      <c r="L319" s="241"/>
    </row>
    <row r="320" spans="7:12" s="51" customFormat="1" ht="15" customHeight="1">
      <c r="G320" s="242"/>
      <c r="L320" s="241"/>
    </row>
    <row r="321" spans="7:12" s="51" customFormat="1" ht="15" customHeight="1">
      <c r="G321" s="242"/>
      <c r="L321" s="241"/>
    </row>
    <row r="322" spans="7:12" s="51" customFormat="1" ht="15" customHeight="1">
      <c r="G322" s="242"/>
      <c r="L322" s="241"/>
    </row>
    <row r="323" spans="7:12" s="51" customFormat="1" ht="15" customHeight="1">
      <c r="G323" s="242"/>
      <c r="L323" s="241"/>
    </row>
    <row r="324" spans="7:12" s="51" customFormat="1" ht="15" customHeight="1">
      <c r="G324" s="242"/>
      <c r="L324" s="241"/>
    </row>
    <row r="325" spans="7:12" s="51" customFormat="1" ht="15" customHeight="1">
      <c r="G325" s="242"/>
      <c r="L325" s="241"/>
    </row>
    <row r="326" spans="7:12" s="51" customFormat="1" ht="15" customHeight="1">
      <c r="G326" s="242"/>
      <c r="L326" s="241"/>
    </row>
    <row r="327" spans="7:12" s="51" customFormat="1" ht="15" customHeight="1">
      <c r="G327" s="242"/>
      <c r="L327" s="241"/>
    </row>
    <row r="328" spans="7:12" s="51" customFormat="1" ht="15" customHeight="1">
      <c r="G328" s="242"/>
      <c r="L328" s="241"/>
    </row>
    <row r="329" spans="7:12" s="51" customFormat="1" ht="15" customHeight="1">
      <c r="G329" s="242"/>
      <c r="L329" s="241"/>
    </row>
    <row r="330" spans="7:12" s="51" customFormat="1" ht="15" customHeight="1">
      <c r="G330" s="242"/>
      <c r="L330" s="241"/>
    </row>
    <row r="331" spans="7:12" s="51" customFormat="1" ht="15" customHeight="1">
      <c r="G331" s="242"/>
      <c r="L331" s="241"/>
    </row>
    <row r="332" spans="7:12" s="51" customFormat="1" ht="15" customHeight="1">
      <c r="G332" s="242"/>
      <c r="L332" s="241"/>
    </row>
    <row r="333" spans="7:12" s="51" customFormat="1" ht="15" customHeight="1">
      <c r="G333" s="242"/>
      <c r="L333" s="241"/>
    </row>
    <row r="334" spans="7:12" s="51" customFormat="1" ht="15" customHeight="1">
      <c r="G334" s="242"/>
      <c r="L334" s="241"/>
    </row>
    <row r="335" spans="7:12" s="51" customFormat="1" ht="15" customHeight="1">
      <c r="G335" s="242"/>
      <c r="L335" s="241"/>
    </row>
    <row r="336" spans="7:12" s="51" customFormat="1" ht="15" customHeight="1">
      <c r="G336" s="242"/>
      <c r="L336" s="241"/>
    </row>
    <row r="337" spans="7:12" s="51" customFormat="1" ht="15" customHeight="1">
      <c r="G337" s="242"/>
      <c r="L337" s="241"/>
    </row>
    <row r="338" spans="7:12" s="51" customFormat="1" ht="15" customHeight="1">
      <c r="G338" s="242"/>
      <c r="L338" s="241"/>
    </row>
    <row r="339" spans="7:12" s="51" customFormat="1" ht="15" customHeight="1">
      <c r="G339" s="242"/>
      <c r="L339" s="241"/>
    </row>
    <row r="340" spans="7:12" s="51" customFormat="1" ht="15" customHeight="1">
      <c r="G340" s="242"/>
      <c r="L340" s="241"/>
    </row>
    <row r="341" spans="7:12" s="51" customFormat="1" ht="15" customHeight="1">
      <c r="G341" s="242"/>
      <c r="L341" s="241"/>
    </row>
    <row r="342" spans="7:12" s="51" customFormat="1" ht="15" customHeight="1">
      <c r="G342" s="242"/>
      <c r="L342" s="241"/>
    </row>
    <row r="343" spans="7:12" s="51" customFormat="1" ht="15" customHeight="1">
      <c r="G343" s="242"/>
      <c r="L343" s="241"/>
    </row>
    <row r="344" spans="7:12" s="51" customFormat="1" ht="15" customHeight="1">
      <c r="G344" s="242"/>
      <c r="L344" s="241"/>
    </row>
    <row r="345" spans="7:12" s="51" customFormat="1" ht="15" customHeight="1">
      <c r="G345" s="242"/>
      <c r="L345" s="241"/>
    </row>
    <row r="346" spans="7:12" s="51" customFormat="1" ht="15" customHeight="1">
      <c r="G346" s="242"/>
      <c r="L346" s="241"/>
    </row>
    <row r="347" spans="7:12" s="51" customFormat="1" ht="15" customHeight="1">
      <c r="G347" s="242"/>
      <c r="L347" s="241"/>
    </row>
    <row r="348" spans="7:12" s="51" customFormat="1" ht="15" customHeight="1">
      <c r="G348" s="242"/>
      <c r="L348" s="241"/>
    </row>
    <row r="349" spans="7:12" s="51" customFormat="1" ht="15" customHeight="1">
      <c r="G349" s="242"/>
      <c r="L349" s="241"/>
    </row>
    <row r="350" spans="7:12" s="51" customFormat="1" ht="15" customHeight="1">
      <c r="G350" s="242"/>
      <c r="L350" s="241"/>
    </row>
    <row r="351" spans="7:12" s="51" customFormat="1" ht="15" customHeight="1">
      <c r="G351" s="242"/>
      <c r="L351" s="241"/>
    </row>
    <row r="352" spans="7:12" s="51" customFormat="1" ht="15" customHeight="1">
      <c r="G352" s="242"/>
      <c r="L352" s="241"/>
    </row>
    <row r="353" spans="7:12" s="51" customFormat="1" ht="15" customHeight="1">
      <c r="G353" s="242"/>
      <c r="L353" s="241"/>
    </row>
    <row r="354" spans="7:12" s="51" customFormat="1" ht="15" customHeight="1">
      <c r="G354" s="242"/>
      <c r="L354" s="241"/>
    </row>
    <row r="355" spans="7:12" s="51" customFormat="1" ht="15" customHeight="1">
      <c r="G355" s="242"/>
      <c r="L355" s="241"/>
    </row>
    <row r="356" spans="7:12" s="51" customFormat="1" ht="15" customHeight="1">
      <c r="G356" s="242"/>
      <c r="L356" s="241"/>
    </row>
    <row r="357" spans="7:12" s="51" customFormat="1" ht="15" customHeight="1">
      <c r="G357" s="242"/>
      <c r="L357" s="241"/>
    </row>
    <row r="358" spans="7:12" s="51" customFormat="1" ht="15" customHeight="1">
      <c r="G358" s="242"/>
      <c r="L358" s="241"/>
    </row>
    <row r="359" spans="7:12" s="51" customFormat="1" ht="15" customHeight="1">
      <c r="G359" s="242"/>
      <c r="L359" s="241"/>
    </row>
    <row r="360" spans="7:12" s="51" customFormat="1" ht="15" customHeight="1">
      <c r="G360" s="242"/>
      <c r="L360" s="241"/>
    </row>
    <row r="361" spans="7:12" s="51" customFormat="1" ht="15" customHeight="1">
      <c r="G361" s="242"/>
      <c r="L361" s="241"/>
    </row>
    <row r="362" spans="7:12" s="51" customFormat="1" ht="15" customHeight="1">
      <c r="G362" s="242"/>
      <c r="L362" s="241"/>
    </row>
    <row r="363" spans="7:12" s="51" customFormat="1" ht="15" customHeight="1">
      <c r="G363" s="242"/>
      <c r="L363" s="241"/>
    </row>
    <row r="364" spans="7:12" s="51" customFormat="1" ht="15" customHeight="1">
      <c r="G364" s="242"/>
      <c r="L364" s="241"/>
    </row>
    <row r="365" spans="7:12" s="51" customFormat="1" ht="15" customHeight="1">
      <c r="G365" s="242"/>
      <c r="L365" s="241"/>
    </row>
    <row r="366" spans="7:12" s="51" customFormat="1" ht="15" customHeight="1">
      <c r="G366" s="242"/>
      <c r="L366" s="241"/>
    </row>
    <row r="367" spans="7:12" s="51" customFormat="1" ht="15" customHeight="1">
      <c r="G367" s="242"/>
      <c r="L367" s="241"/>
    </row>
    <row r="368" spans="7:12" s="51" customFormat="1" ht="15" customHeight="1">
      <c r="G368" s="242"/>
      <c r="L368" s="241"/>
    </row>
    <row r="369" spans="7:12" s="51" customFormat="1" ht="15" customHeight="1">
      <c r="G369" s="242"/>
      <c r="L369" s="241"/>
    </row>
    <row r="370" spans="7:12" s="51" customFormat="1" ht="15" customHeight="1">
      <c r="G370" s="242"/>
      <c r="L370" s="241"/>
    </row>
    <row r="371" spans="7:12" s="51" customFormat="1" ht="15" customHeight="1">
      <c r="G371" s="242"/>
      <c r="L371" s="241"/>
    </row>
    <row r="372" spans="7:12" s="51" customFormat="1" ht="15" customHeight="1">
      <c r="G372" s="242"/>
      <c r="L372" s="241"/>
    </row>
    <row r="373" spans="7:12" s="51" customFormat="1" ht="15" customHeight="1">
      <c r="G373" s="242"/>
      <c r="L373" s="241"/>
    </row>
    <row r="374" spans="7:12" s="51" customFormat="1" ht="15" customHeight="1">
      <c r="G374" s="242"/>
      <c r="L374" s="241"/>
    </row>
    <row r="375" spans="7:12" s="51" customFormat="1" ht="15" customHeight="1">
      <c r="G375" s="242"/>
      <c r="L375" s="241"/>
    </row>
    <row r="376" spans="7:12" s="51" customFormat="1" ht="15" customHeight="1">
      <c r="G376" s="242"/>
      <c r="L376" s="241"/>
    </row>
    <row r="377" spans="7:12" s="51" customFormat="1" ht="15" customHeight="1">
      <c r="G377" s="242"/>
      <c r="L377" s="241"/>
    </row>
    <row r="378" spans="7:12" s="51" customFormat="1" ht="15" customHeight="1">
      <c r="G378" s="242"/>
      <c r="L378" s="241"/>
    </row>
    <row r="379" spans="7:12" s="51" customFormat="1" ht="15" customHeight="1">
      <c r="G379" s="242"/>
      <c r="L379" s="241"/>
    </row>
    <row r="380" spans="7:12" s="51" customFormat="1" ht="15" customHeight="1">
      <c r="G380" s="242"/>
      <c r="L380" s="241"/>
    </row>
    <row r="381" spans="7:12" s="51" customFormat="1" ht="15" customHeight="1">
      <c r="G381" s="242"/>
      <c r="L381" s="241"/>
    </row>
    <row r="382" spans="7:12" s="51" customFormat="1" ht="15" customHeight="1">
      <c r="G382" s="242"/>
      <c r="L382" s="241"/>
    </row>
    <row r="383" spans="7:12" s="51" customFormat="1" ht="15" customHeight="1">
      <c r="G383" s="242"/>
      <c r="L383" s="241"/>
    </row>
    <row r="384" spans="7:12" s="51" customFormat="1" ht="15" customHeight="1">
      <c r="G384" s="242"/>
      <c r="L384" s="241"/>
    </row>
    <row r="385" spans="7:12" s="51" customFormat="1" ht="15" customHeight="1">
      <c r="G385" s="242"/>
      <c r="L385" s="241"/>
    </row>
    <row r="386" spans="7:12" s="51" customFormat="1" ht="15" customHeight="1">
      <c r="G386" s="242"/>
      <c r="L386" s="241"/>
    </row>
    <row r="387" spans="7:12" s="51" customFormat="1" ht="15" customHeight="1">
      <c r="G387" s="242"/>
      <c r="L387" s="241"/>
    </row>
    <row r="388" spans="7:12" s="51" customFormat="1" ht="15" customHeight="1">
      <c r="G388" s="242"/>
      <c r="L388" s="241"/>
    </row>
    <row r="389" spans="7:12" s="51" customFormat="1" ht="15" customHeight="1">
      <c r="G389" s="242"/>
      <c r="L389" s="241"/>
    </row>
    <row r="390" spans="7:12" s="51" customFormat="1" ht="15" customHeight="1">
      <c r="G390" s="242"/>
      <c r="L390" s="241"/>
    </row>
    <row r="391" spans="7:12" s="51" customFormat="1" ht="15" customHeight="1">
      <c r="G391" s="242"/>
      <c r="L391" s="241"/>
    </row>
    <row r="392" spans="7:12" s="51" customFormat="1" ht="15" customHeight="1">
      <c r="G392" s="242"/>
      <c r="L392" s="241"/>
    </row>
    <row r="393" spans="7:12" s="51" customFormat="1" ht="15" customHeight="1">
      <c r="G393" s="242"/>
      <c r="L393" s="241"/>
    </row>
    <row r="394" spans="7:12" s="51" customFormat="1" ht="15" customHeight="1">
      <c r="G394" s="242"/>
      <c r="L394" s="241"/>
    </row>
    <row r="395" spans="7:12" s="51" customFormat="1" ht="15" customHeight="1">
      <c r="G395" s="242"/>
      <c r="L395" s="241"/>
    </row>
    <row r="396" spans="7:12" s="51" customFormat="1" ht="15" customHeight="1">
      <c r="G396" s="242"/>
      <c r="L396" s="241"/>
    </row>
    <row r="397" spans="7:12" s="51" customFormat="1" ht="15" customHeight="1">
      <c r="G397" s="242"/>
      <c r="L397" s="241"/>
    </row>
    <row r="398" spans="7:12" s="51" customFormat="1" ht="15" customHeight="1">
      <c r="G398" s="242"/>
      <c r="L398" s="241"/>
    </row>
    <row r="399" spans="7:12" s="51" customFormat="1" ht="15" customHeight="1">
      <c r="G399" s="242"/>
      <c r="L399" s="241"/>
    </row>
    <row r="400" spans="7:12" s="51" customFormat="1" ht="15" customHeight="1">
      <c r="G400" s="242"/>
      <c r="L400" s="241"/>
    </row>
    <row r="401" spans="7:12" s="51" customFormat="1" ht="15" customHeight="1">
      <c r="G401" s="242"/>
      <c r="L401" s="241"/>
    </row>
    <row r="402" spans="7:12" s="51" customFormat="1" ht="15" customHeight="1">
      <c r="G402" s="242"/>
      <c r="L402" s="241"/>
    </row>
    <row r="403" spans="7:12" s="51" customFormat="1" ht="15" customHeight="1">
      <c r="G403" s="242"/>
      <c r="L403" s="241"/>
    </row>
    <row r="404" spans="7:12" s="51" customFormat="1" ht="15" customHeight="1">
      <c r="G404" s="242"/>
      <c r="L404" s="241"/>
    </row>
    <row r="405" spans="7:12" s="51" customFormat="1" ht="15" customHeight="1">
      <c r="G405" s="242"/>
      <c r="L405" s="241"/>
    </row>
    <row r="406" spans="7:12" s="51" customFormat="1" ht="15" customHeight="1">
      <c r="G406" s="242"/>
      <c r="L406" s="241"/>
    </row>
    <row r="407" spans="7:12" s="51" customFormat="1" ht="15" customHeight="1">
      <c r="G407" s="242"/>
      <c r="L407" s="241"/>
    </row>
    <row r="408" spans="7:12" s="51" customFormat="1" ht="15" customHeight="1">
      <c r="G408" s="242"/>
      <c r="L408" s="241"/>
    </row>
    <row r="409" spans="7:12" s="51" customFormat="1" ht="15" customHeight="1">
      <c r="G409" s="242"/>
      <c r="L409" s="241"/>
    </row>
    <row r="410" spans="7:12" s="51" customFormat="1" ht="15" customHeight="1">
      <c r="G410" s="242"/>
      <c r="L410" s="241"/>
    </row>
    <row r="411" spans="7:12" s="51" customFormat="1" ht="15" customHeight="1">
      <c r="G411" s="242"/>
      <c r="L411" s="241"/>
    </row>
    <row r="412" spans="7:12" s="51" customFormat="1" ht="15" customHeight="1">
      <c r="G412" s="242"/>
      <c r="L412" s="241"/>
    </row>
    <row r="413" spans="7:12" s="51" customFormat="1" ht="15" customHeight="1">
      <c r="G413" s="242"/>
      <c r="L413" s="241"/>
    </row>
    <row r="414" spans="7:12" s="51" customFormat="1" ht="15" customHeight="1">
      <c r="G414" s="242"/>
      <c r="L414" s="241"/>
    </row>
    <row r="415" spans="7:12" s="51" customFormat="1" ht="15" customHeight="1">
      <c r="G415" s="242"/>
      <c r="L415" s="241"/>
    </row>
    <row r="416" spans="7:12" s="51" customFormat="1" ht="15" customHeight="1">
      <c r="G416" s="242"/>
      <c r="L416" s="241"/>
    </row>
    <row r="417" spans="7:12" s="51" customFormat="1" ht="15" customHeight="1">
      <c r="G417" s="242"/>
      <c r="L417" s="241"/>
    </row>
    <row r="418" spans="7:12" s="51" customFormat="1" ht="15" customHeight="1">
      <c r="G418" s="242"/>
      <c r="L418" s="241"/>
    </row>
    <row r="419" spans="7:12" s="51" customFormat="1" ht="15" customHeight="1">
      <c r="G419" s="242"/>
      <c r="L419" s="241"/>
    </row>
    <row r="420" spans="7:12" s="51" customFormat="1" ht="15" customHeight="1">
      <c r="G420" s="242"/>
      <c r="L420" s="241"/>
    </row>
    <row r="421" spans="7:12" s="51" customFormat="1" ht="15" customHeight="1">
      <c r="G421" s="242"/>
      <c r="L421" s="241"/>
    </row>
    <row r="422" spans="7:12" s="51" customFormat="1" ht="15" customHeight="1">
      <c r="G422" s="242"/>
      <c r="L422" s="241"/>
    </row>
    <row r="423" spans="7:12" s="51" customFormat="1" ht="15" customHeight="1">
      <c r="G423" s="242"/>
      <c r="L423" s="241"/>
    </row>
    <row r="424" spans="7:12" s="51" customFormat="1" ht="15" customHeight="1">
      <c r="G424" s="242"/>
      <c r="L424" s="241"/>
    </row>
    <row r="425" spans="7:12" s="51" customFormat="1" ht="15" customHeight="1">
      <c r="G425" s="242"/>
      <c r="L425" s="241"/>
    </row>
    <row r="426" spans="7:12" s="51" customFormat="1" ht="15" customHeight="1">
      <c r="G426" s="242"/>
      <c r="L426" s="241"/>
    </row>
    <row r="427" spans="7:12" s="51" customFormat="1" ht="15" customHeight="1">
      <c r="G427" s="242"/>
      <c r="L427" s="241"/>
    </row>
    <row r="428" spans="7:12" s="51" customFormat="1" ht="15" customHeight="1">
      <c r="G428" s="242"/>
      <c r="L428" s="241"/>
    </row>
    <row r="429" spans="7:12" s="51" customFormat="1" ht="15" customHeight="1">
      <c r="G429" s="242"/>
      <c r="L429" s="241"/>
    </row>
    <row r="430" spans="7:12" s="51" customFormat="1" ht="15" customHeight="1">
      <c r="G430" s="242"/>
      <c r="L430" s="241"/>
    </row>
    <row r="431" spans="7:12" s="51" customFormat="1" ht="15" customHeight="1">
      <c r="G431" s="242"/>
      <c r="L431" s="241"/>
    </row>
    <row r="432" spans="7:12" s="51" customFormat="1" ht="15" customHeight="1">
      <c r="G432" s="242"/>
      <c r="L432" s="241"/>
    </row>
    <row r="433" spans="7:12" s="51" customFormat="1" ht="15" customHeight="1">
      <c r="G433" s="242"/>
      <c r="L433" s="241"/>
    </row>
    <row r="434" spans="7:12" s="51" customFormat="1" ht="15" customHeight="1">
      <c r="G434" s="242"/>
      <c r="L434" s="241"/>
    </row>
    <row r="435" spans="7:12" s="51" customFormat="1" ht="15" customHeight="1">
      <c r="G435" s="242"/>
      <c r="L435" s="241"/>
    </row>
    <row r="436" spans="7:12" s="51" customFormat="1" ht="15" customHeight="1">
      <c r="G436" s="242"/>
      <c r="L436" s="241"/>
    </row>
    <row r="437" spans="7:12" s="51" customFormat="1" ht="15" customHeight="1">
      <c r="G437" s="242"/>
      <c r="L437" s="241"/>
    </row>
    <row r="438" spans="7:12" s="51" customFormat="1" ht="15" customHeight="1">
      <c r="G438" s="242"/>
      <c r="L438" s="241"/>
    </row>
    <row r="439" spans="7:12" s="51" customFormat="1" ht="15" customHeight="1">
      <c r="G439" s="242"/>
      <c r="L439" s="241"/>
    </row>
    <row r="440" spans="7:12" s="51" customFormat="1" ht="15" customHeight="1">
      <c r="G440" s="242"/>
      <c r="L440" s="241"/>
    </row>
    <row r="441" spans="7:12" s="51" customFormat="1" ht="15" customHeight="1">
      <c r="G441" s="242"/>
      <c r="L441" s="241"/>
    </row>
    <row r="442" spans="7:12" s="51" customFormat="1" ht="15" customHeight="1">
      <c r="G442" s="242"/>
      <c r="L442" s="241"/>
    </row>
    <row r="443" spans="7:12" s="51" customFormat="1" ht="15" customHeight="1">
      <c r="G443" s="242"/>
      <c r="L443" s="241"/>
    </row>
    <row r="444" spans="7:12" s="51" customFormat="1" ht="15" customHeight="1">
      <c r="G444" s="242"/>
      <c r="L444" s="241"/>
    </row>
    <row r="445" spans="7:12" s="51" customFormat="1" ht="15" customHeight="1">
      <c r="G445" s="242"/>
      <c r="L445" s="241"/>
    </row>
    <row r="446" spans="7:12" s="51" customFormat="1" ht="15" customHeight="1">
      <c r="G446" s="242"/>
      <c r="L446" s="241"/>
    </row>
    <row r="447" spans="7:12" s="51" customFormat="1" ht="15" customHeight="1">
      <c r="G447" s="242"/>
      <c r="L447" s="241"/>
    </row>
    <row r="448" spans="7:12" s="51" customFormat="1" ht="15" customHeight="1">
      <c r="G448" s="242"/>
      <c r="L448" s="241"/>
    </row>
    <row r="449" spans="7:12" s="51" customFormat="1" ht="15" customHeight="1">
      <c r="G449" s="242"/>
      <c r="L449" s="241"/>
    </row>
    <row r="450" spans="7:12" s="51" customFormat="1" ht="15" customHeight="1">
      <c r="G450" s="242"/>
      <c r="L450" s="241"/>
    </row>
    <row r="451" spans="7:12" s="51" customFormat="1" ht="15" customHeight="1">
      <c r="G451" s="242"/>
      <c r="L451" s="241"/>
    </row>
    <row r="452" spans="7:12" s="51" customFormat="1" ht="15" customHeight="1">
      <c r="G452" s="242"/>
      <c r="L452" s="241"/>
    </row>
    <row r="453" spans="7:12" s="51" customFormat="1" ht="15" customHeight="1">
      <c r="G453" s="242"/>
      <c r="L453" s="241"/>
    </row>
    <row r="454" spans="7:12" s="51" customFormat="1" ht="15" customHeight="1">
      <c r="G454" s="242"/>
      <c r="L454" s="241"/>
    </row>
    <row r="455" spans="7:12" s="51" customFormat="1" ht="15" customHeight="1">
      <c r="G455" s="242"/>
      <c r="L455" s="241"/>
    </row>
    <row r="456" spans="7:12" s="51" customFormat="1" ht="15" customHeight="1">
      <c r="G456" s="242"/>
      <c r="L456" s="241"/>
    </row>
    <row r="457" spans="7:12" s="51" customFormat="1" ht="15" customHeight="1">
      <c r="G457" s="242"/>
      <c r="L457" s="241"/>
    </row>
    <row r="458" spans="7:12" s="51" customFormat="1" ht="15" customHeight="1">
      <c r="G458" s="242"/>
      <c r="L458" s="241"/>
    </row>
    <row r="459" spans="7:12" s="51" customFormat="1" ht="15" customHeight="1">
      <c r="G459" s="242"/>
      <c r="L459" s="241"/>
    </row>
    <row r="460" spans="7:12" s="51" customFormat="1" ht="15" customHeight="1">
      <c r="G460" s="242"/>
      <c r="L460" s="241"/>
    </row>
    <row r="461" spans="7:12" s="51" customFormat="1" ht="15" customHeight="1">
      <c r="G461" s="242"/>
      <c r="L461" s="241"/>
    </row>
    <row r="462" spans="7:12" s="51" customFormat="1" ht="15" customHeight="1">
      <c r="G462" s="242"/>
      <c r="L462" s="241"/>
    </row>
    <row r="463" spans="7:12" s="51" customFormat="1" ht="15" customHeight="1">
      <c r="G463" s="242"/>
      <c r="L463" s="241"/>
    </row>
    <row r="464" spans="7:12" s="51" customFormat="1" ht="15" customHeight="1">
      <c r="G464" s="242"/>
      <c r="L464" s="241"/>
    </row>
    <row r="465" spans="7:12" s="51" customFormat="1" ht="15" customHeight="1">
      <c r="G465" s="242"/>
      <c r="L465" s="241"/>
    </row>
    <row r="466" spans="7:12" s="51" customFormat="1" ht="15" customHeight="1">
      <c r="G466" s="242"/>
      <c r="L466" s="241"/>
    </row>
    <row r="467" spans="7:12" s="51" customFormat="1" ht="15" customHeight="1">
      <c r="G467" s="242"/>
      <c r="L467" s="241"/>
    </row>
    <row r="468" spans="7:12" s="51" customFormat="1" ht="15" customHeight="1">
      <c r="G468" s="242"/>
      <c r="L468" s="241"/>
    </row>
    <row r="469" spans="7:12" s="51" customFormat="1" ht="15" customHeight="1">
      <c r="G469" s="242"/>
      <c r="L469" s="241"/>
    </row>
    <row r="470" spans="7:12" s="51" customFormat="1" ht="15" customHeight="1">
      <c r="G470" s="242"/>
      <c r="L470" s="241"/>
    </row>
    <row r="471" spans="7:12" s="51" customFormat="1" ht="15" customHeight="1">
      <c r="G471" s="242"/>
      <c r="L471" s="241"/>
    </row>
    <row r="472" spans="7:12" s="51" customFormat="1" ht="15" customHeight="1">
      <c r="G472" s="242"/>
      <c r="L472" s="241"/>
    </row>
    <row r="473" spans="7:12" s="51" customFormat="1" ht="15" customHeight="1">
      <c r="G473" s="242"/>
      <c r="L473" s="241"/>
    </row>
    <row r="474" spans="7:12" s="51" customFormat="1" ht="15" customHeight="1">
      <c r="G474" s="242"/>
      <c r="L474" s="241"/>
    </row>
    <row r="475" spans="7:12" s="51" customFormat="1" ht="15" customHeight="1">
      <c r="G475" s="242"/>
      <c r="L475" s="241"/>
    </row>
    <row r="476" spans="7:12" s="51" customFormat="1" ht="15" customHeight="1">
      <c r="G476" s="242"/>
      <c r="L476" s="241"/>
    </row>
    <row r="477" spans="7:12" s="51" customFormat="1" ht="15" customHeight="1">
      <c r="G477" s="242"/>
      <c r="L477" s="241"/>
    </row>
    <row r="478" spans="7:12" s="51" customFormat="1" ht="15" customHeight="1">
      <c r="G478" s="242"/>
      <c r="L478" s="241"/>
    </row>
    <row r="479" spans="7:12" s="51" customFormat="1" ht="15" customHeight="1">
      <c r="G479" s="242"/>
      <c r="L479" s="241"/>
    </row>
    <row r="480" spans="7:12" s="51" customFormat="1" ht="15" customHeight="1">
      <c r="G480" s="242"/>
      <c r="L480" s="241"/>
    </row>
    <row r="481" spans="7:12" s="51" customFormat="1" ht="15" customHeight="1">
      <c r="G481" s="242"/>
      <c r="L481" s="241"/>
    </row>
    <row r="482" spans="7:12" s="51" customFormat="1" ht="15" customHeight="1">
      <c r="G482" s="242"/>
      <c r="L482" s="241"/>
    </row>
    <row r="483" spans="7:12" s="51" customFormat="1" ht="15" customHeight="1">
      <c r="G483" s="242"/>
      <c r="L483" s="241"/>
    </row>
    <row r="484" spans="7:12" s="51" customFormat="1" ht="15" customHeight="1">
      <c r="G484" s="242"/>
      <c r="L484" s="241"/>
    </row>
    <row r="485" spans="7:12" s="51" customFormat="1" ht="15" customHeight="1">
      <c r="G485" s="242"/>
      <c r="L485" s="241"/>
    </row>
    <row r="486" spans="7:12" s="51" customFormat="1" ht="15" customHeight="1">
      <c r="G486" s="242"/>
      <c r="L486" s="241"/>
    </row>
    <row r="487" spans="7:12" s="51" customFormat="1" ht="15" customHeight="1">
      <c r="G487" s="242"/>
      <c r="L487" s="241"/>
    </row>
    <row r="488" spans="7:12" s="51" customFormat="1" ht="15" customHeight="1">
      <c r="G488" s="242"/>
      <c r="L488" s="241"/>
    </row>
    <row r="489" spans="7:12" s="51" customFormat="1" ht="15" customHeight="1">
      <c r="G489" s="242"/>
      <c r="L489" s="241"/>
    </row>
    <row r="490" spans="7:12" s="51" customFormat="1" ht="15" customHeight="1">
      <c r="G490" s="242"/>
      <c r="L490" s="241"/>
    </row>
    <row r="491" spans="7:12" s="51" customFormat="1" ht="15" customHeight="1">
      <c r="G491" s="242"/>
      <c r="L491" s="241"/>
    </row>
    <row r="492" spans="7:12" s="51" customFormat="1" ht="15" customHeight="1">
      <c r="G492" s="242"/>
      <c r="L492" s="241"/>
    </row>
    <row r="493" spans="7:12" s="51" customFormat="1" ht="15" customHeight="1">
      <c r="G493" s="242"/>
      <c r="L493" s="241"/>
    </row>
    <row r="494" spans="7:12" s="51" customFormat="1" ht="15" customHeight="1">
      <c r="G494" s="242"/>
      <c r="L494" s="241"/>
    </row>
    <row r="495" spans="7:12" s="51" customFormat="1" ht="15" customHeight="1">
      <c r="G495" s="242"/>
      <c r="L495" s="241"/>
    </row>
    <row r="496" spans="7:12" s="51" customFormat="1" ht="15" customHeight="1">
      <c r="G496" s="242"/>
      <c r="L496" s="241"/>
    </row>
    <row r="497" spans="7:12" s="51" customFormat="1" ht="15" customHeight="1">
      <c r="G497" s="242"/>
      <c r="L497" s="241"/>
    </row>
    <row r="498" spans="7:12" s="51" customFormat="1" ht="15" customHeight="1">
      <c r="G498" s="242"/>
      <c r="L498" s="241"/>
    </row>
    <row r="499" spans="7:12" s="51" customFormat="1" ht="15" customHeight="1">
      <c r="G499" s="242"/>
      <c r="L499" s="241"/>
    </row>
    <row r="500" spans="7:12" s="51" customFormat="1" ht="15" customHeight="1">
      <c r="G500" s="242"/>
      <c r="L500" s="241"/>
    </row>
    <row r="501" spans="7:12" s="51" customFormat="1" ht="15" customHeight="1">
      <c r="G501" s="242"/>
      <c r="L501" s="241"/>
    </row>
    <row r="502" spans="7:12" s="51" customFormat="1" ht="15" customHeight="1">
      <c r="G502" s="242"/>
      <c r="L502" s="241"/>
    </row>
    <row r="503" spans="7:12" s="51" customFormat="1" ht="15" customHeight="1">
      <c r="G503" s="242"/>
      <c r="L503" s="241"/>
    </row>
    <row r="504" spans="7:12" s="51" customFormat="1" ht="15" customHeight="1">
      <c r="G504" s="242"/>
      <c r="L504" s="241"/>
    </row>
    <row r="505" spans="7:12" s="51" customFormat="1" ht="15" customHeight="1">
      <c r="G505" s="242"/>
      <c r="L505" s="241"/>
    </row>
    <row r="506" spans="7:12" s="51" customFormat="1" ht="15" customHeight="1">
      <c r="G506" s="242"/>
      <c r="L506" s="241"/>
    </row>
    <row r="507" spans="7:12" s="51" customFormat="1" ht="15" customHeight="1">
      <c r="G507" s="242"/>
      <c r="L507" s="241"/>
    </row>
    <row r="508" spans="7:12" s="51" customFormat="1" ht="15" customHeight="1">
      <c r="G508" s="242"/>
      <c r="L508" s="241"/>
    </row>
    <row r="509" spans="7:12" s="51" customFormat="1" ht="15" customHeight="1">
      <c r="G509" s="242"/>
      <c r="L509" s="241"/>
    </row>
    <row r="510" spans="7:12" s="51" customFormat="1" ht="15" customHeight="1">
      <c r="G510" s="242"/>
      <c r="L510" s="241"/>
    </row>
    <row r="511" spans="7:12" s="51" customFormat="1" ht="15" customHeight="1">
      <c r="G511" s="242"/>
      <c r="L511" s="241"/>
    </row>
    <row r="512" spans="7:12" s="51" customFormat="1" ht="15" customHeight="1">
      <c r="G512" s="242"/>
      <c r="L512" s="241"/>
    </row>
    <row r="513" spans="7:12" s="51" customFormat="1" ht="15" customHeight="1">
      <c r="G513" s="242"/>
      <c r="L513" s="241"/>
    </row>
    <row r="514" spans="7:12" s="51" customFormat="1" ht="15" customHeight="1">
      <c r="G514" s="242"/>
      <c r="L514" s="241"/>
    </row>
    <row r="515" spans="7:12" s="51" customFormat="1" ht="15" customHeight="1">
      <c r="G515" s="242"/>
      <c r="L515" s="241"/>
    </row>
    <row r="516" spans="7:12" s="51" customFormat="1" ht="15" customHeight="1">
      <c r="G516" s="242"/>
      <c r="L516" s="241"/>
    </row>
    <row r="517" spans="7:12" s="51" customFormat="1" ht="15" customHeight="1">
      <c r="G517" s="242"/>
      <c r="L517" s="241"/>
    </row>
    <row r="518" spans="7:12" s="51" customFormat="1" ht="15" customHeight="1">
      <c r="G518" s="242"/>
      <c r="L518" s="241"/>
    </row>
    <row r="519" spans="7:12" s="51" customFormat="1" ht="15" customHeight="1">
      <c r="G519" s="242"/>
      <c r="L519" s="241"/>
    </row>
    <row r="520" spans="7:12" s="51" customFormat="1" ht="15" customHeight="1">
      <c r="G520" s="242"/>
      <c r="L520" s="241"/>
    </row>
    <row r="521" spans="7:12" s="51" customFormat="1" ht="15" customHeight="1">
      <c r="G521" s="242"/>
      <c r="L521" s="241"/>
    </row>
    <row r="522" spans="7:12" s="51" customFormat="1" ht="15" customHeight="1">
      <c r="G522" s="242"/>
      <c r="L522" s="241"/>
    </row>
    <row r="523" spans="7:12" s="51" customFormat="1" ht="15" customHeight="1">
      <c r="G523" s="242"/>
      <c r="L523" s="241"/>
    </row>
    <row r="524" spans="7:12" s="51" customFormat="1" ht="15" customHeight="1">
      <c r="G524" s="242"/>
      <c r="L524" s="241"/>
    </row>
    <row r="525" spans="7:12" s="51" customFormat="1" ht="15" customHeight="1">
      <c r="G525" s="242"/>
      <c r="L525" s="241"/>
    </row>
    <row r="526" spans="7:12" s="51" customFormat="1" ht="15" customHeight="1">
      <c r="G526" s="242"/>
      <c r="L526" s="241"/>
    </row>
    <row r="527" spans="7:12" s="51" customFormat="1" ht="15" customHeight="1">
      <c r="G527" s="242"/>
      <c r="L527" s="241"/>
    </row>
    <row r="528" spans="7:12" s="51" customFormat="1" ht="15" customHeight="1">
      <c r="G528" s="242"/>
      <c r="L528" s="241"/>
    </row>
    <row r="529" spans="7:12" s="51" customFormat="1" ht="15" customHeight="1">
      <c r="G529" s="242"/>
      <c r="L529" s="241"/>
    </row>
    <row r="530" spans="7:12" s="51" customFormat="1" ht="15" customHeight="1">
      <c r="G530" s="242"/>
      <c r="L530" s="241"/>
    </row>
    <row r="531" spans="7:12" s="51" customFormat="1" ht="15" customHeight="1">
      <c r="G531" s="242"/>
      <c r="L531" s="241"/>
    </row>
    <row r="532" spans="7:12" s="51" customFormat="1" ht="15" customHeight="1">
      <c r="G532" s="242"/>
      <c r="L532" s="241"/>
    </row>
    <row r="533" spans="7:12" s="51" customFormat="1" ht="15" customHeight="1">
      <c r="G533" s="242"/>
      <c r="L533" s="241"/>
    </row>
    <row r="534" spans="7:12" s="51" customFormat="1" ht="15" customHeight="1">
      <c r="G534" s="242"/>
      <c r="L534" s="241"/>
    </row>
    <row r="535" spans="7:12" s="51" customFormat="1" ht="15" customHeight="1">
      <c r="G535" s="242"/>
      <c r="L535" s="241"/>
    </row>
    <row r="536" spans="7:12" s="51" customFormat="1" ht="15" customHeight="1">
      <c r="G536" s="242"/>
      <c r="L536" s="241"/>
    </row>
    <row r="537" spans="7:12" s="51" customFormat="1" ht="15" customHeight="1">
      <c r="G537" s="242"/>
      <c r="L537" s="241"/>
    </row>
    <row r="538" spans="7:12" s="51" customFormat="1" ht="15" customHeight="1">
      <c r="G538" s="242"/>
      <c r="L538" s="241"/>
    </row>
    <row r="539" spans="7:12" s="51" customFormat="1" ht="15" customHeight="1">
      <c r="G539" s="242"/>
      <c r="L539" s="241"/>
    </row>
    <row r="540" spans="7:12" s="51" customFormat="1" ht="15" customHeight="1">
      <c r="G540" s="242"/>
      <c r="L540" s="241"/>
    </row>
    <row r="541" spans="7:12" s="51" customFormat="1" ht="15" customHeight="1">
      <c r="G541" s="242"/>
      <c r="L541" s="241"/>
    </row>
    <row r="542" spans="7:12" s="51" customFormat="1" ht="15" customHeight="1">
      <c r="G542" s="242"/>
      <c r="L542" s="241"/>
    </row>
    <row r="543" spans="7:12" s="51" customFormat="1" ht="15" customHeight="1">
      <c r="G543" s="242"/>
      <c r="L543" s="241"/>
    </row>
    <row r="544" spans="7:12" s="51" customFormat="1" ht="15" customHeight="1">
      <c r="G544" s="242"/>
      <c r="L544" s="241"/>
    </row>
    <row r="545" spans="7:12" s="51" customFormat="1" ht="15" customHeight="1">
      <c r="G545" s="242"/>
      <c r="L545" s="241"/>
    </row>
    <row r="546" spans="7:12" s="51" customFormat="1" ht="15" customHeight="1">
      <c r="G546" s="242"/>
      <c r="L546" s="241"/>
    </row>
    <row r="547" spans="7:12" s="51" customFormat="1" ht="15" customHeight="1">
      <c r="G547" s="242"/>
      <c r="L547" s="241"/>
    </row>
    <row r="548" spans="7:12" s="51" customFormat="1" ht="15" customHeight="1">
      <c r="G548" s="242"/>
      <c r="L548" s="241"/>
    </row>
    <row r="549" spans="7:12" s="51" customFormat="1" ht="15" customHeight="1">
      <c r="G549" s="242"/>
      <c r="L549" s="241"/>
    </row>
    <row r="550" spans="7:12" s="51" customFormat="1" ht="15" customHeight="1">
      <c r="G550" s="242"/>
      <c r="L550" s="241"/>
    </row>
    <row r="551" spans="7:12" s="51" customFormat="1" ht="15" customHeight="1">
      <c r="G551" s="242"/>
      <c r="L551" s="241"/>
    </row>
    <row r="552" spans="7:12" s="51" customFormat="1" ht="15" customHeight="1">
      <c r="G552" s="242"/>
      <c r="L552" s="241"/>
    </row>
    <row r="553" spans="7:12" s="51" customFormat="1" ht="15" customHeight="1">
      <c r="G553" s="242"/>
      <c r="L553" s="241"/>
    </row>
    <row r="554" spans="7:12" s="51" customFormat="1" ht="15" customHeight="1">
      <c r="G554" s="242"/>
      <c r="L554" s="241"/>
    </row>
    <row r="555" spans="7:12" s="51" customFormat="1" ht="15" customHeight="1">
      <c r="G555" s="242"/>
      <c r="L555" s="241"/>
    </row>
    <row r="556" spans="7:12" s="51" customFormat="1" ht="15" customHeight="1">
      <c r="G556" s="242"/>
      <c r="L556" s="241"/>
    </row>
    <row r="557" spans="7:12" s="51" customFormat="1" ht="15" customHeight="1">
      <c r="G557" s="242"/>
      <c r="L557" s="241"/>
    </row>
    <row r="558" spans="7:12" s="51" customFormat="1" ht="15" customHeight="1">
      <c r="G558" s="242"/>
      <c r="L558" s="241"/>
    </row>
    <row r="559" spans="7:12" s="51" customFormat="1" ht="15" customHeight="1">
      <c r="G559" s="242"/>
      <c r="L559" s="241"/>
    </row>
    <row r="560" spans="7:12" s="51" customFormat="1" ht="15" customHeight="1">
      <c r="G560" s="242"/>
      <c r="L560" s="241"/>
    </row>
    <row r="561" spans="7:12" s="51" customFormat="1" ht="15" customHeight="1">
      <c r="G561" s="242"/>
      <c r="L561" s="241"/>
    </row>
    <row r="562" spans="7:12" s="51" customFormat="1" ht="15" customHeight="1">
      <c r="G562" s="242"/>
      <c r="L562" s="241"/>
    </row>
    <row r="563" spans="7:12" s="51" customFormat="1" ht="15" customHeight="1">
      <c r="G563" s="242"/>
      <c r="L563" s="241"/>
    </row>
    <row r="564" spans="7:12" s="51" customFormat="1" ht="15" customHeight="1">
      <c r="G564" s="242"/>
      <c r="L564" s="241"/>
    </row>
    <row r="565" spans="7:12" s="51" customFormat="1" ht="15" customHeight="1">
      <c r="G565" s="242"/>
      <c r="L565" s="241"/>
    </row>
    <row r="566" spans="7:12" s="51" customFormat="1" ht="15" customHeight="1">
      <c r="G566" s="242"/>
      <c r="L566" s="241"/>
    </row>
    <row r="567" spans="7:12" s="51" customFormat="1" ht="15" customHeight="1">
      <c r="G567" s="242"/>
      <c r="L567" s="241"/>
    </row>
    <row r="568" spans="7:12" s="51" customFormat="1" ht="15" customHeight="1">
      <c r="G568" s="242"/>
      <c r="L568" s="241"/>
    </row>
    <row r="569" spans="7:12" s="51" customFormat="1" ht="15" customHeight="1">
      <c r="G569" s="242"/>
      <c r="L569" s="241"/>
    </row>
    <row r="570" spans="7:12" s="51" customFormat="1" ht="15" customHeight="1">
      <c r="G570" s="242"/>
      <c r="L570" s="241"/>
    </row>
    <row r="571" spans="7:12" s="51" customFormat="1" ht="15" customHeight="1">
      <c r="G571" s="242"/>
      <c r="L571" s="241"/>
    </row>
    <row r="572" spans="7:12" s="51" customFormat="1" ht="15" customHeight="1">
      <c r="G572" s="242"/>
      <c r="L572" s="241"/>
    </row>
    <row r="573" spans="7:12" s="51" customFormat="1" ht="15" customHeight="1">
      <c r="G573" s="242"/>
      <c r="L573" s="241"/>
    </row>
    <row r="574" spans="7:12" s="51" customFormat="1" ht="15" customHeight="1">
      <c r="G574" s="242"/>
      <c r="L574" s="241"/>
    </row>
    <row r="575" spans="7:12" s="51" customFormat="1" ht="15" customHeight="1">
      <c r="G575" s="242"/>
      <c r="L575" s="241"/>
    </row>
    <row r="576" spans="7:12" s="51" customFormat="1" ht="15" customHeight="1">
      <c r="G576" s="242"/>
      <c r="L576" s="241"/>
    </row>
    <row r="577" spans="7:12" s="51" customFormat="1" ht="15" customHeight="1">
      <c r="G577" s="242"/>
      <c r="L577" s="241"/>
    </row>
    <row r="578" spans="7:12" s="51" customFormat="1" ht="15" customHeight="1">
      <c r="G578" s="242"/>
      <c r="L578" s="241"/>
    </row>
    <row r="579" spans="7:12" s="51" customFormat="1" ht="15" customHeight="1">
      <c r="G579" s="242"/>
      <c r="L579" s="241"/>
    </row>
    <row r="580" spans="7:12" s="51" customFormat="1" ht="15" customHeight="1">
      <c r="G580" s="242"/>
      <c r="L580" s="241"/>
    </row>
    <row r="581" spans="7:12" s="51" customFormat="1" ht="15" customHeight="1">
      <c r="G581" s="242"/>
      <c r="L581" s="241"/>
    </row>
    <row r="582" spans="7:12" s="51" customFormat="1" ht="15" customHeight="1">
      <c r="G582" s="242"/>
      <c r="L582" s="241"/>
    </row>
    <row r="583" spans="7:12" s="51" customFormat="1" ht="15" customHeight="1">
      <c r="G583" s="242"/>
      <c r="L583" s="241"/>
    </row>
    <row r="584" spans="7:12" s="51" customFormat="1" ht="15" customHeight="1">
      <c r="G584" s="242"/>
      <c r="L584" s="241"/>
    </row>
    <row r="585" spans="7:12" s="51" customFormat="1" ht="15" customHeight="1">
      <c r="G585" s="242"/>
      <c r="L585" s="241"/>
    </row>
    <row r="586" spans="7:12" s="51" customFormat="1" ht="15" customHeight="1">
      <c r="G586" s="242"/>
      <c r="L586" s="241"/>
    </row>
    <row r="587" spans="7:12" s="51" customFormat="1" ht="15" customHeight="1">
      <c r="G587" s="242"/>
      <c r="L587" s="241"/>
    </row>
    <row r="588" spans="7:12" s="51" customFormat="1" ht="15" customHeight="1">
      <c r="G588" s="242"/>
      <c r="L588" s="241"/>
    </row>
    <row r="589" spans="7:12" s="51" customFormat="1" ht="15" customHeight="1">
      <c r="G589" s="242"/>
      <c r="L589" s="241"/>
    </row>
    <row r="590" spans="7:12" s="51" customFormat="1" ht="15" customHeight="1">
      <c r="G590" s="242"/>
      <c r="L590" s="241"/>
    </row>
    <row r="591" spans="7:12" s="51" customFormat="1" ht="15" customHeight="1">
      <c r="G591" s="242"/>
      <c r="L591" s="241"/>
    </row>
    <row r="592" spans="7:12" s="51" customFormat="1" ht="15" customHeight="1">
      <c r="G592" s="242"/>
      <c r="L592" s="241"/>
    </row>
    <row r="593" spans="7:12" s="51" customFormat="1" ht="15" customHeight="1">
      <c r="G593" s="242"/>
      <c r="L593" s="241"/>
    </row>
    <row r="594" spans="7:12" s="51" customFormat="1" ht="15" customHeight="1">
      <c r="G594" s="242"/>
      <c r="L594" s="241"/>
    </row>
    <row r="595" spans="7:12" s="51" customFormat="1" ht="15" customHeight="1">
      <c r="G595" s="242"/>
      <c r="L595" s="241"/>
    </row>
    <row r="596" spans="7:12" s="51" customFormat="1" ht="15" customHeight="1">
      <c r="G596" s="242"/>
      <c r="L596" s="241"/>
    </row>
    <row r="597" spans="7:12" s="51" customFormat="1" ht="15" customHeight="1">
      <c r="G597" s="242"/>
      <c r="L597" s="241"/>
    </row>
    <row r="598" spans="7:12" s="51" customFormat="1" ht="15" customHeight="1">
      <c r="G598" s="242"/>
      <c r="L598" s="241"/>
    </row>
    <row r="599" spans="7:12" s="51" customFormat="1" ht="15" customHeight="1">
      <c r="G599" s="242"/>
      <c r="L599" s="241"/>
    </row>
    <row r="600" spans="7:12" s="51" customFormat="1" ht="15" customHeight="1">
      <c r="G600" s="242"/>
      <c r="L600" s="241"/>
    </row>
    <row r="601" spans="7:12" s="51" customFormat="1" ht="15" customHeight="1">
      <c r="G601" s="242"/>
      <c r="L601" s="241"/>
    </row>
    <row r="602" spans="7:12" s="51" customFormat="1" ht="15" customHeight="1">
      <c r="G602" s="242"/>
      <c r="L602" s="241"/>
    </row>
    <row r="603" spans="7:12" s="51" customFormat="1" ht="15" customHeight="1">
      <c r="G603" s="242"/>
      <c r="L603" s="241"/>
    </row>
    <row r="604" spans="7:12" s="51" customFormat="1" ht="15" customHeight="1">
      <c r="G604" s="242"/>
      <c r="L604" s="241"/>
    </row>
    <row r="605" spans="7:12" s="51" customFormat="1" ht="15" customHeight="1">
      <c r="G605" s="242"/>
      <c r="L605" s="241"/>
    </row>
    <row r="606" spans="7:12" s="51" customFormat="1" ht="15" customHeight="1">
      <c r="G606" s="242"/>
      <c r="L606" s="241"/>
    </row>
    <row r="607" spans="7:12" s="51" customFormat="1" ht="15" customHeight="1">
      <c r="G607" s="242"/>
      <c r="L607" s="241"/>
    </row>
    <row r="608" spans="7:12" s="51" customFormat="1" ht="15" customHeight="1">
      <c r="G608" s="242"/>
      <c r="L608" s="241"/>
    </row>
    <row r="609" spans="7:12" s="51" customFormat="1" ht="15" customHeight="1">
      <c r="G609" s="242"/>
      <c r="L609" s="241"/>
    </row>
    <row r="610" spans="7:12" s="51" customFormat="1" ht="15" customHeight="1">
      <c r="G610" s="242"/>
      <c r="L610" s="241"/>
    </row>
    <row r="611" spans="7:12" s="51" customFormat="1" ht="15" customHeight="1">
      <c r="G611" s="242"/>
      <c r="L611" s="241"/>
    </row>
    <row r="612" spans="7:12" s="51" customFormat="1" ht="15" customHeight="1">
      <c r="G612" s="242"/>
      <c r="L612" s="241"/>
    </row>
    <row r="613" spans="7:12" s="51" customFormat="1" ht="15" customHeight="1">
      <c r="G613" s="242"/>
      <c r="L613" s="241"/>
    </row>
    <row r="614" spans="7:12" s="51" customFormat="1" ht="15" customHeight="1">
      <c r="G614" s="242"/>
      <c r="L614" s="241"/>
    </row>
    <row r="615" spans="7:12" s="51" customFormat="1" ht="15" customHeight="1">
      <c r="G615" s="242"/>
      <c r="L615" s="241"/>
    </row>
    <row r="616" spans="7:12" s="51" customFormat="1" ht="15" customHeight="1">
      <c r="G616" s="242"/>
      <c r="L616" s="241"/>
    </row>
    <row r="617" spans="7:12" s="51" customFormat="1" ht="15" customHeight="1">
      <c r="G617" s="242"/>
      <c r="L617" s="241"/>
    </row>
    <row r="618" spans="7:12" s="51" customFormat="1" ht="15" customHeight="1">
      <c r="G618" s="242"/>
      <c r="L618" s="241"/>
    </row>
    <row r="619" spans="7:12" s="51" customFormat="1" ht="15" customHeight="1">
      <c r="G619" s="242"/>
      <c r="L619" s="241"/>
    </row>
    <row r="620" spans="7:12" s="51" customFormat="1" ht="15" customHeight="1">
      <c r="G620" s="242"/>
      <c r="L620" s="241"/>
    </row>
    <row r="621" spans="7:12" s="51" customFormat="1" ht="15" customHeight="1">
      <c r="G621" s="242"/>
      <c r="L621" s="241"/>
    </row>
    <row r="622" spans="7:12" s="51" customFormat="1" ht="15" customHeight="1">
      <c r="G622" s="242"/>
      <c r="L622" s="241"/>
    </row>
    <row r="623" spans="7:12" s="51" customFormat="1" ht="15" customHeight="1">
      <c r="G623" s="242"/>
      <c r="L623" s="241"/>
    </row>
  </sheetData>
  <mergeCells count="5">
    <mergeCell ref="D4:E4"/>
    <mergeCell ref="D29:E29"/>
    <mergeCell ref="D14:E14"/>
    <mergeCell ref="D5:E6"/>
    <mergeCell ref="L15:M15"/>
  </mergeCells>
  <phoneticPr fontId="28" type="noConversion"/>
  <conditionalFormatting sqref="D11">
    <cfRule type="cellIs" dxfId="15" priority="16" operator="lessThan">
      <formula>0</formula>
    </cfRule>
    <cfRule type="cellIs" dxfId="14" priority="17" operator="greaterThan">
      <formula>0</formula>
    </cfRule>
  </conditionalFormatting>
  <conditionalFormatting sqref="E26">
    <cfRule type="cellIs" dxfId="13" priority="7" operator="lessThan">
      <formula>0</formula>
    </cfRule>
    <cfRule type="cellIs" dxfId="12" priority="8" operator="greaterThan">
      <formula>0</formula>
    </cfRule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AA24-C06B-4D66-87D8-1D6E519B6DBA}">
  <sheetPr>
    <tabColor rgb="FFFF0000"/>
  </sheetPr>
  <dimension ref="A1:AB1292"/>
  <sheetViews>
    <sheetView workbookViewId="0">
      <selection activeCell="D1" sqref="D1"/>
    </sheetView>
  </sheetViews>
  <sheetFormatPr baseColWidth="10" defaultColWidth="8.69921875" defaultRowHeight="13.8"/>
  <cols>
    <col min="1" max="2" width="15" customWidth="1"/>
    <col min="3" max="3" width="19" style="93" customWidth="1"/>
    <col min="4" max="4" width="25" customWidth="1"/>
    <col min="5" max="6" width="35" customWidth="1"/>
    <col min="7" max="7" width="21" customWidth="1"/>
    <col min="8" max="9" width="37" customWidth="1"/>
    <col min="10" max="15" width="17" customWidth="1"/>
    <col min="16" max="20" width="20" customWidth="1"/>
    <col min="24" max="24" width="25" customWidth="1"/>
  </cols>
  <sheetData>
    <row r="1" spans="1:26">
      <c r="A1" s="1" t="s">
        <v>6</v>
      </c>
      <c r="B1" s="1" t="s">
        <v>7</v>
      </c>
      <c r="C1" s="115" t="s">
        <v>112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</row>
    <row r="2" spans="1:26">
      <c r="A2" s="331">
        <v>24079</v>
      </c>
      <c r="B2" s="331">
        <v>6805</v>
      </c>
      <c r="C2" s="305">
        <v>46073</v>
      </c>
      <c r="D2" s="1" t="s">
        <v>2891</v>
      </c>
      <c r="E2" s="1" t="s">
        <v>2892</v>
      </c>
      <c r="F2" s="1" t="s">
        <v>122</v>
      </c>
      <c r="G2" s="1" t="s">
        <v>385</v>
      </c>
      <c r="H2" s="1" t="s">
        <v>386</v>
      </c>
      <c r="I2" s="1" t="s">
        <v>199</v>
      </c>
      <c r="J2" s="1" t="s">
        <v>200</v>
      </c>
      <c r="K2" s="1" t="s">
        <v>201</v>
      </c>
      <c r="L2" s="2">
        <v>130000</v>
      </c>
      <c r="M2" s="2">
        <v>22100</v>
      </c>
      <c r="N2" s="2">
        <v>0</v>
      </c>
      <c r="O2" s="2">
        <v>0</v>
      </c>
      <c r="P2" s="2">
        <v>0</v>
      </c>
      <c r="Q2" s="2">
        <v>0</v>
      </c>
      <c r="R2" s="2">
        <v>107900</v>
      </c>
      <c r="S2" s="2">
        <v>107900</v>
      </c>
      <c r="T2" s="3">
        <v>0.83</v>
      </c>
      <c r="U2" s="1" t="s">
        <v>202</v>
      </c>
      <c r="V2" s="1"/>
      <c r="W2" s="1" t="s">
        <v>63</v>
      </c>
      <c r="X2" s="1" t="s">
        <v>225</v>
      </c>
      <c r="Y2" s="1">
        <v>33</v>
      </c>
      <c r="Z2" s="1"/>
    </row>
    <row r="3" spans="1:26">
      <c r="A3" s="331">
        <v>28314</v>
      </c>
      <c r="B3" s="331">
        <v>13524</v>
      </c>
      <c r="C3" s="305">
        <v>46074</v>
      </c>
      <c r="D3" s="1" t="s">
        <v>2893</v>
      </c>
      <c r="E3" s="1" t="s">
        <v>2894</v>
      </c>
      <c r="F3" s="1" t="s">
        <v>3</v>
      </c>
      <c r="G3" s="1">
        <v>890242</v>
      </c>
      <c r="H3" s="1" t="s">
        <v>331</v>
      </c>
      <c r="I3" s="1" t="s">
        <v>332</v>
      </c>
      <c r="J3" s="1" t="s">
        <v>223</v>
      </c>
      <c r="K3" s="1"/>
      <c r="L3" s="2">
        <v>230000</v>
      </c>
      <c r="M3" s="2">
        <v>115000</v>
      </c>
      <c r="N3" s="2">
        <v>0</v>
      </c>
      <c r="O3" s="2">
        <v>0</v>
      </c>
      <c r="P3" s="2">
        <v>0</v>
      </c>
      <c r="Q3" s="2">
        <v>0</v>
      </c>
      <c r="R3" s="2">
        <v>115000</v>
      </c>
      <c r="S3" s="2">
        <v>115000</v>
      </c>
      <c r="T3" s="3">
        <v>0.5</v>
      </c>
      <c r="U3" s="1" t="s">
        <v>202</v>
      </c>
      <c r="V3" s="1"/>
      <c r="W3" s="1" t="s">
        <v>63</v>
      </c>
      <c r="X3" s="1" t="s">
        <v>225</v>
      </c>
      <c r="Y3" s="1">
        <v>0</v>
      </c>
      <c r="Z3" s="1"/>
    </row>
    <row r="4" spans="1:26">
      <c r="A4" s="331">
        <v>30702</v>
      </c>
      <c r="B4" s="331">
        <v>17553</v>
      </c>
      <c r="C4" s="305">
        <v>46080</v>
      </c>
      <c r="D4" s="1" t="s">
        <v>226</v>
      </c>
      <c r="E4" s="1" t="s">
        <v>227</v>
      </c>
      <c r="F4" s="1" t="s">
        <v>4</v>
      </c>
      <c r="G4" s="1" t="s">
        <v>207</v>
      </c>
      <c r="H4" s="1" t="s">
        <v>208</v>
      </c>
      <c r="I4" s="1" t="s">
        <v>209</v>
      </c>
      <c r="J4" s="1" t="s">
        <v>210</v>
      </c>
      <c r="K4" s="1" t="s">
        <v>211</v>
      </c>
      <c r="L4" s="2">
        <v>150000</v>
      </c>
      <c r="M4" s="2">
        <v>75000</v>
      </c>
      <c r="N4" s="2">
        <v>0</v>
      </c>
      <c r="O4" s="2">
        <v>0</v>
      </c>
      <c r="P4" s="2">
        <v>0</v>
      </c>
      <c r="Q4" s="2">
        <v>0</v>
      </c>
      <c r="R4" s="2">
        <v>75000</v>
      </c>
      <c r="S4" s="2">
        <v>75000</v>
      </c>
      <c r="T4" s="3">
        <v>0.5</v>
      </c>
      <c r="U4" s="1" t="s">
        <v>202</v>
      </c>
      <c r="V4" s="1"/>
      <c r="W4" s="1" t="s">
        <v>63</v>
      </c>
      <c r="X4" s="1" t="s">
        <v>213</v>
      </c>
      <c r="Y4" s="1">
        <v>37</v>
      </c>
      <c r="Z4" s="1"/>
    </row>
    <row r="5" spans="1:26">
      <c r="A5" s="331">
        <v>30702</v>
      </c>
      <c r="B5" s="331">
        <v>17554</v>
      </c>
      <c r="C5" s="305">
        <v>46080</v>
      </c>
      <c r="D5" s="1" t="s">
        <v>226</v>
      </c>
      <c r="E5" s="1" t="s">
        <v>227</v>
      </c>
      <c r="F5" s="1" t="s">
        <v>4</v>
      </c>
      <c r="G5" s="1" t="s">
        <v>228</v>
      </c>
      <c r="H5" s="1" t="s">
        <v>229</v>
      </c>
      <c r="I5" s="1" t="s">
        <v>230</v>
      </c>
      <c r="J5" s="1" t="s">
        <v>210</v>
      </c>
      <c r="K5" s="1" t="s">
        <v>211</v>
      </c>
      <c r="L5" s="2">
        <v>450000</v>
      </c>
      <c r="M5" s="2">
        <v>225000</v>
      </c>
      <c r="N5" s="2">
        <v>0</v>
      </c>
      <c r="O5" s="2">
        <v>0</v>
      </c>
      <c r="P5" s="2">
        <v>0</v>
      </c>
      <c r="Q5" s="2">
        <v>0</v>
      </c>
      <c r="R5" s="2">
        <v>225000</v>
      </c>
      <c r="S5" s="2">
        <v>225000</v>
      </c>
      <c r="T5" s="3">
        <v>0.5</v>
      </c>
      <c r="U5" s="1" t="s">
        <v>202</v>
      </c>
      <c r="V5" s="1"/>
      <c r="W5" s="1" t="s">
        <v>63</v>
      </c>
      <c r="X5" s="1" t="s">
        <v>213</v>
      </c>
      <c r="Y5" s="1">
        <v>37</v>
      </c>
      <c r="Z5" s="1"/>
    </row>
    <row r="6" spans="1:26">
      <c r="A6" s="331">
        <v>32356</v>
      </c>
      <c r="B6" s="331">
        <v>20091</v>
      </c>
      <c r="C6" s="305">
        <v>46077</v>
      </c>
      <c r="D6" s="1" t="s">
        <v>249</v>
      </c>
      <c r="E6" s="1" t="s">
        <v>250</v>
      </c>
      <c r="F6" s="1" t="s">
        <v>3</v>
      </c>
      <c r="G6" s="1" t="s">
        <v>237</v>
      </c>
      <c r="H6" s="1" t="s">
        <v>238</v>
      </c>
      <c r="I6" s="1" t="s">
        <v>230</v>
      </c>
      <c r="J6" s="1" t="s">
        <v>210</v>
      </c>
      <c r="K6" s="1" t="s">
        <v>239</v>
      </c>
      <c r="L6" s="2">
        <v>540000</v>
      </c>
      <c r="M6" s="2">
        <v>264600</v>
      </c>
      <c r="N6" s="2">
        <v>0</v>
      </c>
      <c r="O6" s="2">
        <v>0</v>
      </c>
      <c r="P6" s="2">
        <v>0</v>
      </c>
      <c r="Q6" s="2">
        <v>0</v>
      </c>
      <c r="R6" s="2">
        <v>275400</v>
      </c>
      <c r="S6" s="2">
        <v>264600</v>
      </c>
      <c r="T6" s="3">
        <v>0.49</v>
      </c>
      <c r="U6" s="1" t="s">
        <v>202</v>
      </c>
      <c r="V6" s="1" t="s">
        <v>251</v>
      </c>
      <c r="W6" s="1" t="s">
        <v>203</v>
      </c>
      <c r="X6" s="1" t="s">
        <v>213</v>
      </c>
      <c r="Y6" s="1">
        <v>25</v>
      </c>
      <c r="Z6" s="1" t="s">
        <v>252</v>
      </c>
    </row>
    <row r="7" spans="1:26">
      <c r="A7" s="332">
        <v>32370</v>
      </c>
      <c r="B7" s="332">
        <v>21321</v>
      </c>
      <c r="C7" s="38">
        <v>46076</v>
      </c>
      <c r="D7" s="4" t="s">
        <v>2895</v>
      </c>
      <c r="E7" s="4" t="s">
        <v>2896</v>
      </c>
      <c r="F7" s="4" t="s">
        <v>2</v>
      </c>
      <c r="G7" s="4">
        <v>861401</v>
      </c>
      <c r="H7" s="4" t="s">
        <v>307</v>
      </c>
      <c r="I7" s="4" t="s">
        <v>282</v>
      </c>
      <c r="J7" s="4" t="s">
        <v>210</v>
      </c>
      <c r="K7" s="4"/>
      <c r="L7" s="5">
        <v>250000</v>
      </c>
      <c r="M7" s="5">
        <v>125000</v>
      </c>
      <c r="N7" s="5">
        <v>0</v>
      </c>
      <c r="O7" s="5">
        <v>0</v>
      </c>
      <c r="P7" s="5">
        <v>0</v>
      </c>
      <c r="Q7" s="5">
        <v>0</v>
      </c>
      <c r="R7" s="5">
        <v>125000</v>
      </c>
      <c r="S7" s="5">
        <v>125000</v>
      </c>
      <c r="T7" s="6" t="s">
        <v>224</v>
      </c>
      <c r="U7" s="1" t="s">
        <v>202</v>
      </c>
      <c r="V7" s="1"/>
      <c r="W7" s="1" t="s">
        <v>63</v>
      </c>
      <c r="X7" s="1" t="s">
        <v>319</v>
      </c>
      <c r="Y7" s="1">
        <v>23</v>
      </c>
      <c r="Z7" s="1"/>
    </row>
    <row r="8" spans="1:26">
      <c r="A8" s="331">
        <v>33282</v>
      </c>
      <c r="B8" s="331">
        <v>21442</v>
      </c>
      <c r="C8" s="305">
        <v>46080</v>
      </c>
      <c r="D8" s="1" t="s">
        <v>263</v>
      </c>
      <c r="E8" s="1" t="s">
        <v>264</v>
      </c>
      <c r="F8" s="1" t="s">
        <v>3</v>
      </c>
      <c r="G8" s="1" t="s">
        <v>265</v>
      </c>
      <c r="H8" s="1" t="s">
        <v>266</v>
      </c>
      <c r="I8" s="1" t="s">
        <v>267</v>
      </c>
      <c r="J8" s="1" t="s">
        <v>210</v>
      </c>
      <c r="K8" s="1" t="s">
        <v>268</v>
      </c>
      <c r="L8" s="2">
        <v>500000</v>
      </c>
      <c r="M8" s="2">
        <v>250000</v>
      </c>
      <c r="N8" s="2">
        <v>0</v>
      </c>
      <c r="O8" s="2">
        <v>0</v>
      </c>
      <c r="P8" s="2">
        <v>0</v>
      </c>
      <c r="Q8" s="2">
        <v>0</v>
      </c>
      <c r="R8" s="2">
        <v>250000</v>
      </c>
      <c r="S8" s="2">
        <v>250000</v>
      </c>
      <c r="T8" s="3">
        <v>0.5</v>
      </c>
      <c r="U8" s="1" t="s">
        <v>202</v>
      </c>
      <c r="V8" s="1"/>
      <c r="W8" s="1" t="s">
        <v>63</v>
      </c>
      <c r="X8" s="1" t="s">
        <v>213</v>
      </c>
      <c r="Y8" s="1">
        <v>33</v>
      </c>
      <c r="Z8" s="1"/>
    </row>
    <row r="9" spans="1:26">
      <c r="A9" s="331">
        <v>33013</v>
      </c>
      <c r="B9" s="331">
        <v>21585</v>
      </c>
      <c r="C9" s="305">
        <v>46076</v>
      </c>
      <c r="D9" s="1" t="s">
        <v>419</v>
      </c>
      <c r="E9" s="1" t="s">
        <v>420</v>
      </c>
      <c r="F9" s="1" t="s">
        <v>122</v>
      </c>
      <c r="G9" s="1" t="s">
        <v>233</v>
      </c>
      <c r="H9" s="1" t="s">
        <v>234</v>
      </c>
      <c r="I9" s="1" t="s">
        <v>199</v>
      </c>
      <c r="J9" s="1" t="s">
        <v>200</v>
      </c>
      <c r="K9" s="1" t="s">
        <v>201</v>
      </c>
      <c r="L9" s="2">
        <v>57000</v>
      </c>
      <c r="M9" s="2">
        <v>9496.2000000000007</v>
      </c>
      <c r="N9" s="2">
        <v>0</v>
      </c>
      <c r="O9" s="2">
        <v>0</v>
      </c>
      <c r="P9" s="2">
        <v>0</v>
      </c>
      <c r="Q9" s="2">
        <v>0</v>
      </c>
      <c r="R9" s="2">
        <v>47503.8</v>
      </c>
      <c r="S9" s="2">
        <v>46363.8</v>
      </c>
      <c r="T9" s="3">
        <v>0.81340000000000001</v>
      </c>
      <c r="U9" s="1" t="s">
        <v>202</v>
      </c>
      <c r="V9" s="1" t="s">
        <v>2280</v>
      </c>
      <c r="W9" s="1" t="s">
        <v>203</v>
      </c>
      <c r="X9" s="1" t="s">
        <v>225</v>
      </c>
      <c r="Y9" s="1">
        <v>34</v>
      </c>
      <c r="Z9" s="1" t="s">
        <v>2281</v>
      </c>
    </row>
    <row r="10" spans="1:26">
      <c r="A10" s="331">
        <v>33776</v>
      </c>
      <c r="B10" s="331">
        <v>22262</v>
      </c>
      <c r="C10" s="305">
        <v>46074</v>
      </c>
      <c r="D10" s="1" t="s">
        <v>285</v>
      </c>
      <c r="E10" s="1" t="s">
        <v>286</v>
      </c>
      <c r="F10" s="1" t="s">
        <v>4</v>
      </c>
      <c r="G10" s="1">
        <v>890302</v>
      </c>
      <c r="H10" s="1" t="s">
        <v>244</v>
      </c>
      <c r="I10" s="1" t="s">
        <v>222</v>
      </c>
      <c r="J10" s="1" t="s">
        <v>223</v>
      </c>
      <c r="K10" s="1"/>
      <c r="L10" s="2">
        <v>150000</v>
      </c>
      <c r="M10" s="2">
        <v>75000</v>
      </c>
      <c r="N10" s="2">
        <v>0</v>
      </c>
      <c r="O10" s="2">
        <v>0</v>
      </c>
      <c r="P10" s="2">
        <v>0</v>
      </c>
      <c r="Q10" s="2">
        <v>0</v>
      </c>
      <c r="R10" s="2">
        <v>75000</v>
      </c>
      <c r="S10" s="2">
        <v>75000</v>
      </c>
      <c r="T10" s="3">
        <v>0.5</v>
      </c>
      <c r="U10" s="1" t="s">
        <v>202</v>
      </c>
      <c r="V10" s="1"/>
      <c r="W10" s="1" t="s">
        <v>63</v>
      </c>
      <c r="X10" s="1" t="s">
        <v>225</v>
      </c>
      <c r="Y10" s="1">
        <v>18</v>
      </c>
      <c r="Z10" s="1"/>
    </row>
    <row r="11" spans="1:26">
      <c r="A11" s="332">
        <v>23034</v>
      </c>
      <c r="B11" s="332">
        <v>23194</v>
      </c>
      <c r="C11" s="38">
        <v>46079</v>
      </c>
      <c r="D11" s="4" t="s">
        <v>308</v>
      </c>
      <c r="E11" s="4" t="s">
        <v>309</v>
      </c>
      <c r="F11" s="4" t="s">
        <v>3</v>
      </c>
      <c r="G11" s="4" t="s">
        <v>289</v>
      </c>
      <c r="H11" s="4" t="s">
        <v>290</v>
      </c>
      <c r="I11" s="4" t="s">
        <v>257</v>
      </c>
      <c r="J11" s="4" t="s">
        <v>210</v>
      </c>
      <c r="K11" s="4"/>
      <c r="L11" s="5">
        <v>450000</v>
      </c>
      <c r="M11" s="5">
        <v>225000</v>
      </c>
      <c r="N11" s="5">
        <v>0</v>
      </c>
      <c r="O11" s="5">
        <v>0</v>
      </c>
      <c r="P11" s="5">
        <v>0</v>
      </c>
      <c r="Q11" s="5">
        <v>0</v>
      </c>
      <c r="R11" s="5">
        <v>225000</v>
      </c>
      <c r="S11" s="5">
        <v>225000</v>
      </c>
      <c r="T11" s="6" t="s">
        <v>224</v>
      </c>
      <c r="U11" s="1" t="s">
        <v>202</v>
      </c>
      <c r="V11" s="1"/>
      <c r="W11" s="1" t="s">
        <v>63</v>
      </c>
      <c r="X11" s="1" t="s">
        <v>225</v>
      </c>
      <c r="Y11" s="1">
        <v>50</v>
      </c>
      <c r="Z11" s="1"/>
    </row>
    <row r="12" spans="1:26">
      <c r="A12" s="332">
        <v>34430</v>
      </c>
      <c r="B12" s="332">
        <v>23231</v>
      </c>
      <c r="C12" s="38">
        <v>46074</v>
      </c>
      <c r="D12" s="4" t="s">
        <v>310</v>
      </c>
      <c r="E12" s="4" t="s">
        <v>311</v>
      </c>
      <c r="F12" s="4" t="s">
        <v>4</v>
      </c>
      <c r="G12" s="4">
        <v>868114</v>
      </c>
      <c r="H12" s="4" t="s">
        <v>312</v>
      </c>
      <c r="I12" s="4" t="s">
        <v>282</v>
      </c>
      <c r="J12" s="4" t="s">
        <v>210</v>
      </c>
      <c r="K12" s="4"/>
      <c r="L12" s="5">
        <v>600000</v>
      </c>
      <c r="M12" s="5">
        <v>300000</v>
      </c>
      <c r="N12" s="5">
        <v>0</v>
      </c>
      <c r="O12" s="5">
        <v>0</v>
      </c>
      <c r="P12" s="5">
        <v>0</v>
      </c>
      <c r="Q12" s="5">
        <v>0</v>
      </c>
      <c r="R12" s="5">
        <v>300000</v>
      </c>
      <c r="S12" s="5">
        <v>300000</v>
      </c>
      <c r="T12" s="6" t="s">
        <v>224</v>
      </c>
      <c r="U12" s="1" t="s">
        <v>202</v>
      </c>
      <c r="V12" s="1"/>
      <c r="W12" s="1" t="s">
        <v>63</v>
      </c>
      <c r="X12" s="1" t="s">
        <v>225</v>
      </c>
      <c r="Y12" s="1">
        <v>58</v>
      </c>
      <c r="Z12" s="1"/>
    </row>
    <row r="13" spans="1:26">
      <c r="A13" s="332">
        <v>34430</v>
      </c>
      <c r="B13" s="332">
        <v>23289</v>
      </c>
      <c r="C13" s="38">
        <v>46074</v>
      </c>
      <c r="D13" s="4" t="s">
        <v>310</v>
      </c>
      <c r="E13" s="4" t="s">
        <v>311</v>
      </c>
      <c r="F13" s="4" t="s">
        <v>4</v>
      </c>
      <c r="G13" s="4" t="s">
        <v>301</v>
      </c>
      <c r="H13" s="4" t="s">
        <v>302</v>
      </c>
      <c r="I13" s="4" t="s">
        <v>267</v>
      </c>
      <c r="J13" s="4" t="s">
        <v>210</v>
      </c>
      <c r="K13" s="4" t="s">
        <v>268</v>
      </c>
      <c r="L13" s="5">
        <v>1800000</v>
      </c>
      <c r="M13" s="5">
        <v>900000</v>
      </c>
      <c r="N13" s="5">
        <v>0</v>
      </c>
      <c r="O13" s="5">
        <v>0</v>
      </c>
      <c r="P13" s="5">
        <v>0</v>
      </c>
      <c r="Q13" s="5">
        <v>0</v>
      </c>
      <c r="R13" s="5">
        <v>900000</v>
      </c>
      <c r="S13" s="5">
        <v>900000</v>
      </c>
      <c r="T13" s="6" t="s">
        <v>224</v>
      </c>
      <c r="U13" s="1" t="s">
        <v>202</v>
      </c>
      <c r="V13" s="1"/>
      <c r="W13" s="1" t="s">
        <v>63</v>
      </c>
      <c r="X13" s="1" t="s">
        <v>225</v>
      </c>
      <c r="Y13" s="1">
        <v>58</v>
      </c>
      <c r="Z13" s="1"/>
    </row>
    <row r="14" spans="1:26">
      <c r="A14" s="331">
        <v>34617</v>
      </c>
      <c r="B14" s="331">
        <v>23500</v>
      </c>
      <c r="C14" s="305">
        <v>46080</v>
      </c>
      <c r="D14" s="1" t="s">
        <v>643</v>
      </c>
      <c r="E14" s="1" t="s">
        <v>644</v>
      </c>
      <c r="F14" s="1" t="s">
        <v>4</v>
      </c>
      <c r="G14" s="1" t="s">
        <v>228</v>
      </c>
      <c r="H14" s="1" t="s">
        <v>229</v>
      </c>
      <c r="I14" s="1" t="s">
        <v>230</v>
      </c>
      <c r="J14" s="1" t="s">
        <v>210</v>
      </c>
      <c r="K14" s="1" t="s">
        <v>239</v>
      </c>
      <c r="L14" s="2">
        <v>350000</v>
      </c>
      <c r="M14" s="2">
        <v>175000</v>
      </c>
      <c r="N14" s="2">
        <v>0</v>
      </c>
      <c r="O14" s="2">
        <v>0</v>
      </c>
      <c r="P14" s="2">
        <v>0</v>
      </c>
      <c r="Q14" s="2">
        <v>0</v>
      </c>
      <c r="R14" s="2">
        <v>175000</v>
      </c>
      <c r="S14" s="2">
        <v>175000</v>
      </c>
      <c r="T14" s="3">
        <v>0.5</v>
      </c>
      <c r="U14" s="1" t="s">
        <v>202</v>
      </c>
      <c r="V14" s="1"/>
      <c r="W14" s="1" t="s">
        <v>63</v>
      </c>
      <c r="X14" s="1" t="s">
        <v>529</v>
      </c>
      <c r="Y14" s="1">
        <v>37</v>
      </c>
      <c r="Z14" s="1"/>
    </row>
    <row r="15" spans="1:26">
      <c r="A15" s="331">
        <v>33360</v>
      </c>
      <c r="B15" s="331">
        <v>23577</v>
      </c>
      <c r="C15" s="305">
        <v>46074</v>
      </c>
      <c r="D15" s="1" t="s">
        <v>322</v>
      </c>
      <c r="E15" s="1" t="s">
        <v>323</v>
      </c>
      <c r="F15" s="1" t="s">
        <v>4</v>
      </c>
      <c r="G15" s="1" t="s">
        <v>324</v>
      </c>
      <c r="H15" s="1" t="s">
        <v>325</v>
      </c>
      <c r="I15" s="1" t="s">
        <v>2897</v>
      </c>
      <c r="J15" s="1" t="s">
        <v>210</v>
      </c>
      <c r="K15" s="1" t="s">
        <v>313</v>
      </c>
      <c r="L15" s="2">
        <v>400000</v>
      </c>
      <c r="M15" s="2">
        <v>200000</v>
      </c>
      <c r="N15" s="2">
        <v>0</v>
      </c>
      <c r="O15" s="2">
        <v>0</v>
      </c>
      <c r="P15" s="2">
        <v>0</v>
      </c>
      <c r="Q15" s="2">
        <v>0</v>
      </c>
      <c r="R15" s="2">
        <v>200000</v>
      </c>
      <c r="S15" s="2">
        <v>200000</v>
      </c>
      <c r="T15" s="3">
        <v>0.5</v>
      </c>
      <c r="U15" s="1" t="s">
        <v>202</v>
      </c>
      <c r="V15" s="1"/>
      <c r="W15" s="1" t="s">
        <v>63</v>
      </c>
      <c r="X15" s="1" t="s">
        <v>213</v>
      </c>
      <c r="Y15" s="1">
        <v>23</v>
      </c>
      <c r="Z15" s="1"/>
    </row>
    <row r="16" spans="1:26">
      <c r="A16" s="331">
        <v>34710</v>
      </c>
      <c r="B16" s="331">
        <v>23660</v>
      </c>
      <c r="C16" s="305">
        <v>46074</v>
      </c>
      <c r="D16" s="1" t="s">
        <v>329</v>
      </c>
      <c r="E16" s="1" t="s">
        <v>330</v>
      </c>
      <c r="F16" s="1" t="s">
        <v>3</v>
      </c>
      <c r="G16" s="1">
        <v>890242</v>
      </c>
      <c r="H16" s="1" t="s">
        <v>331</v>
      </c>
      <c r="I16" s="1" t="s">
        <v>332</v>
      </c>
      <c r="J16" s="1" t="s">
        <v>223</v>
      </c>
      <c r="K16" s="1"/>
      <c r="L16" s="2">
        <v>230000</v>
      </c>
      <c r="M16" s="2">
        <v>115000</v>
      </c>
      <c r="N16" s="2">
        <v>0</v>
      </c>
      <c r="O16" s="2">
        <v>0</v>
      </c>
      <c r="P16" s="2">
        <v>0</v>
      </c>
      <c r="Q16" s="2">
        <v>0</v>
      </c>
      <c r="R16" s="2">
        <v>115000</v>
      </c>
      <c r="S16" s="2">
        <v>115000</v>
      </c>
      <c r="T16" s="3">
        <v>0.5</v>
      </c>
      <c r="U16" s="1" t="s">
        <v>202</v>
      </c>
      <c r="V16" s="1"/>
      <c r="W16" s="1" t="s">
        <v>63</v>
      </c>
      <c r="X16" s="1" t="s">
        <v>277</v>
      </c>
      <c r="Y16" s="1">
        <v>0</v>
      </c>
      <c r="Z16" s="1"/>
    </row>
    <row r="17" spans="1:26">
      <c r="A17" s="332">
        <v>31859</v>
      </c>
      <c r="B17" s="332">
        <v>23739</v>
      </c>
      <c r="C17" s="38">
        <v>46080</v>
      </c>
      <c r="D17" s="4" t="s">
        <v>339</v>
      </c>
      <c r="E17" s="4" t="s">
        <v>340</v>
      </c>
      <c r="F17" s="4" t="s">
        <v>2</v>
      </c>
      <c r="G17" s="4" t="s">
        <v>341</v>
      </c>
      <c r="H17" s="4" t="s">
        <v>342</v>
      </c>
      <c r="I17" s="4" t="s">
        <v>343</v>
      </c>
      <c r="J17" s="4" t="s">
        <v>210</v>
      </c>
      <c r="K17" s="4" t="s">
        <v>344</v>
      </c>
      <c r="L17" s="5">
        <v>600000</v>
      </c>
      <c r="M17" s="5">
        <v>300000</v>
      </c>
      <c r="N17" s="5">
        <v>0</v>
      </c>
      <c r="O17" s="5">
        <v>0</v>
      </c>
      <c r="P17" s="5">
        <v>0</v>
      </c>
      <c r="Q17" s="5">
        <v>0</v>
      </c>
      <c r="R17" s="5">
        <v>300000</v>
      </c>
      <c r="S17" s="5">
        <v>300000</v>
      </c>
      <c r="T17" s="6" t="s">
        <v>224</v>
      </c>
      <c r="U17" s="1" t="s">
        <v>202</v>
      </c>
      <c r="V17" s="1"/>
      <c r="W17" s="1" t="s">
        <v>63</v>
      </c>
      <c r="X17" s="1" t="s">
        <v>225</v>
      </c>
      <c r="Y17" s="1">
        <v>35</v>
      </c>
      <c r="Z17" s="1"/>
    </row>
    <row r="18" spans="1:26">
      <c r="A18" s="332">
        <v>34302</v>
      </c>
      <c r="B18" s="332">
        <v>23908</v>
      </c>
      <c r="C18" s="38">
        <v>46076</v>
      </c>
      <c r="D18" s="4" t="s">
        <v>354</v>
      </c>
      <c r="E18" s="4" t="s">
        <v>355</v>
      </c>
      <c r="F18" s="4" t="s">
        <v>3</v>
      </c>
      <c r="G18" s="4">
        <v>861415</v>
      </c>
      <c r="H18" s="4" t="s">
        <v>318</v>
      </c>
      <c r="I18" s="4" t="s">
        <v>300</v>
      </c>
      <c r="J18" s="4" t="s">
        <v>210</v>
      </c>
      <c r="K18" s="4"/>
      <c r="L18" s="5">
        <v>250000</v>
      </c>
      <c r="M18" s="5">
        <v>122500</v>
      </c>
      <c r="N18" s="5">
        <v>0</v>
      </c>
      <c r="O18" s="5">
        <v>0</v>
      </c>
      <c r="P18" s="5">
        <v>0</v>
      </c>
      <c r="Q18" s="5">
        <v>0</v>
      </c>
      <c r="R18" s="5">
        <v>127500</v>
      </c>
      <c r="S18" s="5">
        <v>122500</v>
      </c>
      <c r="T18" s="6" t="s">
        <v>224</v>
      </c>
      <c r="U18" s="1" t="s">
        <v>202</v>
      </c>
      <c r="V18" s="1" t="s">
        <v>356</v>
      </c>
      <c r="W18" s="1" t="s">
        <v>203</v>
      </c>
      <c r="X18" s="1" t="s">
        <v>225</v>
      </c>
      <c r="Y18" s="1">
        <v>44</v>
      </c>
      <c r="Z18" s="1" t="s">
        <v>357</v>
      </c>
    </row>
    <row r="19" spans="1:26">
      <c r="A19" s="331">
        <v>33771</v>
      </c>
      <c r="B19" s="331">
        <v>24096</v>
      </c>
      <c r="C19" s="305">
        <v>46080</v>
      </c>
      <c r="D19" s="1" t="s">
        <v>370</v>
      </c>
      <c r="E19" s="1" t="s">
        <v>371</v>
      </c>
      <c r="F19" s="1" t="s">
        <v>4</v>
      </c>
      <c r="G19" s="1" t="s">
        <v>324</v>
      </c>
      <c r="H19" s="1" t="s">
        <v>325</v>
      </c>
      <c r="I19" s="1" t="s">
        <v>2897</v>
      </c>
      <c r="J19" s="1" t="s">
        <v>210</v>
      </c>
      <c r="K19" s="1" t="s">
        <v>313</v>
      </c>
      <c r="L19" s="2">
        <v>350000</v>
      </c>
      <c r="M19" s="2">
        <v>175000</v>
      </c>
      <c r="N19" s="2">
        <v>0</v>
      </c>
      <c r="O19" s="2">
        <v>0</v>
      </c>
      <c r="P19" s="2">
        <v>0</v>
      </c>
      <c r="Q19" s="2">
        <v>0</v>
      </c>
      <c r="R19" s="2">
        <v>175000</v>
      </c>
      <c r="S19" s="2">
        <v>175000</v>
      </c>
      <c r="T19" s="3">
        <v>0.5</v>
      </c>
      <c r="U19" s="1" t="s">
        <v>202</v>
      </c>
      <c r="V19" s="1"/>
      <c r="W19" s="1" t="s">
        <v>63</v>
      </c>
      <c r="X19" s="1" t="s">
        <v>213</v>
      </c>
      <c r="Y19" s="1">
        <v>29</v>
      </c>
      <c r="Z19" s="1"/>
    </row>
    <row r="20" spans="1:26">
      <c r="A20" s="331">
        <v>33771</v>
      </c>
      <c r="B20" s="331">
        <v>24097</v>
      </c>
      <c r="C20" s="305">
        <v>46080</v>
      </c>
      <c r="D20" s="1" t="s">
        <v>370</v>
      </c>
      <c r="E20" s="1" t="s">
        <v>371</v>
      </c>
      <c r="F20" s="1" t="s">
        <v>4</v>
      </c>
      <c r="G20" s="1" t="s">
        <v>228</v>
      </c>
      <c r="H20" s="1" t="s">
        <v>229</v>
      </c>
      <c r="I20" s="1" t="s">
        <v>230</v>
      </c>
      <c r="J20" s="1" t="s">
        <v>210</v>
      </c>
      <c r="K20" s="1" t="s">
        <v>239</v>
      </c>
      <c r="L20" s="2">
        <v>350000</v>
      </c>
      <c r="M20" s="2">
        <v>175000</v>
      </c>
      <c r="N20" s="2">
        <v>0</v>
      </c>
      <c r="O20" s="2">
        <v>0</v>
      </c>
      <c r="P20" s="2">
        <v>0</v>
      </c>
      <c r="Q20" s="2">
        <v>0</v>
      </c>
      <c r="R20" s="2">
        <v>175000</v>
      </c>
      <c r="S20" s="2">
        <v>175000</v>
      </c>
      <c r="T20" s="3">
        <v>0.5</v>
      </c>
      <c r="U20" s="1" t="s">
        <v>202</v>
      </c>
      <c r="V20" s="1"/>
      <c r="W20" s="1" t="s">
        <v>63</v>
      </c>
      <c r="X20" s="1" t="s">
        <v>213</v>
      </c>
      <c r="Y20" s="1">
        <v>29</v>
      </c>
      <c r="Z20" s="1"/>
    </row>
    <row r="21" spans="1:26">
      <c r="A21" s="331">
        <v>35029</v>
      </c>
      <c r="B21" s="331">
        <v>24100</v>
      </c>
      <c r="C21" s="305">
        <v>46073</v>
      </c>
      <c r="D21" s="1" t="s">
        <v>2898</v>
      </c>
      <c r="E21" s="1" t="s">
        <v>2899</v>
      </c>
      <c r="F21" s="1" t="s">
        <v>2</v>
      </c>
      <c r="G21" s="1">
        <v>890242</v>
      </c>
      <c r="H21" s="1" t="s">
        <v>331</v>
      </c>
      <c r="I21" s="1" t="s">
        <v>332</v>
      </c>
      <c r="J21" s="1" t="s">
        <v>223</v>
      </c>
      <c r="K21" s="1"/>
      <c r="L21" s="2">
        <v>250000</v>
      </c>
      <c r="M21" s="2">
        <v>125000</v>
      </c>
      <c r="N21" s="2">
        <v>0</v>
      </c>
      <c r="O21" s="2">
        <v>0</v>
      </c>
      <c r="P21" s="2">
        <v>0</v>
      </c>
      <c r="Q21" s="2">
        <v>0</v>
      </c>
      <c r="R21" s="2">
        <v>125000</v>
      </c>
      <c r="S21" s="2">
        <v>125000</v>
      </c>
      <c r="T21" s="3">
        <v>0.5</v>
      </c>
      <c r="U21" s="1" t="s">
        <v>202</v>
      </c>
      <c r="V21" s="1"/>
      <c r="W21" s="1" t="s">
        <v>63</v>
      </c>
      <c r="X21" s="1" t="s">
        <v>213</v>
      </c>
      <c r="Y21" s="1">
        <v>0</v>
      </c>
      <c r="Z21" s="1"/>
    </row>
    <row r="22" spans="1:26">
      <c r="A22" s="332">
        <v>35071</v>
      </c>
      <c r="B22" s="332">
        <v>24152</v>
      </c>
      <c r="C22" s="38">
        <v>46081</v>
      </c>
      <c r="D22" s="4" t="s">
        <v>374</v>
      </c>
      <c r="E22" s="4" t="s">
        <v>375</v>
      </c>
      <c r="F22" s="4" t="s">
        <v>127</v>
      </c>
      <c r="G22" s="4">
        <v>890303</v>
      </c>
      <c r="H22" s="4" t="s">
        <v>221</v>
      </c>
      <c r="I22" s="4" t="s">
        <v>222</v>
      </c>
      <c r="J22" s="4" t="s">
        <v>223</v>
      </c>
      <c r="K22" s="4"/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6" t="s">
        <v>224</v>
      </c>
      <c r="U22" s="1" t="s">
        <v>202</v>
      </c>
      <c r="V22" s="1"/>
      <c r="W22" s="1" t="s">
        <v>63</v>
      </c>
      <c r="X22" s="1" t="s">
        <v>213</v>
      </c>
      <c r="Y22" s="1">
        <v>4</v>
      </c>
      <c r="Z22" s="1"/>
    </row>
    <row r="23" spans="1:26">
      <c r="A23" s="332">
        <v>28033</v>
      </c>
      <c r="B23" s="332">
        <v>24170</v>
      </c>
      <c r="C23" s="38">
        <v>46073</v>
      </c>
      <c r="D23" s="4" t="s">
        <v>376</v>
      </c>
      <c r="E23" s="4" t="s">
        <v>377</v>
      </c>
      <c r="F23" s="4" t="s">
        <v>122</v>
      </c>
      <c r="G23" s="4" t="s">
        <v>215</v>
      </c>
      <c r="H23" s="4" t="s">
        <v>216</v>
      </c>
      <c r="I23" s="4" t="s">
        <v>199</v>
      </c>
      <c r="J23" s="4" t="s">
        <v>200</v>
      </c>
      <c r="K23" s="4"/>
      <c r="L23" s="5">
        <v>140000</v>
      </c>
      <c r="M23" s="5">
        <v>2800</v>
      </c>
      <c r="N23" s="5">
        <v>0</v>
      </c>
      <c r="O23" s="5">
        <v>0</v>
      </c>
      <c r="P23" s="5">
        <v>0</v>
      </c>
      <c r="Q23" s="5">
        <v>0</v>
      </c>
      <c r="R23" s="5">
        <v>137200</v>
      </c>
      <c r="S23" s="5">
        <v>137200</v>
      </c>
      <c r="T23" s="6" t="s">
        <v>224</v>
      </c>
      <c r="U23" s="1" t="s">
        <v>202</v>
      </c>
      <c r="V23" s="1"/>
      <c r="W23" s="1" t="s">
        <v>63</v>
      </c>
      <c r="X23" s="1" t="s">
        <v>204</v>
      </c>
      <c r="Y23" s="1">
        <v>26</v>
      </c>
      <c r="Z23" s="1"/>
    </row>
    <row r="24" spans="1:26">
      <c r="A24" s="331">
        <v>35160</v>
      </c>
      <c r="B24" s="331">
        <v>24299</v>
      </c>
      <c r="C24" s="305">
        <v>46073</v>
      </c>
      <c r="D24" s="1" t="s">
        <v>1917</v>
      </c>
      <c r="E24" s="1" t="s">
        <v>1918</v>
      </c>
      <c r="F24" s="1" t="s">
        <v>2</v>
      </c>
      <c r="G24" s="1" t="s">
        <v>597</v>
      </c>
      <c r="H24" s="1" t="s">
        <v>598</v>
      </c>
      <c r="I24" s="1" t="s">
        <v>209</v>
      </c>
      <c r="J24" s="1" t="s">
        <v>210</v>
      </c>
      <c r="K24" s="1" t="s">
        <v>211</v>
      </c>
      <c r="L24" s="2">
        <v>332500</v>
      </c>
      <c r="M24" s="2">
        <v>162925</v>
      </c>
      <c r="N24" s="2">
        <v>0</v>
      </c>
      <c r="O24" s="2">
        <v>0</v>
      </c>
      <c r="P24" s="2">
        <v>0</v>
      </c>
      <c r="Q24" s="2">
        <v>0</v>
      </c>
      <c r="R24" s="2">
        <v>169575</v>
      </c>
      <c r="S24" s="2">
        <v>162925</v>
      </c>
      <c r="T24" s="3">
        <v>0.49</v>
      </c>
      <c r="U24" s="1" t="s">
        <v>202</v>
      </c>
      <c r="V24" s="1" t="s">
        <v>1919</v>
      </c>
      <c r="W24" s="1" t="s">
        <v>203</v>
      </c>
      <c r="X24" s="1" t="s">
        <v>213</v>
      </c>
      <c r="Y24" s="1">
        <v>26</v>
      </c>
      <c r="Z24" s="1" t="s">
        <v>1920</v>
      </c>
    </row>
    <row r="25" spans="1:26">
      <c r="A25" s="332">
        <v>35206</v>
      </c>
      <c r="B25" s="332">
        <v>24358</v>
      </c>
      <c r="C25" s="38">
        <v>46074</v>
      </c>
      <c r="D25" s="4" t="s">
        <v>2282</v>
      </c>
      <c r="E25" s="4" t="s">
        <v>2283</v>
      </c>
      <c r="F25" s="4" t="s">
        <v>3</v>
      </c>
      <c r="G25" s="4" t="s">
        <v>255</v>
      </c>
      <c r="H25" s="4" t="s">
        <v>256</v>
      </c>
      <c r="I25" s="4" t="s">
        <v>2900</v>
      </c>
      <c r="J25" s="4" t="s">
        <v>210</v>
      </c>
      <c r="K25" s="4" t="s">
        <v>258</v>
      </c>
      <c r="L25" s="5">
        <v>650000</v>
      </c>
      <c r="M25" s="5">
        <v>325000</v>
      </c>
      <c r="N25" s="5">
        <v>0</v>
      </c>
      <c r="O25" s="5">
        <v>0</v>
      </c>
      <c r="P25" s="5">
        <v>0</v>
      </c>
      <c r="Q25" s="5">
        <v>0</v>
      </c>
      <c r="R25" s="5">
        <v>325000</v>
      </c>
      <c r="S25" s="5">
        <v>325000</v>
      </c>
      <c r="T25" s="6" t="s">
        <v>224</v>
      </c>
      <c r="U25" s="1" t="s">
        <v>202</v>
      </c>
      <c r="V25" s="1"/>
      <c r="W25" s="1" t="s">
        <v>63</v>
      </c>
      <c r="X25" s="1" t="s">
        <v>277</v>
      </c>
      <c r="Y25" s="1">
        <v>15</v>
      </c>
      <c r="Z25" s="1"/>
    </row>
    <row r="26" spans="1:26">
      <c r="A26" s="332">
        <v>35135</v>
      </c>
      <c r="B26" s="332">
        <v>24388</v>
      </c>
      <c r="C26" s="38">
        <v>46077</v>
      </c>
      <c r="D26" s="4" t="s">
        <v>407</v>
      </c>
      <c r="E26" s="4" t="s">
        <v>408</v>
      </c>
      <c r="F26" s="4" t="s">
        <v>2</v>
      </c>
      <c r="G26" s="4">
        <v>868116</v>
      </c>
      <c r="H26" s="4" t="s">
        <v>298</v>
      </c>
      <c r="I26" s="4" t="s">
        <v>282</v>
      </c>
      <c r="J26" s="4" t="s">
        <v>210</v>
      </c>
      <c r="K26" s="4"/>
      <c r="L26" s="5">
        <v>200000</v>
      </c>
      <c r="M26" s="5">
        <v>100000</v>
      </c>
      <c r="N26" s="5">
        <v>0</v>
      </c>
      <c r="O26" s="5">
        <v>0</v>
      </c>
      <c r="P26" s="5">
        <v>0</v>
      </c>
      <c r="Q26" s="5">
        <v>0</v>
      </c>
      <c r="R26" s="5">
        <v>100000</v>
      </c>
      <c r="S26" s="5">
        <v>100000</v>
      </c>
      <c r="T26" s="6" t="s">
        <v>224</v>
      </c>
      <c r="U26" s="1" t="s">
        <v>202</v>
      </c>
      <c r="V26" s="1"/>
      <c r="W26" s="1" t="s">
        <v>63</v>
      </c>
      <c r="X26" s="1" t="s">
        <v>213</v>
      </c>
      <c r="Y26" s="1">
        <v>31</v>
      </c>
      <c r="Z26" s="1"/>
    </row>
    <row r="27" spans="1:26">
      <c r="A27" s="332">
        <v>35135</v>
      </c>
      <c r="B27" s="332">
        <v>24389</v>
      </c>
      <c r="C27" s="38">
        <v>46077</v>
      </c>
      <c r="D27" s="4" t="s">
        <v>407</v>
      </c>
      <c r="E27" s="4" t="s">
        <v>408</v>
      </c>
      <c r="F27" s="4" t="s">
        <v>2</v>
      </c>
      <c r="G27" s="4" t="s">
        <v>409</v>
      </c>
      <c r="H27" s="4" t="s">
        <v>410</v>
      </c>
      <c r="I27" s="4" t="s">
        <v>297</v>
      </c>
      <c r="J27" s="4" t="s">
        <v>210</v>
      </c>
      <c r="K27" s="4" t="s">
        <v>328</v>
      </c>
      <c r="L27" s="5">
        <v>1000000</v>
      </c>
      <c r="M27" s="5">
        <v>500000</v>
      </c>
      <c r="N27" s="5">
        <v>0</v>
      </c>
      <c r="O27" s="5">
        <v>0</v>
      </c>
      <c r="P27" s="5">
        <v>0</v>
      </c>
      <c r="Q27" s="5">
        <v>0</v>
      </c>
      <c r="R27" s="5">
        <v>500000</v>
      </c>
      <c r="S27" s="5">
        <v>500000</v>
      </c>
      <c r="T27" s="6" t="s">
        <v>224</v>
      </c>
      <c r="U27" s="1" t="s">
        <v>202</v>
      </c>
      <c r="V27" s="1"/>
      <c r="W27" s="1" t="s">
        <v>63</v>
      </c>
      <c r="X27" s="1" t="s">
        <v>213</v>
      </c>
      <c r="Y27" s="1">
        <v>31</v>
      </c>
      <c r="Z27" s="1"/>
    </row>
    <row r="28" spans="1:26">
      <c r="A28" s="331">
        <v>27318</v>
      </c>
      <c r="B28" s="331">
        <v>24515</v>
      </c>
      <c r="C28" s="305">
        <v>46080</v>
      </c>
      <c r="D28" s="1" t="s">
        <v>429</v>
      </c>
      <c r="E28" s="1" t="s">
        <v>430</v>
      </c>
      <c r="F28" s="1" t="s">
        <v>4</v>
      </c>
      <c r="G28" s="1" t="s">
        <v>431</v>
      </c>
      <c r="H28" s="1" t="s">
        <v>432</v>
      </c>
      <c r="I28" s="1" t="s">
        <v>297</v>
      </c>
      <c r="J28" s="1" t="s">
        <v>210</v>
      </c>
      <c r="K28" s="1" t="s">
        <v>328</v>
      </c>
      <c r="L28" s="2">
        <v>800000</v>
      </c>
      <c r="M28" s="2">
        <v>400000</v>
      </c>
      <c r="N28" s="2">
        <v>0</v>
      </c>
      <c r="O28" s="2">
        <v>0</v>
      </c>
      <c r="P28" s="2">
        <v>0</v>
      </c>
      <c r="Q28" s="2">
        <v>0</v>
      </c>
      <c r="R28" s="2">
        <v>400000</v>
      </c>
      <c r="S28" s="2">
        <v>400000</v>
      </c>
      <c r="T28" s="3">
        <v>0.5</v>
      </c>
      <c r="U28" s="1" t="s">
        <v>202</v>
      </c>
      <c r="V28" s="1"/>
      <c r="W28" s="1" t="s">
        <v>63</v>
      </c>
      <c r="X28" s="1" t="s">
        <v>204</v>
      </c>
      <c r="Y28" s="1">
        <v>41</v>
      </c>
      <c r="Z28" s="1"/>
    </row>
    <row r="29" spans="1:26">
      <c r="A29" s="332">
        <v>35344</v>
      </c>
      <c r="B29" s="332">
        <v>24574</v>
      </c>
      <c r="C29" s="38">
        <v>46074</v>
      </c>
      <c r="D29" s="4" t="s">
        <v>447</v>
      </c>
      <c r="E29" s="4" t="s">
        <v>448</v>
      </c>
      <c r="F29" s="4" t="s">
        <v>4</v>
      </c>
      <c r="G29" s="4">
        <v>890303</v>
      </c>
      <c r="H29" s="4" t="s">
        <v>221</v>
      </c>
      <c r="I29" s="4" t="s">
        <v>222</v>
      </c>
      <c r="J29" s="4" t="s">
        <v>223</v>
      </c>
      <c r="K29" s="4"/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 t="s">
        <v>224</v>
      </c>
      <c r="U29" s="1" t="s">
        <v>202</v>
      </c>
      <c r="V29" s="1"/>
      <c r="W29" s="1" t="s">
        <v>63</v>
      </c>
      <c r="X29" s="1" t="s">
        <v>213</v>
      </c>
      <c r="Y29" s="1">
        <v>28</v>
      </c>
      <c r="Z29" s="1"/>
    </row>
    <row r="30" spans="1:26">
      <c r="A30" s="331">
        <v>35421</v>
      </c>
      <c r="B30" s="331">
        <v>24709</v>
      </c>
      <c r="C30" s="305">
        <v>46078</v>
      </c>
      <c r="D30" s="1" t="s">
        <v>463</v>
      </c>
      <c r="E30" s="1" t="s">
        <v>464</v>
      </c>
      <c r="F30" s="1" t="s">
        <v>127</v>
      </c>
      <c r="G30" s="1">
        <v>890303</v>
      </c>
      <c r="H30" s="1" t="s">
        <v>281</v>
      </c>
      <c r="I30" s="1" t="s">
        <v>282</v>
      </c>
      <c r="J30" s="1" t="s">
        <v>210</v>
      </c>
      <c r="K30" s="1"/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3">
        <v>0</v>
      </c>
      <c r="U30" s="1" t="s">
        <v>202</v>
      </c>
      <c r="V30" s="1"/>
      <c r="W30" s="1" t="s">
        <v>63</v>
      </c>
      <c r="X30" s="1" t="s">
        <v>213</v>
      </c>
      <c r="Y30" s="1">
        <v>26</v>
      </c>
      <c r="Z30" s="1"/>
    </row>
    <row r="31" spans="1:26">
      <c r="A31" s="332">
        <v>35425</v>
      </c>
      <c r="B31" s="332">
        <v>24719</v>
      </c>
      <c r="C31" s="38">
        <v>46079</v>
      </c>
      <c r="D31" s="4" t="s">
        <v>469</v>
      </c>
      <c r="E31" s="4" t="s">
        <v>470</v>
      </c>
      <c r="F31" s="4" t="s">
        <v>4</v>
      </c>
      <c r="G31" s="4" t="s">
        <v>471</v>
      </c>
      <c r="H31" s="4" t="s">
        <v>472</v>
      </c>
      <c r="I31" s="4" t="s">
        <v>230</v>
      </c>
      <c r="J31" s="4" t="s">
        <v>210</v>
      </c>
      <c r="K31" s="4" t="s">
        <v>239</v>
      </c>
      <c r="L31" s="5">
        <v>700000</v>
      </c>
      <c r="M31" s="5">
        <v>350000</v>
      </c>
      <c r="N31" s="5">
        <v>0</v>
      </c>
      <c r="O31" s="5">
        <v>0</v>
      </c>
      <c r="P31" s="5">
        <v>0</v>
      </c>
      <c r="Q31" s="5">
        <v>0</v>
      </c>
      <c r="R31" s="5">
        <v>350000</v>
      </c>
      <c r="S31" s="5">
        <v>350000</v>
      </c>
      <c r="T31" s="6" t="s">
        <v>224</v>
      </c>
      <c r="U31" s="1" t="s">
        <v>202</v>
      </c>
      <c r="V31" s="1"/>
      <c r="W31" s="1" t="s">
        <v>63</v>
      </c>
      <c r="X31" s="1" t="s">
        <v>277</v>
      </c>
      <c r="Y31" s="1">
        <v>20</v>
      </c>
      <c r="Z31" s="1"/>
    </row>
    <row r="32" spans="1:26">
      <c r="A32" s="332">
        <v>34655</v>
      </c>
      <c r="B32" s="332">
        <v>24814</v>
      </c>
      <c r="C32" s="38">
        <v>46080</v>
      </c>
      <c r="D32" s="4" t="s">
        <v>483</v>
      </c>
      <c r="E32" s="4" t="s">
        <v>484</v>
      </c>
      <c r="F32" s="4" t="s">
        <v>4</v>
      </c>
      <c r="G32" s="4" t="s">
        <v>245</v>
      </c>
      <c r="H32" s="4" t="s">
        <v>485</v>
      </c>
      <c r="I32" s="4" t="s">
        <v>246</v>
      </c>
      <c r="J32" s="4" t="s">
        <v>210</v>
      </c>
      <c r="K32" s="4" t="s">
        <v>247</v>
      </c>
      <c r="L32" s="5">
        <v>700000</v>
      </c>
      <c r="M32" s="5">
        <v>350000</v>
      </c>
      <c r="N32" s="5">
        <v>0</v>
      </c>
      <c r="O32" s="5">
        <v>0</v>
      </c>
      <c r="P32" s="5">
        <v>0</v>
      </c>
      <c r="Q32" s="5">
        <v>0</v>
      </c>
      <c r="R32" s="5">
        <v>350000</v>
      </c>
      <c r="S32" s="5">
        <v>350000</v>
      </c>
      <c r="T32" s="6" t="s">
        <v>224</v>
      </c>
      <c r="U32" s="1" t="s">
        <v>202</v>
      </c>
      <c r="V32" s="1"/>
      <c r="W32" s="1" t="s">
        <v>63</v>
      </c>
      <c r="X32" s="1" t="s">
        <v>213</v>
      </c>
      <c r="Y32" s="1">
        <v>29</v>
      </c>
      <c r="Z32" s="1"/>
    </row>
    <row r="33" spans="1:26">
      <c r="A33" s="332">
        <v>34446</v>
      </c>
      <c r="B33" s="332">
        <v>24818</v>
      </c>
      <c r="C33" s="38">
        <v>46074</v>
      </c>
      <c r="D33" s="4" t="s">
        <v>486</v>
      </c>
      <c r="E33" s="4" t="s">
        <v>487</v>
      </c>
      <c r="F33" s="4" t="s">
        <v>107</v>
      </c>
      <c r="G33" s="4" t="s">
        <v>362</v>
      </c>
      <c r="H33" s="4" t="s">
        <v>363</v>
      </c>
      <c r="I33" s="4" t="s">
        <v>349</v>
      </c>
      <c r="J33" s="4" t="s">
        <v>210</v>
      </c>
      <c r="K33" s="4"/>
      <c r="L33" s="5">
        <v>900000</v>
      </c>
      <c r="M33" s="5">
        <v>450000</v>
      </c>
      <c r="N33" s="5">
        <v>0</v>
      </c>
      <c r="O33" s="5">
        <v>0</v>
      </c>
      <c r="P33" s="5">
        <v>0</v>
      </c>
      <c r="Q33" s="5">
        <v>0</v>
      </c>
      <c r="R33" s="5">
        <v>450000</v>
      </c>
      <c r="S33" s="5">
        <v>450000</v>
      </c>
      <c r="T33" s="6" t="s">
        <v>224</v>
      </c>
      <c r="U33" s="1" t="s">
        <v>202</v>
      </c>
      <c r="V33" s="1"/>
      <c r="W33" s="1" t="s">
        <v>63</v>
      </c>
      <c r="X33" s="1" t="s">
        <v>213</v>
      </c>
      <c r="Y33" s="1">
        <v>38</v>
      </c>
      <c r="Z33" s="1"/>
    </row>
    <row r="34" spans="1:26">
      <c r="A34" s="332">
        <v>34446</v>
      </c>
      <c r="B34" s="332">
        <v>24819</v>
      </c>
      <c r="C34" s="38">
        <v>46074</v>
      </c>
      <c r="D34" s="4" t="s">
        <v>486</v>
      </c>
      <c r="E34" s="4" t="s">
        <v>487</v>
      </c>
      <c r="F34" s="4" t="s">
        <v>107</v>
      </c>
      <c r="G34" s="4" t="s">
        <v>488</v>
      </c>
      <c r="H34" s="4" t="s">
        <v>489</v>
      </c>
      <c r="I34" s="4" t="s">
        <v>349</v>
      </c>
      <c r="J34" s="4" t="s">
        <v>210</v>
      </c>
      <c r="K34" s="4"/>
      <c r="L34" s="5">
        <v>1900000</v>
      </c>
      <c r="M34" s="5">
        <v>950000</v>
      </c>
      <c r="N34" s="5">
        <v>0</v>
      </c>
      <c r="O34" s="5">
        <v>0</v>
      </c>
      <c r="P34" s="5">
        <v>0</v>
      </c>
      <c r="Q34" s="5">
        <v>0</v>
      </c>
      <c r="R34" s="5">
        <v>950000</v>
      </c>
      <c r="S34" s="5">
        <v>950000</v>
      </c>
      <c r="T34" s="6" t="s">
        <v>224</v>
      </c>
      <c r="U34" s="1" t="s">
        <v>202</v>
      </c>
      <c r="V34" s="1"/>
      <c r="W34" s="1" t="s">
        <v>63</v>
      </c>
      <c r="X34" s="1" t="s">
        <v>213</v>
      </c>
      <c r="Y34" s="1">
        <v>38</v>
      </c>
      <c r="Z34" s="1"/>
    </row>
    <row r="35" spans="1:26">
      <c r="A35" s="332">
        <v>35543</v>
      </c>
      <c r="B35" s="332">
        <v>24889</v>
      </c>
      <c r="C35" s="38">
        <v>46074</v>
      </c>
      <c r="D35" s="4" t="s">
        <v>507</v>
      </c>
      <c r="E35" s="4" t="s">
        <v>508</v>
      </c>
      <c r="F35" s="4" t="s">
        <v>2</v>
      </c>
      <c r="G35" s="4" t="s">
        <v>324</v>
      </c>
      <c r="H35" s="4" t="s">
        <v>325</v>
      </c>
      <c r="I35" s="4" t="s">
        <v>2897</v>
      </c>
      <c r="J35" s="4" t="s">
        <v>210</v>
      </c>
      <c r="K35" s="4" t="s">
        <v>313</v>
      </c>
      <c r="L35" s="5">
        <v>100000</v>
      </c>
      <c r="M35" s="5">
        <v>65000</v>
      </c>
      <c r="N35" s="5">
        <v>0</v>
      </c>
      <c r="O35" s="5">
        <v>0</v>
      </c>
      <c r="P35" s="5">
        <v>0</v>
      </c>
      <c r="Q35" s="5">
        <v>0</v>
      </c>
      <c r="R35" s="5">
        <v>35000</v>
      </c>
      <c r="S35" s="5">
        <v>35000</v>
      </c>
      <c r="T35" s="6" t="s">
        <v>224</v>
      </c>
      <c r="U35" s="1" t="s">
        <v>202</v>
      </c>
      <c r="V35" s="1"/>
      <c r="W35" s="1" t="s">
        <v>63</v>
      </c>
      <c r="X35" s="1" t="s">
        <v>225</v>
      </c>
      <c r="Y35" s="1">
        <v>32</v>
      </c>
      <c r="Z35" s="1"/>
    </row>
    <row r="36" spans="1:26">
      <c r="A36" s="332">
        <v>25459</v>
      </c>
      <c r="B36" s="332">
        <v>24912</v>
      </c>
      <c r="C36" s="38">
        <v>46074</v>
      </c>
      <c r="D36" s="4" t="s">
        <v>509</v>
      </c>
      <c r="E36" s="4" t="s">
        <v>510</v>
      </c>
      <c r="F36" s="4" t="s">
        <v>122</v>
      </c>
      <c r="G36" s="4" t="s">
        <v>197</v>
      </c>
      <c r="H36" s="4" t="s">
        <v>198</v>
      </c>
      <c r="I36" s="4" t="s">
        <v>199</v>
      </c>
      <c r="J36" s="4" t="s">
        <v>200</v>
      </c>
      <c r="K36" s="4" t="s">
        <v>201</v>
      </c>
      <c r="L36" s="5">
        <v>90000</v>
      </c>
      <c r="M36" s="5">
        <v>15300</v>
      </c>
      <c r="N36" s="5">
        <v>0</v>
      </c>
      <c r="O36" s="5">
        <v>0</v>
      </c>
      <c r="P36" s="5">
        <v>0</v>
      </c>
      <c r="Q36" s="5">
        <v>0</v>
      </c>
      <c r="R36" s="5">
        <v>74700</v>
      </c>
      <c r="S36" s="5">
        <v>74700</v>
      </c>
      <c r="T36" s="6" t="s">
        <v>224</v>
      </c>
      <c r="U36" s="1" t="s">
        <v>202</v>
      </c>
      <c r="V36" s="1"/>
      <c r="W36" s="1" t="s">
        <v>63</v>
      </c>
      <c r="X36" s="1" t="s">
        <v>277</v>
      </c>
      <c r="Y36" s="1">
        <v>35</v>
      </c>
      <c r="Z36" s="1"/>
    </row>
    <row r="37" spans="1:26">
      <c r="A37" s="332">
        <v>32879</v>
      </c>
      <c r="B37" s="332">
        <v>24916</v>
      </c>
      <c r="C37" s="38">
        <v>46074</v>
      </c>
      <c r="D37" s="4" t="s">
        <v>511</v>
      </c>
      <c r="E37" s="4" t="s">
        <v>512</v>
      </c>
      <c r="F37" s="4" t="s">
        <v>2</v>
      </c>
      <c r="G37" s="4" t="s">
        <v>461</v>
      </c>
      <c r="H37" s="4" t="s">
        <v>462</v>
      </c>
      <c r="I37" s="4" t="s">
        <v>267</v>
      </c>
      <c r="J37" s="4" t="s">
        <v>210</v>
      </c>
      <c r="K37" s="4" t="s">
        <v>268</v>
      </c>
      <c r="L37" s="5">
        <v>1100000</v>
      </c>
      <c r="M37" s="5">
        <v>550000</v>
      </c>
      <c r="N37" s="5">
        <v>0</v>
      </c>
      <c r="O37" s="5">
        <v>0</v>
      </c>
      <c r="P37" s="5">
        <v>0</v>
      </c>
      <c r="Q37" s="5">
        <v>0</v>
      </c>
      <c r="R37" s="5">
        <v>550000</v>
      </c>
      <c r="S37" s="5">
        <v>550000</v>
      </c>
      <c r="T37" s="6" t="s">
        <v>224</v>
      </c>
      <c r="U37" s="1" t="s">
        <v>202</v>
      </c>
      <c r="V37" s="1"/>
      <c r="W37" s="1" t="s">
        <v>63</v>
      </c>
      <c r="X37" s="1" t="s">
        <v>213</v>
      </c>
      <c r="Y37" s="1">
        <v>23</v>
      </c>
      <c r="Z37" s="1"/>
    </row>
    <row r="38" spans="1:26">
      <c r="A38" s="332">
        <v>32879</v>
      </c>
      <c r="B38" s="332">
        <v>24917</v>
      </c>
      <c r="C38" s="38">
        <v>46074</v>
      </c>
      <c r="D38" s="4" t="s">
        <v>511</v>
      </c>
      <c r="E38" s="4" t="s">
        <v>512</v>
      </c>
      <c r="F38" s="4" t="s">
        <v>2</v>
      </c>
      <c r="G38" s="4">
        <v>868116</v>
      </c>
      <c r="H38" s="4" t="s">
        <v>298</v>
      </c>
      <c r="I38" s="4" t="s">
        <v>282</v>
      </c>
      <c r="J38" s="4" t="s">
        <v>210</v>
      </c>
      <c r="K38" s="4" t="s">
        <v>268</v>
      </c>
      <c r="L38" s="5">
        <v>200000</v>
      </c>
      <c r="M38" s="5">
        <v>100000</v>
      </c>
      <c r="N38" s="5">
        <v>0</v>
      </c>
      <c r="O38" s="5">
        <v>0</v>
      </c>
      <c r="P38" s="5">
        <v>0</v>
      </c>
      <c r="Q38" s="5">
        <v>0</v>
      </c>
      <c r="R38" s="5">
        <v>100000</v>
      </c>
      <c r="S38" s="5">
        <v>100000</v>
      </c>
      <c r="T38" s="6" t="s">
        <v>224</v>
      </c>
      <c r="U38" s="1" t="s">
        <v>202</v>
      </c>
      <c r="V38" s="1"/>
      <c r="W38" s="1" t="s">
        <v>63</v>
      </c>
      <c r="X38" s="1" t="s">
        <v>213</v>
      </c>
      <c r="Y38" s="1">
        <v>23</v>
      </c>
      <c r="Z38" s="1"/>
    </row>
    <row r="39" spans="1:26">
      <c r="A39" s="332">
        <v>35554</v>
      </c>
      <c r="B39" s="332">
        <v>24922</v>
      </c>
      <c r="C39" s="38">
        <v>46074</v>
      </c>
      <c r="D39" s="4" t="s">
        <v>515</v>
      </c>
      <c r="E39" s="4" t="s">
        <v>516</v>
      </c>
      <c r="F39" s="4" t="s">
        <v>5</v>
      </c>
      <c r="G39" s="4">
        <v>861426</v>
      </c>
      <c r="H39" s="4" t="s">
        <v>517</v>
      </c>
      <c r="I39" s="4" t="s">
        <v>300</v>
      </c>
      <c r="J39" s="4" t="s">
        <v>210</v>
      </c>
      <c r="K39" s="4"/>
      <c r="L39" s="5">
        <v>900000</v>
      </c>
      <c r="M39" s="5">
        <v>450000</v>
      </c>
      <c r="N39" s="5">
        <v>0</v>
      </c>
      <c r="O39" s="5">
        <v>0</v>
      </c>
      <c r="P39" s="5">
        <v>0</v>
      </c>
      <c r="Q39" s="5">
        <v>0</v>
      </c>
      <c r="R39" s="5">
        <v>450000</v>
      </c>
      <c r="S39" s="5">
        <v>450000</v>
      </c>
      <c r="T39" s="6" t="s">
        <v>224</v>
      </c>
      <c r="U39" s="1" t="s">
        <v>202</v>
      </c>
      <c r="V39" s="1"/>
      <c r="W39" s="1" t="s">
        <v>63</v>
      </c>
      <c r="X39" s="1" t="s">
        <v>225</v>
      </c>
      <c r="Y39" s="1">
        <v>39</v>
      </c>
      <c r="Z39" s="1"/>
    </row>
    <row r="40" spans="1:26">
      <c r="A40" s="331">
        <v>35579</v>
      </c>
      <c r="B40" s="331">
        <v>24954</v>
      </c>
      <c r="C40" s="305">
        <v>46081</v>
      </c>
      <c r="D40" s="1" t="s">
        <v>527</v>
      </c>
      <c r="E40" s="1" t="s">
        <v>528</v>
      </c>
      <c r="F40" s="1" t="s">
        <v>127</v>
      </c>
      <c r="G40" s="1">
        <v>890303</v>
      </c>
      <c r="H40" s="1" t="s">
        <v>281</v>
      </c>
      <c r="I40" s="1" t="s">
        <v>282</v>
      </c>
      <c r="J40" s="1" t="s">
        <v>210</v>
      </c>
      <c r="K40" s="1"/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3">
        <v>0</v>
      </c>
      <c r="U40" s="1" t="s">
        <v>202</v>
      </c>
      <c r="V40" s="1"/>
      <c r="W40" s="1" t="s">
        <v>63</v>
      </c>
      <c r="X40" s="1" t="s">
        <v>529</v>
      </c>
      <c r="Y40" s="1">
        <v>25</v>
      </c>
      <c r="Z40" s="1"/>
    </row>
    <row r="41" spans="1:26">
      <c r="A41" s="332">
        <v>35580</v>
      </c>
      <c r="B41" s="332">
        <v>24955</v>
      </c>
      <c r="C41" s="38">
        <v>46074</v>
      </c>
      <c r="D41" s="4" t="s">
        <v>530</v>
      </c>
      <c r="E41" s="4" t="s">
        <v>531</v>
      </c>
      <c r="F41" s="4" t="s">
        <v>2</v>
      </c>
      <c r="G41" s="4">
        <v>890303</v>
      </c>
      <c r="H41" s="4" t="s">
        <v>221</v>
      </c>
      <c r="I41" s="4" t="s">
        <v>222</v>
      </c>
      <c r="J41" s="4" t="s">
        <v>223</v>
      </c>
      <c r="K41" s="4"/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 t="s">
        <v>224</v>
      </c>
      <c r="U41" s="1" t="s">
        <v>202</v>
      </c>
      <c r="V41" s="1"/>
      <c r="W41" s="1" t="s">
        <v>63</v>
      </c>
      <c r="X41" s="1" t="s">
        <v>213</v>
      </c>
      <c r="Y41" s="1">
        <v>23</v>
      </c>
      <c r="Z41" s="1"/>
    </row>
    <row r="42" spans="1:26">
      <c r="A42" s="332">
        <v>35593</v>
      </c>
      <c r="B42" s="332">
        <v>24971</v>
      </c>
      <c r="C42" s="38">
        <v>46073</v>
      </c>
      <c r="D42" s="4" t="s">
        <v>534</v>
      </c>
      <c r="E42" s="4" t="s">
        <v>535</v>
      </c>
      <c r="F42" s="4" t="s">
        <v>122</v>
      </c>
      <c r="G42" s="4" t="s">
        <v>536</v>
      </c>
      <c r="H42" s="4" t="s">
        <v>537</v>
      </c>
      <c r="I42" s="4" t="s">
        <v>538</v>
      </c>
      <c r="J42" s="4" t="s">
        <v>200</v>
      </c>
      <c r="K42" s="4"/>
      <c r="L42" s="5">
        <v>1056000</v>
      </c>
      <c r="M42" s="5">
        <v>179520</v>
      </c>
      <c r="N42" s="5">
        <v>0</v>
      </c>
      <c r="O42" s="5">
        <v>0</v>
      </c>
      <c r="P42" s="5">
        <v>0</v>
      </c>
      <c r="Q42" s="5">
        <v>0</v>
      </c>
      <c r="R42" s="5">
        <v>876480</v>
      </c>
      <c r="S42" s="5">
        <v>876480</v>
      </c>
      <c r="T42" s="6" t="s">
        <v>224</v>
      </c>
      <c r="U42" s="1" t="s">
        <v>202</v>
      </c>
      <c r="V42" s="1"/>
      <c r="W42" s="1" t="s">
        <v>63</v>
      </c>
      <c r="X42" s="1" t="s">
        <v>204</v>
      </c>
      <c r="Y42" s="1">
        <v>40</v>
      </c>
      <c r="Z42" s="1"/>
    </row>
    <row r="43" spans="1:26">
      <c r="A43" s="332">
        <v>35594</v>
      </c>
      <c r="B43" s="332">
        <v>24972</v>
      </c>
      <c r="C43" s="38">
        <v>46077</v>
      </c>
      <c r="D43" s="4" t="s">
        <v>539</v>
      </c>
      <c r="E43" s="4" t="s">
        <v>540</v>
      </c>
      <c r="F43" s="4" t="s">
        <v>2</v>
      </c>
      <c r="G43" s="4">
        <v>890303</v>
      </c>
      <c r="H43" s="4" t="s">
        <v>221</v>
      </c>
      <c r="I43" s="4" t="s">
        <v>222</v>
      </c>
      <c r="J43" s="4" t="s">
        <v>223</v>
      </c>
      <c r="K43" s="4"/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6" t="s">
        <v>224</v>
      </c>
      <c r="U43" s="1" t="s">
        <v>202</v>
      </c>
      <c r="V43" s="1"/>
      <c r="W43" s="1" t="s">
        <v>63</v>
      </c>
      <c r="X43" s="1" t="s">
        <v>213</v>
      </c>
      <c r="Y43" s="1">
        <v>37</v>
      </c>
      <c r="Z43" s="1"/>
    </row>
    <row r="44" spans="1:26">
      <c r="A44" s="332">
        <v>34098</v>
      </c>
      <c r="B44" s="332">
        <v>24976</v>
      </c>
      <c r="C44" s="38">
        <v>46080</v>
      </c>
      <c r="D44" s="4" t="s">
        <v>541</v>
      </c>
      <c r="E44" s="4" t="s">
        <v>542</v>
      </c>
      <c r="F44" s="4" t="s">
        <v>2</v>
      </c>
      <c r="G44" s="4" t="s">
        <v>391</v>
      </c>
      <c r="H44" s="4" t="s">
        <v>392</v>
      </c>
      <c r="I44" s="4" t="s">
        <v>257</v>
      </c>
      <c r="J44" s="4" t="s">
        <v>210</v>
      </c>
      <c r="K44" s="4"/>
      <c r="L44" s="5">
        <v>500000</v>
      </c>
      <c r="M44" s="5">
        <v>250000</v>
      </c>
      <c r="N44" s="5">
        <v>0</v>
      </c>
      <c r="O44" s="5">
        <v>0</v>
      </c>
      <c r="P44" s="5">
        <v>0</v>
      </c>
      <c r="Q44" s="5">
        <v>0</v>
      </c>
      <c r="R44" s="5">
        <v>250000</v>
      </c>
      <c r="S44" s="5">
        <v>250000</v>
      </c>
      <c r="T44" s="6" t="s">
        <v>224</v>
      </c>
      <c r="U44" s="1" t="s">
        <v>202</v>
      </c>
      <c r="V44" s="1"/>
      <c r="W44" s="1" t="s">
        <v>63</v>
      </c>
      <c r="X44" s="1" t="s">
        <v>213</v>
      </c>
      <c r="Y44" s="1">
        <v>37</v>
      </c>
      <c r="Z44" s="1"/>
    </row>
    <row r="45" spans="1:26">
      <c r="A45" s="332">
        <v>35630</v>
      </c>
      <c r="B45" s="332">
        <v>25041</v>
      </c>
      <c r="C45" s="38">
        <v>46080</v>
      </c>
      <c r="D45" s="4" t="s">
        <v>561</v>
      </c>
      <c r="E45" s="4" t="s">
        <v>562</v>
      </c>
      <c r="F45" s="4" t="s">
        <v>4</v>
      </c>
      <c r="G45" s="4">
        <v>890303</v>
      </c>
      <c r="H45" s="4" t="s">
        <v>221</v>
      </c>
      <c r="I45" s="4" t="s">
        <v>222</v>
      </c>
      <c r="J45" s="4" t="s">
        <v>223</v>
      </c>
      <c r="K45" s="4"/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 t="s">
        <v>224</v>
      </c>
      <c r="U45" s="1" t="s">
        <v>202</v>
      </c>
      <c r="V45" s="1"/>
      <c r="W45" s="1" t="s">
        <v>63</v>
      </c>
      <c r="X45" s="1" t="s">
        <v>213</v>
      </c>
      <c r="Y45" s="1">
        <v>37</v>
      </c>
      <c r="Z45" s="1"/>
    </row>
    <row r="46" spans="1:26">
      <c r="A46" s="331">
        <v>29461</v>
      </c>
      <c r="B46" s="331">
        <v>25076</v>
      </c>
      <c r="C46" s="305">
        <v>46074</v>
      </c>
      <c r="D46" s="1" t="s">
        <v>567</v>
      </c>
      <c r="E46" s="1" t="s">
        <v>568</v>
      </c>
      <c r="F46" s="1" t="s">
        <v>2</v>
      </c>
      <c r="G46" s="1">
        <v>861401</v>
      </c>
      <c r="H46" s="1" t="s">
        <v>307</v>
      </c>
      <c r="I46" s="1" t="s">
        <v>282</v>
      </c>
      <c r="J46" s="1" t="s">
        <v>210</v>
      </c>
      <c r="K46" s="1"/>
      <c r="L46" s="2">
        <v>300000</v>
      </c>
      <c r="M46" s="2">
        <v>150000</v>
      </c>
      <c r="N46" s="2">
        <v>0</v>
      </c>
      <c r="O46" s="2">
        <v>0</v>
      </c>
      <c r="P46" s="2">
        <v>0</v>
      </c>
      <c r="Q46" s="2">
        <v>0</v>
      </c>
      <c r="R46" s="2">
        <v>150000</v>
      </c>
      <c r="S46" s="2">
        <v>150000</v>
      </c>
      <c r="T46" s="3">
        <v>0.5</v>
      </c>
      <c r="U46" s="1" t="s">
        <v>202</v>
      </c>
      <c r="V46" s="1"/>
      <c r="W46" s="1" t="s">
        <v>63</v>
      </c>
      <c r="X46" s="1" t="s">
        <v>213</v>
      </c>
      <c r="Y46" s="1">
        <v>31</v>
      </c>
      <c r="Z46" s="1"/>
    </row>
    <row r="47" spans="1:26">
      <c r="A47" s="331">
        <v>29461</v>
      </c>
      <c r="B47" s="331">
        <v>25077</v>
      </c>
      <c r="C47" s="305">
        <v>46074</v>
      </c>
      <c r="D47" s="1" t="s">
        <v>567</v>
      </c>
      <c r="E47" s="1" t="s">
        <v>568</v>
      </c>
      <c r="F47" s="1" t="s">
        <v>2</v>
      </c>
      <c r="G47" s="1" t="s">
        <v>409</v>
      </c>
      <c r="H47" s="1" t="s">
        <v>410</v>
      </c>
      <c r="I47" s="1" t="s">
        <v>297</v>
      </c>
      <c r="J47" s="1" t="s">
        <v>210</v>
      </c>
      <c r="K47" s="1" t="s">
        <v>328</v>
      </c>
      <c r="L47" s="2">
        <v>1000000</v>
      </c>
      <c r="M47" s="2">
        <v>500000</v>
      </c>
      <c r="N47" s="2">
        <v>0</v>
      </c>
      <c r="O47" s="2">
        <v>0</v>
      </c>
      <c r="P47" s="2">
        <v>0</v>
      </c>
      <c r="Q47" s="2">
        <v>0</v>
      </c>
      <c r="R47" s="2">
        <v>500000</v>
      </c>
      <c r="S47" s="2">
        <v>500000</v>
      </c>
      <c r="T47" s="3">
        <v>0.5</v>
      </c>
      <c r="U47" s="1" t="s">
        <v>202</v>
      </c>
      <c r="V47" s="1"/>
      <c r="W47" s="1" t="s">
        <v>63</v>
      </c>
      <c r="X47" s="1" t="s">
        <v>213</v>
      </c>
      <c r="Y47" s="1">
        <v>31</v>
      </c>
      <c r="Z47" s="1"/>
    </row>
    <row r="48" spans="1:26">
      <c r="A48" s="331">
        <v>30220</v>
      </c>
      <c r="B48" s="331">
        <v>25086</v>
      </c>
      <c r="C48" s="305">
        <v>46077</v>
      </c>
      <c r="D48" s="1" t="s">
        <v>569</v>
      </c>
      <c r="E48" s="1" t="s">
        <v>570</v>
      </c>
      <c r="F48" s="1" t="s">
        <v>131</v>
      </c>
      <c r="G48" s="1" t="s">
        <v>242</v>
      </c>
      <c r="H48" s="1" t="s">
        <v>243</v>
      </c>
      <c r="I48" s="1" t="s">
        <v>199</v>
      </c>
      <c r="J48" s="1" t="s">
        <v>200</v>
      </c>
      <c r="K48" s="1" t="s">
        <v>201</v>
      </c>
      <c r="L48" s="2">
        <v>140000</v>
      </c>
      <c r="M48" s="2">
        <v>23800</v>
      </c>
      <c r="N48" s="2">
        <v>0</v>
      </c>
      <c r="O48" s="2">
        <v>0</v>
      </c>
      <c r="P48" s="2">
        <v>0</v>
      </c>
      <c r="Q48" s="2">
        <v>0</v>
      </c>
      <c r="R48" s="2">
        <v>116200</v>
      </c>
      <c r="S48" s="2">
        <v>116200</v>
      </c>
      <c r="T48" s="3">
        <v>0.83</v>
      </c>
      <c r="U48" s="1" t="s">
        <v>202</v>
      </c>
      <c r="V48" s="1"/>
      <c r="W48" s="1" t="s">
        <v>63</v>
      </c>
      <c r="X48" s="1" t="s">
        <v>225</v>
      </c>
      <c r="Y48" s="1">
        <v>51</v>
      </c>
      <c r="Z48" s="1"/>
    </row>
    <row r="49" spans="1:26">
      <c r="A49" s="331">
        <v>34189</v>
      </c>
      <c r="B49" s="331">
        <v>25103</v>
      </c>
      <c r="C49" s="305">
        <v>46074</v>
      </c>
      <c r="D49" s="1" t="s">
        <v>573</v>
      </c>
      <c r="E49" s="1" t="s">
        <v>574</v>
      </c>
      <c r="F49" s="1" t="s">
        <v>2</v>
      </c>
      <c r="G49" s="1" t="s">
        <v>451</v>
      </c>
      <c r="H49" s="1" t="s">
        <v>452</v>
      </c>
      <c r="I49" s="1" t="s">
        <v>2901</v>
      </c>
      <c r="J49" s="1" t="s">
        <v>210</v>
      </c>
      <c r="K49" s="1" t="s">
        <v>328</v>
      </c>
      <c r="L49" s="2">
        <v>450000</v>
      </c>
      <c r="M49" s="2">
        <v>225000</v>
      </c>
      <c r="N49" s="2">
        <v>0</v>
      </c>
      <c r="O49" s="2">
        <v>0</v>
      </c>
      <c r="P49" s="2">
        <v>0</v>
      </c>
      <c r="Q49" s="2">
        <v>0</v>
      </c>
      <c r="R49" s="2">
        <v>225000</v>
      </c>
      <c r="S49" s="2">
        <v>225000</v>
      </c>
      <c r="T49" s="3">
        <v>0.5</v>
      </c>
      <c r="U49" s="1" t="s">
        <v>202</v>
      </c>
      <c r="V49" s="1"/>
      <c r="W49" s="1" t="s">
        <v>63</v>
      </c>
      <c r="X49" s="1" t="s">
        <v>319</v>
      </c>
      <c r="Y49" s="1">
        <v>4</v>
      </c>
      <c r="Z49" s="1"/>
    </row>
    <row r="50" spans="1:26">
      <c r="A50" s="332">
        <v>35703</v>
      </c>
      <c r="B50" s="332">
        <v>25164</v>
      </c>
      <c r="C50" s="38">
        <v>46076</v>
      </c>
      <c r="D50" s="4" t="s">
        <v>591</v>
      </c>
      <c r="E50" s="4" t="s">
        <v>592</v>
      </c>
      <c r="F50" s="4" t="s">
        <v>4</v>
      </c>
      <c r="G50" s="4">
        <v>890303</v>
      </c>
      <c r="H50" s="4" t="s">
        <v>221</v>
      </c>
      <c r="I50" s="4" t="s">
        <v>222</v>
      </c>
      <c r="J50" s="4" t="s">
        <v>223</v>
      </c>
      <c r="K50" s="4"/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 t="s">
        <v>224</v>
      </c>
      <c r="U50" s="1" t="s">
        <v>202</v>
      </c>
      <c r="V50" s="1"/>
      <c r="W50" s="1" t="s">
        <v>63</v>
      </c>
      <c r="X50" s="1" t="s">
        <v>248</v>
      </c>
      <c r="Y50" s="1">
        <v>43</v>
      </c>
      <c r="Z50" s="1"/>
    </row>
    <row r="51" spans="1:26">
      <c r="A51" s="331">
        <v>27678</v>
      </c>
      <c r="B51" s="331">
        <v>25187</v>
      </c>
      <c r="C51" s="305">
        <v>46073</v>
      </c>
      <c r="D51" s="1" t="s">
        <v>593</v>
      </c>
      <c r="E51" s="1" t="s">
        <v>594</v>
      </c>
      <c r="F51" s="1" t="s">
        <v>2</v>
      </c>
      <c r="G51" s="1" t="s">
        <v>409</v>
      </c>
      <c r="H51" s="1" t="s">
        <v>410</v>
      </c>
      <c r="I51" s="1" t="s">
        <v>297</v>
      </c>
      <c r="J51" s="1" t="s">
        <v>210</v>
      </c>
      <c r="K51" s="1" t="s">
        <v>328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3">
        <v>0</v>
      </c>
      <c r="U51" s="1" t="s">
        <v>202</v>
      </c>
      <c r="V51" s="1"/>
      <c r="W51" s="1" t="s">
        <v>63</v>
      </c>
      <c r="X51" s="1" t="s">
        <v>213</v>
      </c>
      <c r="Y51" s="1">
        <v>33</v>
      </c>
      <c r="Z51" s="1"/>
    </row>
    <row r="52" spans="1:26">
      <c r="A52" s="332">
        <v>35759</v>
      </c>
      <c r="B52" s="332">
        <v>25278</v>
      </c>
      <c r="C52" s="38">
        <v>46073</v>
      </c>
      <c r="D52" s="4" t="s">
        <v>621</v>
      </c>
      <c r="E52" s="4" t="s">
        <v>622</v>
      </c>
      <c r="F52" s="4" t="s">
        <v>2</v>
      </c>
      <c r="G52" s="4">
        <v>890303</v>
      </c>
      <c r="H52" s="4" t="s">
        <v>221</v>
      </c>
      <c r="I52" s="4" t="s">
        <v>222</v>
      </c>
      <c r="J52" s="4" t="s">
        <v>223</v>
      </c>
      <c r="K52" s="4"/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 t="s">
        <v>224</v>
      </c>
      <c r="U52" s="1" t="s">
        <v>202</v>
      </c>
      <c r="V52" s="1"/>
      <c r="W52" s="1" t="s">
        <v>63</v>
      </c>
      <c r="X52" s="1" t="s">
        <v>213</v>
      </c>
      <c r="Y52" s="1">
        <v>11</v>
      </c>
      <c r="Z52" s="1"/>
    </row>
    <row r="53" spans="1:26">
      <c r="A53" s="331">
        <v>27833</v>
      </c>
      <c r="B53" s="331">
        <v>25283</v>
      </c>
      <c r="C53" s="305">
        <v>46080</v>
      </c>
      <c r="D53" s="1" t="s">
        <v>627</v>
      </c>
      <c r="E53" s="1" t="s">
        <v>628</v>
      </c>
      <c r="F53" s="1" t="s">
        <v>3</v>
      </c>
      <c r="G53" s="1" t="s">
        <v>629</v>
      </c>
      <c r="H53" s="1" t="s">
        <v>630</v>
      </c>
      <c r="I53" s="1" t="s">
        <v>267</v>
      </c>
      <c r="J53" s="1" t="s">
        <v>210</v>
      </c>
      <c r="K53" s="1" t="s">
        <v>268</v>
      </c>
      <c r="L53" s="2">
        <v>700000</v>
      </c>
      <c r="M53" s="2">
        <v>350000</v>
      </c>
      <c r="N53" s="2">
        <v>0</v>
      </c>
      <c r="O53" s="2">
        <v>0</v>
      </c>
      <c r="P53" s="2">
        <v>0</v>
      </c>
      <c r="Q53" s="2">
        <v>0</v>
      </c>
      <c r="R53" s="2">
        <v>350000</v>
      </c>
      <c r="S53" s="2">
        <v>350000</v>
      </c>
      <c r="T53" s="3">
        <v>0.5</v>
      </c>
      <c r="U53" s="1" t="s">
        <v>202</v>
      </c>
      <c r="V53" s="1"/>
      <c r="W53" s="1" t="s">
        <v>63</v>
      </c>
      <c r="X53" s="1" t="s">
        <v>225</v>
      </c>
      <c r="Y53" s="1">
        <v>58</v>
      </c>
      <c r="Z53" s="1"/>
    </row>
    <row r="54" spans="1:26">
      <c r="A54" s="331">
        <v>35766</v>
      </c>
      <c r="B54" s="331">
        <v>25286</v>
      </c>
      <c r="C54" s="305">
        <v>46073</v>
      </c>
      <c r="D54" s="1" t="s">
        <v>633</v>
      </c>
      <c r="E54" s="1" t="s">
        <v>634</v>
      </c>
      <c r="F54" s="1" t="s">
        <v>4</v>
      </c>
      <c r="G54" s="1">
        <v>890303</v>
      </c>
      <c r="H54" s="1" t="s">
        <v>281</v>
      </c>
      <c r="I54" s="1" t="s">
        <v>282</v>
      </c>
      <c r="J54" s="1" t="s">
        <v>210</v>
      </c>
      <c r="K54" s="1"/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3">
        <v>0</v>
      </c>
      <c r="U54" s="1" t="s">
        <v>202</v>
      </c>
      <c r="V54" s="1"/>
      <c r="W54" s="1" t="s">
        <v>63</v>
      </c>
      <c r="X54" s="1" t="s">
        <v>213</v>
      </c>
      <c r="Y54" s="1">
        <v>29</v>
      </c>
      <c r="Z54" s="1"/>
    </row>
    <row r="55" spans="1:26">
      <c r="A55" s="331">
        <v>28441</v>
      </c>
      <c r="B55" s="331">
        <v>25300</v>
      </c>
      <c r="C55" s="305">
        <v>46074</v>
      </c>
      <c r="D55" s="1" t="s">
        <v>635</v>
      </c>
      <c r="E55" s="1" t="s">
        <v>636</v>
      </c>
      <c r="F55" s="1" t="s">
        <v>4</v>
      </c>
      <c r="G55" s="1" t="s">
        <v>228</v>
      </c>
      <c r="H55" s="1" t="s">
        <v>229</v>
      </c>
      <c r="I55" s="1" t="s">
        <v>230</v>
      </c>
      <c r="J55" s="1" t="s">
        <v>210</v>
      </c>
      <c r="K55" s="1" t="s">
        <v>239</v>
      </c>
      <c r="L55" s="2">
        <v>350000</v>
      </c>
      <c r="M55" s="2">
        <v>175000</v>
      </c>
      <c r="N55" s="2">
        <v>0</v>
      </c>
      <c r="O55" s="2">
        <v>0</v>
      </c>
      <c r="P55" s="2">
        <v>0</v>
      </c>
      <c r="Q55" s="2">
        <v>0</v>
      </c>
      <c r="R55" s="2">
        <v>175000</v>
      </c>
      <c r="S55" s="2">
        <v>175000</v>
      </c>
      <c r="T55" s="3">
        <v>0.5</v>
      </c>
      <c r="U55" s="1" t="s">
        <v>202</v>
      </c>
      <c r="V55" s="1"/>
      <c r="W55" s="1" t="s">
        <v>63</v>
      </c>
      <c r="X55" s="1" t="s">
        <v>248</v>
      </c>
      <c r="Y55" s="1">
        <v>56</v>
      </c>
      <c r="Z55" s="1"/>
    </row>
    <row r="56" spans="1:26">
      <c r="A56" s="331">
        <v>28441</v>
      </c>
      <c r="B56" s="331">
        <v>25301</v>
      </c>
      <c r="C56" s="305">
        <v>46074</v>
      </c>
      <c r="D56" s="1" t="s">
        <v>635</v>
      </c>
      <c r="E56" s="1" t="s">
        <v>636</v>
      </c>
      <c r="F56" s="1" t="s">
        <v>4</v>
      </c>
      <c r="G56" s="1" t="s">
        <v>324</v>
      </c>
      <c r="H56" s="1" t="s">
        <v>325</v>
      </c>
      <c r="I56" s="1" t="s">
        <v>2897</v>
      </c>
      <c r="J56" s="1" t="s">
        <v>210</v>
      </c>
      <c r="K56" s="1" t="s">
        <v>239</v>
      </c>
      <c r="L56" s="2">
        <v>650000</v>
      </c>
      <c r="M56" s="2">
        <v>325000</v>
      </c>
      <c r="N56" s="2">
        <v>0</v>
      </c>
      <c r="O56" s="2">
        <v>0</v>
      </c>
      <c r="P56" s="2">
        <v>0</v>
      </c>
      <c r="Q56" s="2">
        <v>0</v>
      </c>
      <c r="R56" s="2">
        <v>325000</v>
      </c>
      <c r="S56" s="2">
        <v>325000</v>
      </c>
      <c r="T56" s="3">
        <v>0.5</v>
      </c>
      <c r="U56" s="1" t="s">
        <v>202</v>
      </c>
      <c r="V56" s="1"/>
      <c r="W56" s="1" t="s">
        <v>63</v>
      </c>
      <c r="X56" s="1" t="s">
        <v>248</v>
      </c>
      <c r="Y56" s="1">
        <v>56</v>
      </c>
      <c r="Z56" s="1"/>
    </row>
    <row r="57" spans="1:26">
      <c r="A57" s="331">
        <v>34617</v>
      </c>
      <c r="B57" s="331">
        <v>25307</v>
      </c>
      <c r="C57" s="305">
        <v>46080</v>
      </c>
      <c r="D57" s="1" t="s">
        <v>643</v>
      </c>
      <c r="E57" s="1" t="s">
        <v>644</v>
      </c>
      <c r="F57" s="1" t="s">
        <v>4</v>
      </c>
      <c r="G57" s="1" t="s">
        <v>324</v>
      </c>
      <c r="H57" s="1" t="s">
        <v>325</v>
      </c>
      <c r="I57" s="1" t="s">
        <v>2897</v>
      </c>
      <c r="J57" s="1" t="s">
        <v>210</v>
      </c>
      <c r="K57" s="1" t="s">
        <v>239</v>
      </c>
      <c r="L57" s="2">
        <v>350000</v>
      </c>
      <c r="M57" s="2">
        <v>175000</v>
      </c>
      <c r="N57" s="2">
        <v>0</v>
      </c>
      <c r="O57" s="2">
        <v>0</v>
      </c>
      <c r="P57" s="2">
        <v>0</v>
      </c>
      <c r="Q57" s="2">
        <v>0</v>
      </c>
      <c r="R57" s="2">
        <v>175000</v>
      </c>
      <c r="S57" s="2">
        <v>175000</v>
      </c>
      <c r="T57" s="3">
        <v>0.5</v>
      </c>
      <c r="U57" s="1" t="s">
        <v>202</v>
      </c>
      <c r="V57" s="1"/>
      <c r="W57" s="1" t="s">
        <v>63</v>
      </c>
      <c r="X57" s="1" t="s">
        <v>529</v>
      </c>
      <c r="Y57" s="1">
        <v>37</v>
      </c>
      <c r="Z57" s="1"/>
    </row>
    <row r="58" spans="1:26">
      <c r="A58" s="332">
        <v>23325</v>
      </c>
      <c r="B58" s="332">
        <v>25317</v>
      </c>
      <c r="C58" s="38">
        <v>46074</v>
      </c>
      <c r="D58" s="4" t="s">
        <v>641</v>
      </c>
      <c r="E58" s="4" t="s">
        <v>642</v>
      </c>
      <c r="F58" s="4" t="s">
        <v>3</v>
      </c>
      <c r="G58" s="4" t="s">
        <v>391</v>
      </c>
      <c r="H58" s="4" t="s">
        <v>392</v>
      </c>
      <c r="I58" s="4" t="s">
        <v>257</v>
      </c>
      <c r="J58" s="4" t="s">
        <v>210</v>
      </c>
      <c r="K58" s="4"/>
      <c r="L58" s="5">
        <v>500000</v>
      </c>
      <c r="M58" s="5">
        <v>250000</v>
      </c>
      <c r="N58" s="5">
        <v>0</v>
      </c>
      <c r="O58" s="5">
        <v>0</v>
      </c>
      <c r="P58" s="5">
        <v>0</v>
      </c>
      <c r="Q58" s="5">
        <v>0</v>
      </c>
      <c r="R58" s="5">
        <v>250000</v>
      </c>
      <c r="S58" s="5">
        <v>250000</v>
      </c>
      <c r="T58" s="6" t="s">
        <v>224</v>
      </c>
      <c r="U58" s="1" t="s">
        <v>202</v>
      </c>
      <c r="V58" s="1"/>
      <c r="W58" s="1" t="s">
        <v>63</v>
      </c>
      <c r="X58" s="1" t="s">
        <v>248</v>
      </c>
      <c r="Y58" s="1">
        <v>41</v>
      </c>
      <c r="Z58" s="1"/>
    </row>
    <row r="59" spans="1:26">
      <c r="A59" s="332">
        <v>35795</v>
      </c>
      <c r="B59" s="332">
        <v>25329</v>
      </c>
      <c r="C59" s="38">
        <v>46077</v>
      </c>
      <c r="D59" s="4" t="s">
        <v>645</v>
      </c>
      <c r="E59" s="4" t="s">
        <v>646</v>
      </c>
      <c r="F59" s="4" t="s">
        <v>3</v>
      </c>
      <c r="G59" s="4">
        <v>890303</v>
      </c>
      <c r="H59" s="4" t="s">
        <v>221</v>
      </c>
      <c r="I59" s="4" t="s">
        <v>222</v>
      </c>
      <c r="J59" s="4" t="s">
        <v>223</v>
      </c>
      <c r="K59" s="4"/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6" t="s">
        <v>224</v>
      </c>
      <c r="U59" s="1" t="s">
        <v>202</v>
      </c>
      <c r="V59" s="1"/>
      <c r="W59" s="1" t="s">
        <v>63</v>
      </c>
      <c r="X59" s="1" t="s">
        <v>225</v>
      </c>
      <c r="Y59" s="1">
        <v>31</v>
      </c>
      <c r="Z59" s="1"/>
    </row>
    <row r="60" spans="1:26">
      <c r="A60" s="332">
        <v>34410</v>
      </c>
      <c r="B60" s="332">
        <v>25346</v>
      </c>
      <c r="C60" s="38">
        <v>46080</v>
      </c>
      <c r="D60" s="4" t="s">
        <v>652</v>
      </c>
      <c r="E60" s="4" t="s">
        <v>653</v>
      </c>
      <c r="F60" s="4" t="s">
        <v>4</v>
      </c>
      <c r="G60" s="4" t="s">
        <v>654</v>
      </c>
      <c r="H60" s="4" t="s">
        <v>655</v>
      </c>
      <c r="I60" s="4" t="s">
        <v>246</v>
      </c>
      <c r="J60" s="4" t="s">
        <v>210</v>
      </c>
      <c r="K60" s="4" t="s">
        <v>247</v>
      </c>
      <c r="L60" s="5">
        <v>600000</v>
      </c>
      <c r="M60" s="5">
        <v>300000</v>
      </c>
      <c r="N60" s="5">
        <v>0</v>
      </c>
      <c r="O60" s="5">
        <v>0</v>
      </c>
      <c r="P60" s="5">
        <v>0</v>
      </c>
      <c r="Q60" s="5">
        <v>0</v>
      </c>
      <c r="R60" s="5">
        <v>300000</v>
      </c>
      <c r="S60" s="5">
        <v>300000</v>
      </c>
      <c r="T60" s="6" t="s">
        <v>224</v>
      </c>
      <c r="U60" s="1" t="s">
        <v>202</v>
      </c>
      <c r="V60" s="1"/>
      <c r="W60" s="1" t="s">
        <v>63</v>
      </c>
      <c r="X60" s="1" t="s">
        <v>213</v>
      </c>
      <c r="Y60" s="1">
        <v>33</v>
      </c>
      <c r="Z60" s="1"/>
    </row>
    <row r="61" spans="1:26">
      <c r="A61" s="331">
        <v>28087</v>
      </c>
      <c r="B61" s="331">
        <v>25354</v>
      </c>
      <c r="C61" s="305">
        <v>46074</v>
      </c>
      <c r="D61" s="1" t="s">
        <v>658</v>
      </c>
      <c r="E61" s="1" t="s">
        <v>659</v>
      </c>
      <c r="F61" s="1" t="s">
        <v>106</v>
      </c>
      <c r="G61" s="1" t="s">
        <v>385</v>
      </c>
      <c r="H61" s="1" t="s">
        <v>386</v>
      </c>
      <c r="I61" s="1" t="s">
        <v>199</v>
      </c>
      <c r="J61" s="1" t="s">
        <v>200</v>
      </c>
      <c r="K61" s="1" t="s">
        <v>201</v>
      </c>
      <c r="L61" s="2">
        <v>132000</v>
      </c>
      <c r="M61" s="2">
        <v>21991.200000000001</v>
      </c>
      <c r="N61" s="2">
        <v>0</v>
      </c>
      <c r="O61" s="2">
        <v>0</v>
      </c>
      <c r="P61" s="2">
        <v>0</v>
      </c>
      <c r="Q61" s="2">
        <v>0</v>
      </c>
      <c r="R61" s="2">
        <v>110008.8</v>
      </c>
      <c r="S61" s="2">
        <v>107368.8</v>
      </c>
      <c r="T61" s="3">
        <v>0.81340000000000001</v>
      </c>
      <c r="U61" s="1" t="s">
        <v>202</v>
      </c>
      <c r="V61" s="1" t="s">
        <v>660</v>
      </c>
      <c r="W61" s="1" t="s">
        <v>203</v>
      </c>
      <c r="X61" s="1" t="s">
        <v>225</v>
      </c>
      <c r="Y61" s="1">
        <v>31</v>
      </c>
      <c r="Z61" s="1" t="s">
        <v>661</v>
      </c>
    </row>
    <row r="62" spans="1:26">
      <c r="A62" s="332">
        <v>33357</v>
      </c>
      <c r="B62" s="332">
        <v>25357</v>
      </c>
      <c r="C62" s="38">
        <v>46074</v>
      </c>
      <c r="D62" s="4" t="s">
        <v>664</v>
      </c>
      <c r="E62" s="4" t="s">
        <v>665</v>
      </c>
      <c r="F62" s="4" t="s">
        <v>4</v>
      </c>
      <c r="G62" s="4" t="s">
        <v>255</v>
      </c>
      <c r="H62" s="4" t="s">
        <v>256</v>
      </c>
      <c r="I62" s="4" t="s">
        <v>2900</v>
      </c>
      <c r="J62" s="4" t="s">
        <v>210</v>
      </c>
      <c r="K62" s="4" t="s">
        <v>258</v>
      </c>
      <c r="L62" s="5">
        <v>200000</v>
      </c>
      <c r="M62" s="5">
        <v>100000</v>
      </c>
      <c r="N62" s="5">
        <v>0</v>
      </c>
      <c r="O62" s="5">
        <v>0</v>
      </c>
      <c r="P62" s="5">
        <v>0</v>
      </c>
      <c r="Q62" s="5">
        <v>0</v>
      </c>
      <c r="R62" s="5">
        <v>100000</v>
      </c>
      <c r="S62" s="5">
        <v>100000</v>
      </c>
      <c r="T62" s="6" t="s">
        <v>224</v>
      </c>
      <c r="U62" s="1" t="s">
        <v>202</v>
      </c>
      <c r="V62" s="1"/>
      <c r="W62" s="1" t="s">
        <v>63</v>
      </c>
      <c r="X62" s="1" t="s">
        <v>225</v>
      </c>
      <c r="Y62" s="1">
        <v>14</v>
      </c>
      <c r="Z62" s="1"/>
    </row>
    <row r="63" spans="1:26">
      <c r="A63" s="331">
        <v>28721</v>
      </c>
      <c r="B63" s="331">
        <v>25359</v>
      </c>
      <c r="C63" s="305">
        <v>46074</v>
      </c>
      <c r="D63" s="1" t="s">
        <v>666</v>
      </c>
      <c r="E63" s="1" t="s">
        <v>667</v>
      </c>
      <c r="F63" s="1" t="s">
        <v>122</v>
      </c>
      <c r="G63" s="1" t="s">
        <v>233</v>
      </c>
      <c r="H63" s="1" t="s">
        <v>234</v>
      </c>
      <c r="I63" s="1" t="s">
        <v>199</v>
      </c>
      <c r="J63" s="1" t="s">
        <v>200</v>
      </c>
      <c r="K63" s="1" t="s">
        <v>201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3">
        <v>0</v>
      </c>
      <c r="U63" s="1" t="s">
        <v>202</v>
      </c>
      <c r="V63" s="1"/>
      <c r="W63" s="1" t="s">
        <v>63</v>
      </c>
      <c r="X63" s="1" t="s">
        <v>225</v>
      </c>
      <c r="Y63" s="1">
        <v>37</v>
      </c>
      <c r="Z63" s="1"/>
    </row>
    <row r="64" spans="1:26">
      <c r="A64" s="332">
        <v>28942</v>
      </c>
      <c r="B64" s="332">
        <v>25360</v>
      </c>
      <c r="C64" s="38">
        <v>46074</v>
      </c>
      <c r="D64" s="4" t="s">
        <v>668</v>
      </c>
      <c r="E64" s="4" t="s">
        <v>669</v>
      </c>
      <c r="F64" s="4" t="s">
        <v>3</v>
      </c>
      <c r="G64" s="4" t="s">
        <v>670</v>
      </c>
      <c r="H64" s="4" t="s">
        <v>671</v>
      </c>
      <c r="I64" s="4" t="s">
        <v>267</v>
      </c>
      <c r="J64" s="4" t="s">
        <v>210</v>
      </c>
      <c r="K64" s="4" t="s">
        <v>268</v>
      </c>
      <c r="L64" s="5">
        <v>350000</v>
      </c>
      <c r="M64" s="5">
        <v>175000</v>
      </c>
      <c r="N64" s="5">
        <v>0</v>
      </c>
      <c r="O64" s="5">
        <v>0</v>
      </c>
      <c r="P64" s="5">
        <v>0</v>
      </c>
      <c r="Q64" s="5">
        <v>0</v>
      </c>
      <c r="R64" s="5">
        <v>175000</v>
      </c>
      <c r="S64" s="5">
        <v>175000</v>
      </c>
      <c r="T64" s="6" t="s">
        <v>224</v>
      </c>
      <c r="U64" s="1" t="s">
        <v>202</v>
      </c>
      <c r="V64" s="1"/>
      <c r="W64" s="1" t="s">
        <v>63</v>
      </c>
      <c r="X64" s="1" t="s">
        <v>672</v>
      </c>
      <c r="Y64" s="1">
        <v>27</v>
      </c>
      <c r="Z64" s="1"/>
    </row>
    <row r="65" spans="1:26">
      <c r="A65" s="331">
        <v>33700</v>
      </c>
      <c r="B65" s="331">
        <v>25368</v>
      </c>
      <c r="C65" s="305">
        <v>46081</v>
      </c>
      <c r="D65" s="1" t="s">
        <v>673</v>
      </c>
      <c r="E65" s="1" t="s">
        <v>674</v>
      </c>
      <c r="F65" s="1" t="s">
        <v>3</v>
      </c>
      <c r="G65" s="1" t="s">
        <v>324</v>
      </c>
      <c r="H65" s="1" t="s">
        <v>325</v>
      </c>
      <c r="I65" s="1" t="s">
        <v>2897</v>
      </c>
      <c r="J65" s="1" t="s">
        <v>210</v>
      </c>
      <c r="K65" s="1" t="s">
        <v>313</v>
      </c>
      <c r="L65" s="2">
        <v>650000</v>
      </c>
      <c r="M65" s="2">
        <v>325000</v>
      </c>
      <c r="N65" s="2">
        <v>0</v>
      </c>
      <c r="O65" s="2">
        <v>0</v>
      </c>
      <c r="P65" s="2">
        <v>0</v>
      </c>
      <c r="Q65" s="2">
        <v>0</v>
      </c>
      <c r="R65" s="2">
        <v>325000</v>
      </c>
      <c r="S65" s="2">
        <v>325000</v>
      </c>
      <c r="T65" s="3">
        <v>0.5</v>
      </c>
      <c r="U65" s="1" t="s">
        <v>202</v>
      </c>
      <c r="V65" s="1"/>
      <c r="W65" s="1" t="s">
        <v>63</v>
      </c>
      <c r="X65" s="1" t="s">
        <v>213</v>
      </c>
      <c r="Y65" s="1">
        <v>38</v>
      </c>
      <c r="Z65" s="1"/>
    </row>
    <row r="66" spans="1:26">
      <c r="A66" s="331">
        <v>33993</v>
      </c>
      <c r="B66" s="331">
        <v>25375</v>
      </c>
      <c r="C66" s="305">
        <v>46074</v>
      </c>
      <c r="D66" s="1" t="s">
        <v>678</v>
      </c>
      <c r="E66" s="1" t="s">
        <v>679</v>
      </c>
      <c r="F66" s="1" t="s">
        <v>122</v>
      </c>
      <c r="G66" s="1" t="s">
        <v>242</v>
      </c>
      <c r="H66" s="1" t="s">
        <v>243</v>
      </c>
      <c r="I66" s="1" t="s">
        <v>199</v>
      </c>
      <c r="J66" s="1" t="s">
        <v>200</v>
      </c>
      <c r="K66" s="1" t="s">
        <v>201</v>
      </c>
      <c r="L66" s="2">
        <v>140000</v>
      </c>
      <c r="M66" s="2">
        <v>23800</v>
      </c>
      <c r="N66" s="2">
        <v>0</v>
      </c>
      <c r="O66" s="2">
        <v>0</v>
      </c>
      <c r="P66" s="2">
        <v>0</v>
      </c>
      <c r="Q66" s="2">
        <v>0</v>
      </c>
      <c r="R66" s="2">
        <v>116200</v>
      </c>
      <c r="S66" s="2">
        <v>116200</v>
      </c>
      <c r="T66" s="3">
        <v>0.83</v>
      </c>
      <c r="U66" s="1" t="s">
        <v>202</v>
      </c>
      <c r="V66" s="1"/>
      <c r="W66" s="1" t="s">
        <v>63</v>
      </c>
      <c r="X66" s="1" t="s">
        <v>213</v>
      </c>
      <c r="Y66" s="1">
        <v>29</v>
      </c>
      <c r="Z66" s="1"/>
    </row>
    <row r="67" spans="1:26">
      <c r="A67" s="331">
        <v>33993</v>
      </c>
      <c r="B67" s="331">
        <v>25376</v>
      </c>
      <c r="C67" s="305">
        <v>46074</v>
      </c>
      <c r="D67" s="1" t="s">
        <v>678</v>
      </c>
      <c r="E67" s="1" t="s">
        <v>679</v>
      </c>
      <c r="F67" s="1" t="s">
        <v>122</v>
      </c>
      <c r="G67" s="1" t="s">
        <v>233</v>
      </c>
      <c r="H67" s="1" t="s">
        <v>234</v>
      </c>
      <c r="I67" s="1" t="s">
        <v>199</v>
      </c>
      <c r="J67" s="1" t="s">
        <v>200</v>
      </c>
      <c r="K67" s="1" t="s">
        <v>201</v>
      </c>
      <c r="L67" s="2">
        <v>60000</v>
      </c>
      <c r="M67" s="2">
        <v>10200</v>
      </c>
      <c r="N67" s="2">
        <v>0</v>
      </c>
      <c r="O67" s="2">
        <v>0</v>
      </c>
      <c r="P67" s="2">
        <v>0</v>
      </c>
      <c r="Q67" s="2">
        <v>0</v>
      </c>
      <c r="R67" s="2">
        <v>49800</v>
      </c>
      <c r="S67" s="2">
        <v>49800</v>
      </c>
      <c r="T67" s="3">
        <v>0.83</v>
      </c>
      <c r="U67" s="1" t="s">
        <v>202</v>
      </c>
      <c r="V67" s="1"/>
      <c r="W67" s="1" t="s">
        <v>63</v>
      </c>
      <c r="X67" s="1" t="s">
        <v>213</v>
      </c>
      <c r="Y67" s="1">
        <v>29</v>
      </c>
      <c r="Z67" s="1"/>
    </row>
    <row r="68" spans="1:26">
      <c r="A68" s="331">
        <v>35818</v>
      </c>
      <c r="B68" s="331">
        <v>25378</v>
      </c>
      <c r="C68" s="305">
        <v>46073</v>
      </c>
      <c r="D68" s="1" t="s">
        <v>680</v>
      </c>
      <c r="E68" s="1" t="s">
        <v>681</v>
      </c>
      <c r="F68" s="1" t="s">
        <v>3</v>
      </c>
      <c r="G68" s="1">
        <v>890303</v>
      </c>
      <c r="H68" s="1" t="s">
        <v>281</v>
      </c>
      <c r="I68" s="1" t="s">
        <v>282</v>
      </c>
      <c r="J68" s="1" t="s">
        <v>210</v>
      </c>
      <c r="K68" s="1"/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3">
        <v>0</v>
      </c>
      <c r="U68" s="1" t="s">
        <v>202</v>
      </c>
      <c r="V68" s="1"/>
      <c r="W68" s="1" t="s">
        <v>63</v>
      </c>
      <c r="X68" s="1" t="s">
        <v>213</v>
      </c>
      <c r="Y68" s="1">
        <v>39</v>
      </c>
      <c r="Z68" s="1"/>
    </row>
    <row r="69" spans="1:26">
      <c r="A69" s="332">
        <v>35819</v>
      </c>
      <c r="B69" s="332">
        <v>25381</v>
      </c>
      <c r="C69" s="38">
        <v>46074</v>
      </c>
      <c r="D69" s="4" t="s">
        <v>682</v>
      </c>
      <c r="E69" s="4" t="s">
        <v>683</v>
      </c>
      <c r="F69" s="4" t="s">
        <v>3</v>
      </c>
      <c r="G69" s="4" t="s">
        <v>362</v>
      </c>
      <c r="H69" s="4" t="s">
        <v>363</v>
      </c>
      <c r="I69" s="4" t="s">
        <v>349</v>
      </c>
      <c r="J69" s="4" t="s">
        <v>210</v>
      </c>
      <c r="K69" s="4"/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 t="s">
        <v>224</v>
      </c>
      <c r="U69" s="1" t="s">
        <v>202</v>
      </c>
      <c r="V69" s="1"/>
      <c r="W69" s="1" t="s">
        <v>63</v>
      </c>
      <c r="X69" s="1" t="s">
        <v>213</v>
      </c>
      <c r="Y69" s="1">
        <v>38</v>
      </c>
      <c r="Z69" s="1"/>
    </row>
    <row r="70" spans="1:26">
      <c r="A70" s="331">
        <v>21937</v>
      </c>
      <c r="B70" s="331">
        <v>25387</v>
      </c>
      <c r="C70" s="305">
        <v>46081</v>
      </c>
      <c r="D70" s="1" t="s">
        <v>684</v>
      </c>
      <c r="E70" s="1" t="s">
        <v>685</v>
      </c>
      <c r="F70" s="1" t="s">
        <v>122</v>
      </c>
      <c r="G70" s="1" t="s">
        <v>197</v>
      </c>
      <c r="H70" s="1" t="s">
        <v>198</v>
      </c>
      <c r="I70" s="1" t="s">
        <v>199</v>
      </c>
      <c r="J70" s="1" t="s">
        <v>200</v>
      </c>
      <c r="K70" s="1" t="s">
        <v>201</v>
      </c>
      <c r="L70" s="2">
        <v>90000</v>
      </c>
      <c r="M70" s="2">
        <v>15300</v>
      </c>
      <c r="N70" s="2">
        <v>0</v>
      </c>
      <c r="O70" s="2">
        <v>0</v>
      </c>
      <c r="P70" s="2">
        <v>0</v>
      </c>
      <c r="Q70" s="2">
        <v>0</v>
      </c>
      <c r="R70" s="2">
        <v>74700</v>
      </c>
      <c r="S70" s="2">
        <v>74700</v>
      </c>
      <c r="T70" s="3">
        <v>0.83</v>
      </c>
      <c r="U70" s="1" t="s">
        <v>202</v>
      </c>
      <c r="V70" s="1"/>
      <c r="W70" s="1" t="s">
        <v>63</v>
      </c>
      <c r="X70" s="1" t="s">
        <v>225</v>
      </c>
      <c r="Y70" s="1">
        <v>18</v>
      </c>
      <c r="Z70" s="1"/>
    </row>
    <row r="71" spans="1:26">
      <c r="A71" s="331">
        <v>22718</v>
      </c>
      <c r="B71" s="331">
        <v>25388</v>
      </c>
      <c r="C71" s="305">
        <v>46081</v>
      </c>
      <c r="D71" s="1" t="s">
        <v>686</v>
      </c>
      <c r="E71" s="1" t="s">
        <v>687</v>
      </c>
      <c r="F71" s="1" t="s">
        <v>122</v>
      </c>
      <c r="G71" s="1" t="s">
        <v>233</v>
      </c>
      <c r="H71" s="1" t="s">
        <v>234</v>
      </c>
      <c r="I71" s="1" t="s">
        <v>199</v>
      </c>
      <c r="J71" s="1" t="s">
        <v>200</v>
      </c>
      <c r="K71" s="1" t="s">
        <v>201</v>
      </c>
      <c r="L71" s="2">
        <v>60000</v>
      </c>
      <c r="M71" s="2">
        <v>10200</v>
      </c>
      <c r="N71" s="2">
        <v>0</v>
      </c>
      <c r="O71" s="2">
        <v>0</v>
      </c>
      <c r="P71" s="2">
        <v>0</v>
      </c>
      <c r="Q71" s="2">
        <v>0</v>
      </c>
      <c r="R71" s="2">
        <v>49800</v>
      </c>
      <c r="S71" s="2">
        <v>49800</v>
      </c>
      <c r="T71" s="3">
        <v>0.83</v>
      </c>
      <c r="U71" s="1" t="s">
        <v>202</v>
      </c>
      <c r="V71" s="1"/>
      <c r="W71" s="1" t="s">
        <v>63</v>
      </c>
      <c r="X71" s="1" t="s">
        <v>225</v>
      </c>
      <c r="Y71" s="1">
        <v>58</v>
      </c>
      <c r="Z71" s="1"/>
    </row>
    <row r="72" spans="1:26">
      <c r="A72" s="331">
        <v>35820</v>
      </c>
      <c r="B72" s="331">
        <v>25390</v>
      </c>
      <c r="C72" s="305">
        <v>46080</v>
      </c>
      <c r="D72" s="1" t="s">
        <v>688</v>
      </c>
      <c r="E72" s="1" t="s">
        <v>689</v>
      </c>
      <c r="F72" s="1" t="s">
        <v>4</v>
      </c>
      <c r="G72" s="1" t="s">
        <v>471</v>
      </c>
      <c r="H72" s="1" t="s">
        <v>472</v>
      </c>
      <c r="I72" s="1" t="s">
        <v>230</v>
      </c>
      <c r="J72" s="1" t="s">
        <v>210</v>
      </c>
      <c r="K72" s="1"/>
      <c r="L72" s="2">
        <v>700000</v>
      </c>
      <c r="M72" s="2">
        <v>350000</v>
      </c>
      <c r="N72" s="2">
        <v>0</v>
      </c>
      <c r="O72" s="2">
        <v>0</v>
      </c>
      <c r="P72" s="2">
        <v>0</v>
      </c>
      <c r="Q72" s="2">
        <v>0</v>
      </c>
      <c r="R72" s="2">
        <v>350000</v>
      </c>
      <c r="S72" s="2">
        <v>350000</v>
      </c>
      <c r="T72" s="3">
        <v>0.5</v>
      </c>
      <c r="U72" s="1" t="s">
        <v>202</v>
      </c>
      <c r="V72" s="1"/>
      <c r="W72" s="1" t="s">
        <v>63</v>
      </c>
      <c r="X72" s="1" t="s">
        <v>225</v>
      </c>
      <c r="Y72" s="1">
        <v>40</v>
      </c>
      <c r="Z72" s="1"/>
    </row>
    <row r="73" spans="1:26">
      <c r="A73" s="331">
        <v>31005</v>
      </c>
      <c r="B73" s="331">
        <v>25395</v>
      </c>
      <c r="C73" s="305">
        <v>46077</v>
      </c>
      <c r="D73" s="1" t="s">
        <v>690</v>
      </c>
      <c r="E73" s="1" t="s">
        <v>691</v>
      </c>
      <c r="F73" s="1" t="s">
        <v>106</v>
      </c>
      <c r="G73" s="1" t="s">
        <v>197</v>
      </c>
      <c r="H73" s="1" t="s">
        <v>198</v>
      </c>
      <c r="I73" s="1" t="s">
        <v>199</v>
      </c>
      <c r="J73" s="1" t="s">
        <v>200</v>
      </c>
      <c r="K73" s="1" t="s">
        <v>201</v>
      </c>
      <c r="L73" s="2">
        <v>90000</v>
      </c>
      <c r="M73" s="2">
        <v>15300</v>
      </c>
      <c r="N73" s="2">
        <v>0</v>
      </c>
      <c r="O73" s="2">
        <v>0</v>
      </c>
      <c r="P73" s="2">
        <v>0</v>
      </c>
      <c r="Q73" s="2">
        <v>0</v>
      </c>
      <c r="R73" s="2">
        <v>74700</v>
      </c>
      <c r="S73" s="2">
        <v>74700</v>
      </c>
      <c r="T73" s="3">
        <v>0.83</v>
      </c>
      <c r="U73" s="1" t="s">
        <v>202</v>
      </c>
      <c r="V73" s="1"/>
      <c r="W73" s="1" t="s">
        <v>63</v>
      </c>
      <c r="X73" s="1" t="s">
        <v>225</v>
      </c>
      <c r="Y73" s="1">
        <v>18</v>
      </c>
      <c r="Z73" s="1"/>
    </row>
    <row r="74" spans="1:26">
      <c r="A74" s="331">
        <v>31349</v>
      </c>
      <c r="B74" s="331">
        <v>25398</v>
      </c>
      <c r="C74" s="305">
        <v>46074</v>
      </c>
      <c r="D74" s="1" t="s">
        <v>694</v>
      </c>
      <c r="E74" s="1" t="s">
        <v>695</v>
      </c>
      <c r="F74" s="1" t="s">
        <v>3</v>
      </c>
      <c r="G74" s="1" t="s">
        <v>324</v>
      </c>
      <c r="H74" s="1" t="s">
        <v>325</v>
      </c>
      <c r="I74" s="1" t="s">
        <v>2897</v>
      </c>
      <c r="J74" s="1" t="s">
        <v>210</v>
      </c>
      <c r="K74" s="1" t="s">
        <v>313</v>
      </c>
      <c r="L74" s="2">
        <v>350000</v>
      </c>
      <c r="M74" s="2">
        <v>175000</v>
      </c>
      <c r="N74" s="2">
        <v>0</v>
      </c>
      <c r="O74" s="2">
        <v>0</v>
      </c>
      <c r="P74" s="2">
        <v>0</v>
      </c>
      <c r="Q74" s="2">
        <v>0</v>
      </c>
      <c r="R74" s="2">
        <v>175000</v>
      </c>
      <c r="S74" s="2">
        <v>175000</v>
      </c>
      <c r="T74" s="3">
        <v>0.5</v>
      </c>
      <c r="U74" s="1" t="s">
        <v>202</v>
      </c>
      <c r="V74" s="1"/>
      <c r="W74" s="1" t="s">
        <v>63</v>
      </c>
      <c r="X74" s="1" t="s">
        <v>213</v>
      </c>
      <c r="Y74" s="1">
        <v>46</v>
      </c>
      <c r="Z74" s="1"/>
    </row>
    <row r="75" spans="1:26">
      <c r="A75" s="331">
        <v>31349</v>
      </c>
      <c r="B75" s="331">
        <v>25399</v>
      </c>
      <c r="C75" s="305">
        <v>46074</v>
      </c>
      <c r="D75" s="1" t="s">
        <v>694</v>
      </c>
      <c r="E75" s="1" t="s">
        <v>695</v>
      </c>
      <c r="F75" s="1" t="s">
        <v>3</v>
      </c>
      <c r="G75" s="1" t="s">
        <v>228</v>
      </c>
      <c r="H75" s="1" t="s">
        <v>229</v>
      </c>
      <c r="I75" s="1" t="s">
        <v>230</v>
      </c>
      <c r="J75" s="1" t="s">
        <v>210</v>
      </c>
      <c r="K75" s="1" t="s">
        <v>313</v>
      </c>
      <c r="L75" s="2">
        <v>350000</v>
      </c>
      <c r="M75" s="2">
        <v>175000</v>
      </c>
      <c r="N75" s="2">
        <v>0</v>
      </c>
      <c r="O75" s="2">
        <v>0</v>
      </c>
      <c r="P75" s="2">
        <v>0</v>
      </c>
      <c r="Q75" s="2">
        <v>0</v>
      </c>
      <c r="R75" s="2">
        <v>175000</v>
      </c>
      <c r="S75" s="2">
        <v>175000</v>
      </c>
      <c r="T75" s="3">
        <v>0.5</v>
      </c>
      <c r="U75" s="1" t="s">
        <v>202</v>
      </c>
      <c r="V75" s="1"/>
      <c r="W75" s="1" t="s">
        <v>63</v>
      </c>
      <c r="X75" s="1" t="s">
        <v>213</v>
      </c>
      <c r="Y75" s="1">
        <v>46</v>
      </c>
      <c r="Z75" s="1"/>
    </row>
    <row r="76" spans="1:26">
      <c r="A76" s="332">
        <v>34145</v>
      </c>
      <c r="B76" s="332">
        <v>25424</v>
      </c>
      <c r="C76" s="38">
        <v>46079</v>
      </c>
      <c r="D76" s="4" t="s">
        <v>697</v>
      </c>
      <c r="E76" s="4" t="s">
        <v>698</v>
      </c>
      <c r="F76" s="4" t="s">
        <v>4</v>
      </c>
      <c r="G76" s="4">
        <v>861426</v>
      </c>
      <c r="H76" s="4" t="s">
        <v>517</v>
      </c>
      <c r="I76" s="4" t="s">
        <v>300</v>
      </c>
      <c r="J76" s="4" t="s">
        <v>210</v>
      </c>
      <c r="K76" s="4"/>
      <c r="L76" s="5">
        <v>900000</v>
      </c>
      <c r="M76" s="5">
        <v>450000</v>
      </c>
      <c r="N76" s="5">
        <v>0</v>
      </c>
      <c r="O76" s="5">
        <v>0</v>
      </c>
      <c r="P76" s="5">
        <v>0</v>
      </c>
      <c r="Q76" s="5">
        <v>0</v>
      </c>
      <c r="R76" s="5">
        <v>450000</v>
      </c>
      <c r="S76" s="5">
        <v>450000</v>
      </c>
      <c r="T76" s="6" t="s">
        <v>224</v>
      </c>
      <c r="U76" s="1" t="s">
        <v>202</v>
      </c>
      <c r="V76" s="1"/>
      <c r="W76" s="1" t="s">
        <v>63</v>
      </c>
      <c r="X76" s="1" t="s">
        <v>213</v>
      </c>
      <c r="Y76" s="1">
        <v>35</v>
      </c>
      <c r="Z76" s="1"/>
    </row>
    <row r="77" spans="1:26">
      <c r="A77" s="332">
        <v>34145</v>
      </c>
      <c r="B77" s="332">
        <v>25425</v>
      </c>
      <c r="C77" s="38">
        <v>46079</v>
      </c>
      <c r="D77" s="4" t="s">
        <v>697</v>
      </c>
      <c r="E77" s="4" t="s">
        <v>698</v>
      </c>
      <c r="F77" s="4" t="s">
        <v>4</v>
      </c>
      <c r="G77" s="4" t="s">
        <v>255</v>
      </c>
      <c r="H77" s="4" t="s">
        <v>256</v>
      </c>
      <c r="I77" s="4" t="s">
        <v>2900</v>
      </c>
      <c r="J77" s="4" t="s">
        <v>210</v>
      </c>
      <c r="K77" s="4" t="s">
        <v>258</v>
      </c>
      <c r="L77" s="5">
        <v>650000</v>
      </c>
      <c r="M77" s="5">
        <v>325000</v>
      </c>
      <c r="N77" s="5">
        <v>0</v>
      </c>
      <c r="O77" s="5">
        <v>0</v>
      </c>
      <c r="P77" s="5">
        <v>0</v>
      </c>
      <c r="Q77" s="5">
        <v>0</v>
      </c>
      <c r="R77" s="5">
        <v>325000</v>
      </c>
      <c r="S77" s="5">
        <v>325000</v>
      </c>
      <c r="T77" s="6" t="s">
        <v>224</v>
      </c>
      <c r="U77" s="1" t="s">
        <v>202</v>
      </c>
      <c r="V77" s="1"/>
      <c r="W77" s="1" t="s">
        <v>63</v>
      </c>
      <c r="X77" s="1" t="s">
        <v>213</v>
      </c>
      <c r="Y77" s="1">
        <v>35</v>
      </c>
      <c r="Z77" s="1"/>
    </row>
    <row r="78" spans="1:26">
      <c r="A78" s="332">
        <v>34302</v>
      </c>
      <c r="B78" s="332">
        <v>25429</v>
      </c>
      <c r="C78" s="38">
        <v>46076</v>
      </c>
      <c r="D78" s="4" t="s">
        <v>354</v>
      </c>
      <c r="E78" s="4" t="s">
        <v>355</v>
      </c>
      <c r="F78" s="4" t="s">
        <v>3</v>
      </c>
      <c r="G78" s="4">
        <v>861415</v>
      </c>
      <c r="H78" s="4" t="s">
        <v>318</v>
      </c>
      <c r="I78" s="4" t="s">
        <v>300</v>
      </c>
      <c r="J78" s="4" t="s">
        <v>210</v>
      </c>
      <c r="K78" s="4"/>
      <c r="L78" s="5">
        <v>2250000</v>
      </c>
      <c r="M78" s="5">
        <v>1125000</v>
      </c>
      <c r="N78" s="5">
        <v>0</v>
      </c>
      <c r="O78" s="5">
        <v>0</v>
      </c>
      <c r="P78" s="5">
        <v>0</v>
      </c>
      <c r="Q78" s="5">
        <v>0</v>
      </c>
      <c r="R78" s="5">
        <v>1125000</v>
      </c>
      <c r="S78" s="5">
        <v>1125000</v>
      </c>
      <c r="T78" s="6" t="s">
        <v>224</v>
      </c>
      <c r="U78" s="1" t="s">
        <v>202</v>
      </c>
      <c r="V78" s="1"/>
      <c r="W78" s="1" t="s">
        <v>63</v>
      </c>
      <c r="X78" s="1" t="s">
        <v>225</v>
      </c>
      <c r="Y78" s="1">
        <v>44</v>
      </c>
      <c r="Z78" s="1"/>
    </row>
    <row r="79" spans="1:26">
      <c r="A79" s="331">
        <v>35852</v>
      </c>
      <c r="B79" s="331">
        <v>25452</v>
      </c>
      <c r="C79" s="305">
        <v>46073</v>
      </c>
      <c r="D79" s="1" t="s">
        <v>703</v>
      </c>
      <c r="E79" s="1" t="s">
        <v>704</v>
      </c>
      <c r="F79" s="1" t="s">
        <v>2</v>
      </c>
      <c r="G79" s="1">
        <v>890303</v>
      </c>
      <c r="H79" s="1" t="s">
        <v>281</v>
      </c>
      <c r="I79" s="1" t="s">
        <v>282</v>
      </c>
      <c r="J79" s="1" t="s">
        <v>210</v>
      </c>
      <c r="K79" s="1"/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3">
        <v>0</v>
      </c>
      <c r="U79" s="1" t="s">
        <v>202</v>
      </c>
      <c r="V79" s="1"/>
      <c r="W79" s="1" t="s">
        <v>63</v>
      </c>
      <c r="X79" s="1" t="s">
        <v>225</v>
      </c>
      <c r="Y79" s="1">
        <v>66</v>
      </c>
      <c r="Z79" s="1"/>
    </row>
    <row r="80" spans="1:26">
      <c r="A80" s="332">
        <v>35864</v>
      </c>
      <c r="B80" s="332">
        <v>25469</v>
      </c>
      <c r="C80" s="38">
        <v>46076</v>
      </c>
      <c r="D80" s="4" t="s">
        <v>707</v>
      </c>
      <c r="E80" s="4" t="s">
        <v>708</v>
      </c>
      <c r="F80" s="4" t="s">
        <v>126</v>
      </c>
      <c r="G80" s="4" t="s">
        <v>324</v>
      </c>
      <c r="H80" s="4" t="s">
        <v>325</v>
      </c>
      <c r="I80" s="4" t="s">
        <v>2897</v>
      </c>
      <c r="J80" s="4" t="s">
        <v>210</v>
      </c>
      <c r="K80" s="4"/>
      <c r="L80" s="5">
        <v>650000</v>
      </c>
      <c r="M80" s="5">
        <v>325000</v>
      </c>
      <c r="N80" s="5">
        <v>0</v>
      </c>
      <c r="O80" s="5">
        <v>0</v>
      </c>
      <c r="P80" s="5">
        <v>0</v>
      </c>
      <c r="Q80" s="5">
        <v>0</v>
      </c>
      <c r="R80" s="5">
        <v>325000</v>
      </c>
      <c r="S80" s="5">
        <v>325000</v>
      </c>
      <c r="T80" s="6" t="s">
        <v>224</v>
      </c>
      <c r="U80" s="1" t="s">
        <v>202</v>
      </c>
      <c r="V80" s="1"/>
      <c r="W80" s="1" t="s">
        <v>63</v>
      </c>
      <c r="X80" s="1" t="s">
        <v>213</v>
      </c>
      <c r="Y80" s="1">
        <v>22</v>
      </c>
      <c r="Z80" s="1"/>
    </row>
    <row r="81" spans="1:26">
      <c r="A81" s="331">
        <v>35865</v>
      </c>
      <c r="B81" s="331">
        <v>25470</v>
      </c>
      <c r="C81" s="305">
        <v>46073</v>
      </c>
      <c r="D81" s="1" t="s">
        <v>709</v>
      </c>
      <c r="E81" s="1" t="s">
        <v>710</v>
      </c>
      <c r="F81" s="1" t="s">
        <v>3</v>
      </c>
      <c r="G81" s="1">
        <v>890242</v>
      </c>
      <c r="H81" s="1" t="s">
        <v>331</v>
      </c>
      <c r="I81" s="1" t="s">
        <v>332</v>
      </c>
      <c r="J81" s="1" t="s">
        <v>223</v>
      </c>
      <c r="K81" s="1"/>
      <c r="L81" s="2">
        <v>250000</v>
      </c>
      <c r="M81" s="2">
        <v>125000</v>
      </c>
      <c r="N81" s="2">
        <v>0</v>
      </c>
      <c r="O81" s="2">
        <v>0</v>
      </c>
      <c r="P81" s="2">
        <v>0</v>
      </c>
      <c r="Q81" s="2">
        <v>0</v>
      </c>
      <c r="R81" s="2">
        <v>125000</v>
      </c>
      <c r="S81" s="2">
        <v>125000</v>
      </c>
      <c r="T81" s="3">
        <v>0.5</v>
      </c>
      <c r="U81" s="1" t="s">
        <v>202</v>
      </c>
      <c r="V81" s="1"/>
      <c r="W81" s="1" t="s">
        <v>63</v>
      </c>
      <c r="X81" s="1" t="s">
        <v>213</v>
      </c>
      <c r="Y81" s="1">
        <v>0</v>
      </c>
      <c r="Z81" s="1"/>
    </row>
    <row r="82" spans="1:26">
      <c r="A82" s="332">
        <v>35157</v>
      </c>
      <c r="B82" s="332">
        <v>25483</v>
      </c>
      <c r="C82" s="38">
        <v>46080</v>
      </c>
      <c r="D82" s="4" t="s">
        <v>713</v>
      </c>
      <c r="E82" s="4" t="s">
        <v>714</v>
      </c>
      <c r="F82" s="4" t="s">
        <v>2</v>
      </c>
      <c r="G82" s="4" t="s">
        <v>324</v>
      </c>
      <c r="H82" s="4" t="s">
        <v>325</v>
      </c>
      <c r="I82" s="4" t="s">
        <v>2897</v>
      </c>
      <c r="J82" s="4" t="s">
        <v>210</v>
      </c>
      <c r="K82" s="4" t="s">
        <v>313</v>
      </c>
      <c r="L82" s="5">
        <v>650000</v>
      </c>
      <c r="M82" s="5">
        <v>325000</v>
      </c>
      <c r="N82" s="5">
        <v>0</v>
      </c>
      <c r="O82" s="5">
        <v>0</v>
      </c>
      <c r="P82" s="5">
        <v>0</v>
      </c>
      <c r="Q82" s="5">
        <v>0</v>
      </c>
      <c r="R82" s="5">
        <v>325000</v>
      </c>
      <c r="S82" s="5">
        <v>325000</v>
      </c>
      <c r="T82" s="6" t="s">
        <v>224</v>
      </c>
      <c r="U82" s="1" t="s">
        <v>202</v>
      </c>
      <c r="V82" s="1"/>
      <c r="W82" s="1" t="s">
        <v>63</v>
      </c>
      <c r="X82" s="1" t="s">
        <v>213</v>
      </c>
      <c r="Y82" s="1">
        <v>32</v>
      </c>
      <c r="Z82" s="1"/>
    </row>
    <row r="83" spans="1:26">
      <c r="A83" s="332">
        <v>35881</v>
      </c>
      <c r="B83" s="332">
        <v>25492</v>
      </c>
      <c r="C83" s="38">
        <v>46081</v>
      </c>
      <c r="D83" s="4" t="s">
        <v>719</v>
      </c>
      <c r="E83" s="4" t="s">
        <v>720</v>
      </c>
      <c r="F83" s="4" t="s">
        <v>2</v>
      </c>
      <c r="G83" s="4">
        <v>890303</v>
      </c>
      <c r="H83" s="4" t="s">
        <v>221</v>
      </c>
      <c r="I83" s="4" t="s">
        <v>222</v>
      </c>
      <c r="J83" s="4" t="s">
        <v>223</v>
      </c>
      <c r="K83" s="4"/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6" t="s">
        <v>224</v>
      </c>
      <c r="U83" s="1" t="s">
        <v>202</v>
      </c>
      <c r="V83" s="1"/>
      <c r="W83" s="1" t="s">
        <v>63</v>
      </c>
      <c r="X83" s="1" t="s">
        <v>319</v>
      </c>
      <c r="Y83" s="1">
        <v>28</v>
      </c>
      <c r="Z83" s="1"/>
    </row>
    <row r="84" spans="1:26">
      <c r="A84" s="332">
        <v>33141</v>
      </c>
      <c r="B84" s="332">
        <v>25526</v>
      </c>
      <c r="C84" s="38">
        <v>46080</v>
      </c>
      <c r="D84" s="4" t="s">
        <v>723</v>
      </c>
      <c r="E84" s="4" t="s">
        <v>724</v>
      </c>
      <c r="F84" s="4" t="s">
        <v>122</v>
      </c>
      <c r="G84" s="4" t="s">
        <v>231</v>
      </c>
      <c r="H84" s="4" t="s">
        <v>232</v>
      </c>
      <c r="I84" s="4" t="s">
        <v>199</v>
      </c>
      <c r="J84" s="4" t="s">
        <v>200</v>
      </c>
      <c r="K84" s="4" t="s">
        <v>201</v>
      </c>
      <c r="L84" s="5">
        <v>100000</v>
      </c>
      <c r="M84" s="5">
        <v>17000</v>
      </c>
      <c r="N84" s="5">
        <v>0</v>
      </c>
      <c r="O84" s="5">
        <v>0</v>
      </c>
      <c r="P84" s="5">
        <v>0</v>
      </c>
      <c r="Q84" s="5">
        <v>0</v>
      </c>
      <c r="R84" s="5">
        <v>83000</v>
      </c>
      <c r="S84" s="5">
        <v>83000</v>
      </c>
      <c r="T84" s="6" t="s">
        <v>224</v>
      </c>
      <c r="U84" s="1" t="s">
        <v>202</v>
      </c>
      <c r="V84" s="1"/>
      <c r="W84" s="1" t="s">
        <v>63</v>
      </c>
      <c r="X84" s="1" t="s">
        <v>319</v>
      </c>
      <c r="Y84" s="1">
        <v>15</v>
      </c>
      <c r="Z84" s="1"/>
    </row>
    <row r="85" spans="1:26">
      <c r="A85" s="332">
        <v>29275</v>
      </c>
      <c r="B85" s="332">
        <v>25527</v>
      </c>
      <c r="C85" s="38">
        <v>46080</v>
      </c>
      <c r="D85" s="4" t="s">
        <v>723</v>
      </c>
      <c r="E85" s="4" t="s">
        <v>724</v>
      </c>
      <c r="F85" s="4" t="s">
        <v>4</v>
      </c>
      <c r="G85" s="4" t="s">
        <v>255</v>
      </c>
      <c r="H85" s="4" t="s">
        <v>256</v>
      </c>
      <c r="I85" s="4" t="s">
        <v>2900</v>
      </c>
      <c r="J85" s="4" t="s">
        <v>210</v>
      </c>
      <c r="K85" s="4" t="s">
        <v>258</v>
      </c>
      <c r="L85" s="5">
        <v>650000</v>
      </c>
      <c r="M85" s="5">
        <v>325000</v>
      </c>
      <c r="N85" s="5">
        <v>0</v>
      </c>
      <c r="O85" s="5">
        <v>0</v>
      </c>
      <c r="P85" s="5">
        <v>0</v>
      </c>
      <c r="Q85" s="5">
        <v>0</v>
      </c>
      <c r="R85" s="5">
        <v>325000</v>
      </c>
      <c r="S85" s="5">
        <v>325000</v>
      </c>
      <c r="T85" s="6" t="s">
        <v>224</v>
      </c>
      <c r="U85" s="1" t="s">
        <v>202</v>
      </c>
      <c r="V85" s="1"/>
      <c r="W85" s="1" t="s">
        <v>63</v>
      </c>
      <c r="X85" s="1" t="s">
        <v>319</v>
      </c>
      <c r="Y85" s="1">
        <v>15</v>
      </c>
      <c r="Z85" s="1"/>
    </row>
    <row r="86" spans="1:26">
      <c r="A86" s="332">
        <v>31210</v>
      </c>
      <c r="B86" s="332">
        <v>25528</v>
      </c>
      <c r="C86" s="38">
        <v>46080</v>
      </c>
      <c r="D86" s="4" t="s">
        <v>725</v>
      </c>
      <c r="E86" s="4" t="s">
        <v>726</v>
      </c>
      <c r="F86" s="4" t="s">
        <v>122</v>
      </c>
      <c r="G86" s="4" t="s">
        <v>215</v>
      </c>
      <c r="H86" s="4" t="s">
        <v>216</v>
      </c>
      <c r="I86" s="4" t="s">
        <v>199</v>
      </c>
      <c r="J86" s="4" t="s">
        <v>200</v>
      </c>
      <c r="K86" s="4"/>
      <c r="L86" s="5">
        <v>140000</v>
      </c>
      <c r="M86" s="5">
        <v>2800</v>
      </c>
      <c r="N86" s="5">
        <v>0</v>
      </c>
      <c r="O86" s="5">
        <v>0</v>
      </c>
      <c r="P86" s="5">
        <v>0</v>
      </c>
      <c r="Q86" s="5">
        <v>0</v>
      </c>
      <c r="R86" s="5">
        <v>137200</v>
      </c>
      <c r="S86" s="5">
        <v>137200</v>
      </c>
      <c r="T86" s="6" t="s">
        <v>224</v>
      </c>
      <c r="U86" s="1" t="s">
        <v>202</v>
      </c>
      <c r="V86" s="1"/>
      <c r="W86" s="1" t="s">
        <v>63</v>
      </c>
      <c r="X86" s="1" t="s">
        <v>204</v>
      </c>
      <c r="Y86" s="1">
        <v>52</v>
      </c>
      <c r="Z86" s="1"/>
    </row>
    <row r="87" spans="1:26">
      <c r="A87" s="331">
        <v>35786</v>
      </c>
      <c r="B87" s="331">
        <v>25550</v>
      </c>
      <c r="C87" s="305">
        <v>46080</v>
      </c>
      <c r="D87" s="1" t="s">
        <v>732</v>
      </c>
      <c r="E87" s="1" t="s">
        <v>733</v>
      </c>
      <c r="F87" s="1" t="s">
        <v>126</v>
      </c>
      <c r="G87" s="1" t="s">
        <v>623</v>
      </c>
      <c r="H87" s="1" t="s">
        <v>624</v>
      </c>
      <c r="I87" s="1" t="s">
        <v>343</v>
      </c>
      <c r="J87" s="1" t="s">
        <v>210</v>
      </c>
      <c r="K87" s="1" t="s">
        <v>344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3">
        <v>0</v>
      </c>
      <c r="U87" s="1" t="s">
        <v>202</v>
      </c>
      <c r="V87" s="1"/>
      <c r="W87" s="1" t="s">
        <v>63</v>
      </c>
      <c r="X87" s="1" t="s">
        <v>248</v>
      </c>
      <c r="Y87" s="1">
        <v>22</v>
      </c>
      <c r="Z87" s="1"/>
    </row>
    <row r="88" spans="1:26">
      <c r="A88" s="332">
        <v>35920</v>
      </c>
      <c r="B88" s="332">
        <v>25552</v>
      </c>
      <c r="C88" s="38">
        <v>46078</v>
      </c>
      <c r="D88" s="4" t="s">
        <v>734</v>
      </c>
      <c r="E88" s="4" t="s">
        <v>735</v>
      </c>
      <c r="F88" s="4" t="s">
        <v>4</v>
      </c>
      <c r="G88" s="4">
        <v>890303</v>
      </c>
      <c r="H88" s="4" t="s">
        <v>221</v>
      </c>
      <c r="I88" s="4" t="s">
        <v>222</v>
      </c>
      <c r="J88" s="4" t="s">
        <v>223</v>
      </c>
      <c r="K88" s="4"/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6" t="s">
        <v>224</v>
      </c>
      <c r="U88" s="1" t="s">
        <v>202</v>
      </c>
      <c r="V88" s="1"/>
      <c r="W88" s="1" t="s">
        <v>63</v>
      </c>
      <c r="X88" s="1" t="s">
        <v>213</v>
      </c>
      <c r="Y88" s="1">
        <v>33</v>
      </c>
      <c r="Z88" s="1"/>
    </row>
    <row r="89" spans="1:26">
      <c r="A89" s="331">
        <v>35674</v>
      </c>
      <c r="B89" s="331">
        <v>25553</v>
      </c>
      <c r="C89" s="305">
        <v>46079</v>
      </c>
      <c r="D89" s="1" t="s">
        <v>736</v>
      </c>
      <c r="E89" s="1" t="s">
        <v>737</v>
      </c>
      <c r="F89" s="1" t="s">
        <v>122</v>
      </c>
      <c r="G89" s="1" t="s">
        <v>233</v>
      </c>
      <c r="H89" s="1" t="s">
        <v>234</v>
      </c>
      <c r="I89" s="1" t="s">
        <v>199</v>
      </c>
      <c r="J89" s="1" t="s">
        <v>200</v>
      </c>
      <c r="K89" s="1" t="s">
        <v>201</v>
      </c>
      <c r="L89" s="2">
        <v>50000</v>
      </c>
      <c r="M89" s="2">
        <v>8360.6</v>
      </c>
      <c r="N89" s="2">
        <v>0</v>
      </c>
      <c r="O89" s="2">
        <v>0</v>
      </c>
      <c r="P89" s="2">
        <v>0</v>
      </c>
      <c r="Q89" s="2">
        <v>0</v>
      </c>
      <c r="R89" s="2">
        <v>41639.4</v>
      </c>
      <c r="S89" s="2">
        <v>40819.4</v>
      </c>
      <c r="T89" s="3">
        <v>0.816388</v>
      </c>
      <c r="U89" s="1" t="s">
        <v>202</v>
      </c>
      <c r="V89" s="1" t="s">
        <v>738</v>
      </c>
      <c r="W89" s="1" t="s">
        <v>203</v>
      </c>
      <c r="X89" s="1" t="s">
        <v>248</v>
      </c>
      <c r="Y89" s="1">
        <v>43</v>
      </c>
      <c r="Z89" s="1" t="s">
        <v>739</v>
      </c>
    </row>
    <row r="90" spans="1:26">
      <c r="A90" s="332">
        <v>35921</v>
      </c>
      <c r="B90" s="332">
        <v>25559</v>
      </c>
      <c r="C90" s="38">
        <v>46078</v>
      </c>
      <c r="D90" s="4" t="s">
        <v>734</v>
      </c>
      <c r="E90" s="4" t="s">
        <v>735</v>
      </c>
      <c r="F90" s="4" t="s">
        <v>106</v>
      </c>
      <c r="G90" s="4" t="s">
        <v>271</v>
      </c>
      <c r="H90" s="4" t="s">
        <v>272</v>
      </c>
      <c r="I90" s="4" t="s">
        <v>273</v>
      </c>
      <c r="J90" s="4" t="s">
        <v>210</v>
      </c>
      <c r="K90" s="4"/>
      <c r="L90" s="5">
        <v>280000</v>
      </c>
      <c r="M90" s="5">
        <v>47600</v>
      </c>
      <c r="N90" s="5">
        <v>0</v>
      </c>
      <c r="O90" s="5">
        <v>0</v>
      </c>
      <c r="P90" s="5">
        <v>0</v>
      </c>
      <c r="Q90" s="5">
        <v>0</v>
      </c>
      <c r="R90" s="5">
        <v>232400</v>
      </c>
      <c r="S90" s="5">
        <v>232400</v>
      </c>
      <c r="T90" s="6" t="s">
        <v>224</v>
      </c>
      <c r="U90" s="1" t="s">
        <v>202</v>
      </c>
      <c r="V90" s="1"/>
      <c r="W90" s="1" t="s">
        <v>63</v>
      </c>
      <c r="X90" s="1" t="s">
        <v>213</v>
      </c>
      <c r="Y90" s="1">
        <v>33</v>
      </c>
      <c r="Z90" s="1"/>
    </row>
    <row r="91" spans="1:26">
      <c r="A91" s="332">
        <v>35928</v>
      </c>
      <c r="B91" s="332">
        <v>25572</v>
      </c>
      <c r="C91" s="38">
        <v>46080</v>
      </c>
      <c r="D91" s="4" t="s">
        <v>740</v>
      </c>
      <c r="E91" s="4" t="s">
        <v>741</v>
      </c>
      <c r="F91" s="4" t="s">
        <v>4</v>
      </c>
      <c r="G91" s="4">
        <v>890303</v>
      </c>
      <c r="H91" s="4" t="s">
        <v>221</v>
      </c>
      <c r="I91" s="4" t="s">
        <v>222</v>
      </c>
      <c r="J91" s="4" t="s">
        <v>223</v>
      </c>
      <c r="K91" s="4"/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6" t="s">
        <v>224</v>
      </c>
      <c r="U91" s="1" t="s">
        <v>202</v>
      </c>
      <c r="V91" s="1"/>
      <c r="W91" s="1" t="s">
        <v>63</v>
      </c>
      <c r="X91" s="1" t="s">
        <v>277</v>
      </c>
      <c r="Y91" s="1">
        <v>48</v>
      </c>
      <c r="Z91" s="1"/>
    </row>
    <row r="92" spans="1:26">
      <c r="A92" s="332">
        <v>35963</v>
      </c>
      <c r="B92" s="332">
        <v>25639</v>
      </c>
      <c r="C92" s="38">
        <v>46080</v>
      </c>
      <c r="D92" s="4" t="s">
        <v>759</v>
      </c>
      <c r="E92" s="4" t="s">
        <v>760</v>
      </c>
      <c r="F92" s="4" t="s">
        <v>4</v>
      </c>
      <c r="G92" s="4">
        <v>890303</v>
      </c>
      <c r="H92" s="4" t="s">
        <v>221</v>
      </c>
      <c r="I92" s="4" t="s">
        <v>222</v>
      </c>
      <c r="J92" s="4" t="s">
        <v>223</v>
      </c>
      <c r="K92" s="4"/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6" t="s">
        <v>224</v>
      </c>
      <c r="U92" s="1" t="s">
        <v>202</v>
      </c>
      <c r="V92" s="1"/>
      <c r="W92" s="1" t="s">
        <v>63</v>
      </c>
      <c r="X92" s="1" t="s">
        <v>213</v>
      </c>
      <c r="Y92" s="1">
        <v>38</v>
      </c>
      <c r="Z92" s="1"/>
    </row>
    <row r="93" spans="1:26">
      <c r="A93" s="332">
        <v>26298</v>
      </c>
      <c r="B93" s="332">
        <v>25650</v>
      </c>
      <c r="C93" s="38">
        <v>46079</v>
      </c>
      <c r="D93" s="4" t="s">
        <v>763</v>
      </c>
      <c r="E93" s="4" t="s">
        <v>764</v>
      </c>
      <c r="F93" s="4" t="s">
        <v>3</v>
      </c>
      <c r="G93" s="4" t="s">
        <v>583</v>
      </c>
      <c r="H93" s="4" t="s">
        <v>584</v>
      </c>
      <c r="I93" s="4" t="s">
        <v>257</v>
      </c>
      <c r="J93" s="4" t="s">
        <v>210</v>
      </c>
      <c r="K93" s="4"/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6" t="s">
        <v>224</v>
      </c>
      <c r="U93" s="1" t="s">
        <v>202</v>
      </c>
      <c r="V93" s="1"/>
      <c r="W93" s="1" t="s">
        <v>63</v>
      </c>
      <c r="X93" s="1" t="s">
        <v>225</v>
      </c>
      <c r="Y93" s="1">
        <v>47</v>
      </c>
      <c r="Z93" s="1"/>
    </row>
    <row r="94" spans="1:26">
      <c r="A94" s="332">
        <v>35531</v>
      </c>
      <c r="B94" s="332">
        <v>25677</v>
      </c>
      <c r="C94" s="38">
        <v>46073</v>
      </c>
      <c r="D94" s="4" t="s">
        <v>773</v>
      </c>
      <c r="E94" s="4" t="s">
        <v>774</v>
      </c>
      <c r="F94" s="4" t="s">
        <v>4</v>
      </c>
      <c r="G94" s="4" t="s">
        <v>391</v>
      </c>
      <c r="H94" s="4" t="s">
        <v>392</v>
      </c>
      <c r="I94" s="4" t="s">
        <v>257</v>
      </c>
      <c r="J94" s="4" t="s">
        <v>210</v>
      </c>
      <c r="K94" s="4"/>
      <c r="L94" s="5">
        <v>500000</v>
      </c>
      <c r="M94" s="5">
        <v>250000</v>
      </c>
      <c r="N94" s="5">
        <v>0</v>
      </c>
      <c r="O94" s="5">
        <v>0</v>
      </c>
      <c r="P94" s="5">
        <v>0</v>
      </c>
      <c r="Q94" s="5">
        <v>0</v>
      </c>
      <c r="R94" s="5">
        <v>250000</v>
      </c>
      <c r="S94" s="5">
        <v>250000</v>
      </c>
      <c r="T94" s="6" t="s">
        <v>224</v>
      </c>
      <c r="U94" s="1" t="s">
        <v>202</v>
      </c>
      <c r="V94" s="1"/>
      <c r="W94" s="1" t="s">
        <v>63</v>
      </c>
      <c r="X94" s="1" t="s">
        <v>213</v>
      </c>
      <c r="Y94" s="1">
        <v>35</v>
      </c>
      <c r="Z94" s="1"/>
    </row>
    <row r="95" spans="1:26">
      <c r="A95" s="331">
        <v>35995</v>
      </c>
      <c r="B95" s="331">
        <v>25710</v>
      </c>
      <c r="C95" s="305">
        <v>46079</v>
      </c>
      <c r="D95" s="1" t="s">
        <v>780</v>
      </c>
      <c r="E95" s="1" t="s">
        <v>781</v>
      </c>
      <c r="F95" s="1" t="s">
        <v>4</v>
      </c>
      <c r="G95" s="1">
        <v>890303</v>
      </c>
      <c r="H95" s="1" t="s">
        <v>281</v>
      </c>
      <c r="I95" s="1" t="s">
        <v>282</v>
      </c>
      <c r="J95" s="1" t="s">
        <v>210</v>
      </c>
      <c r="K95" s="1"/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3">
        <v>0</v>
      </c>
      <c r="U95" s="1" t="s">
        <v>202</v>
      </c>
      <c r="V95" s="1"/>
      <c r="W95" s="1" t="s">
        <v>63</v>
      </c>
      <c r="X95" s="1" t="s">
        <v>213</v>
      </c>
      <c r="Y95" s="1">
        <v>73</v>
      </c>
      <c r="Z95" s="1"/>
    </row>
    <row r="96" spans="1:26">
      <c r="A96" s="331">
        <v>35999</v>
      </c>
      <c r="B96" s="331">
        <v>25716</v>
      </c>
      <c r="C96" s="305">
        <v>46074</v>
      </c>
      <c r="D96" s="1" t="s">
        <v>786</v>
      </c>
      <c r="E96" s="1" t="s">
        <v>787</v>
      </c>
      <c r="F96" s="1" t="s">
        <v>3</v>
      </c>
      <c r="G96" s="1">
        <v>890242</v>
      </c>
      <c r="H96" s="1" t="s">
        <v>331</v>
      </c>
      <c r="I96" s="1" t="s">
        <v>332</v>
      </c>
      <c r="J96" s="1" t="s">
        <v>223</v>
      </c>
      <c r="K96" s="1"/>
      <c r="L96" s="2">
        <v>250000</v>
      </c>
      <c r="M96" s="2">
        <v>125000</v>
      </c>
      <c r="N96" s="2">
        <v>0</v>
      </c>
      <c r="O96" s="2">
        <v>0</v>
      </c>
      <c r="P96" s="2">
        <v>0</v>
      </c>
      <c r="Q96" s="2">
        <v>0</v>
      </c>
      <c r="R96" s="2">
        <v>125000</v>
      </c>
      <c r="S96" s="2">
        <v>125000</v>
      </c>
      <c r="T96" s="3">
        <v>0.5</v>
      </c>
      <c r="U96" s="1" t="s">
        <v>202</v>
      </c>
      <c r="V96" s="1"/>
      <c r="W96" s="1" t="s">
        <v>63</v>
      </c>
      <c r="X96" s="1" t="s">
        <v>225</v>
      </c>
      <c r="Y96" s="1">
        <v>0</v>
      </c>
      <c r="Z96" s="1"/>
    </row>
    <row r="97" spans="1:26">
      <c r="A97" s="332">
        <v>36011</v>
      </c>
      <c r="B97" s="332">
        <v>25734</v>
      </c>
      <c r="C97" s="38">
        <v>46080</v>
      </c>
      <c r="D97" s="4" t="s">
        <v>790</v>
      </c>
      <c r="E97" s="4" t="s">
        <v>791</v>
      </c>
      <c r="F97" s="4" t="s">
        <v>4</v>
      </c>
      <c r="G97" s="4">
        <v>890303</v>
      </c>
      <c r="H97" s="4" t="s">
        <v>221</v>
      </c>
      <c r="I97" s="4" t="s">
        <v>222</v>
      </c>
      <c r="J97" s="4" t="s">
        <v>223</v>
      </c>
      <c r="K97" s="4"/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6" t="s">
        <v>224</v>
      </c>
      <c r="U97" s="1" t="s">
        <v>202</v>
      </c>
      <c r="V97" s="1"/>
      <c r="W97" s="1" t="s">
        <v>63</v>
      </c>
      <c r="X97" s="1" t="s">
        <v>213</v>
      </c>
      <c r="Y97" s="1">
        <v>45</v>
      </c>
      <c r="Z97" s="1"/>
    </row>
    <row r="98" spans="1:26">
      <c r="A98" s="332">
        <v>36013</v>
      </c>
      <c r="B98" s="332">
        <v>25737</v>
      </c>
      <c r="C98" s="38">
        <v>46080</v>
      </c>
      <c r="D98" s="4" t="s">
        <v>792</v>
      </c>
      <c r="E98" s="4" t="s">
        <v>793</v>
      </c>
      <c r="F98" s="4" t="s">
        <v>2</v>
      </c>
      <c r="G98" s="4">
        <v>890303</v>
      </c>
      <c r="H98" s="4" t="s">
        <v>221</v>
      </c>
      <c r="I98" s="4" t="s">
        <v>222</v>
      </c>
      <c r="J98" s="4" t="s">
        <v>223</v>
      </c>
      <c r="K98" s="4"/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6" t="s">
        <v>224</v>
      </c>
      <c r="U98" s="1" t="s">
        <v>202</v>
      </c>
      <c r="V98" s="1"/>
      <c r="W98" s="1" t="s">
        <v>63</v>
      </c>
      <c r="X98" s="1" t="s">
        <v>213</v>
      </c>
      <c r="Y98" s="1">
        <v>41</v>
      </c>
      <c r="Z98" s="1"/>
    </row>
    <row r="99" spans="1:26">
      <c r="A99" s="331">
        <v>36014</v>
      </c>
      <c r="B99" s="331">
        <v>25738</v>
      </c>
      <c r="C99" s="305">
        <v>46080</v>
      </c>
      <c r="D99" s="1" t="s">
        <v>794</v>
      </c>
      <c r="E99" s="1" t="s">
        <v>795</v>
      </c>
      <c r="F99" s="1" t="s">
        <v>2</v>
      </c>
      <c r="G99" s="1">
        <v>890303</v>
      </c>
      <c r="H99" s="1" t="s">
        <v>281</v>
      </c>
      <c r="I99" s="1" t="s">
        <v>282</v>
      </c>
      <c r="J99" s="1" t="s">
        <v>210</v>
      </c>
      <c r="K99" s="1"/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3">
        <v>0</v>
      </c>
      <c r="U99" s="1" t="s">
        <v>202</v>
      </c>
      <c r="V99" s="1"/>
      <c r="W99" s="1" t="s">
        <v>63</v>
      </c>
      <c r="X99" s="1" t="s">
        <v>277</v>
      </c>
      <c r="Y99" s="1">
        <v>29</v>
      </c>
      <c r="Z99" s="1"/>
    </row>
    <row r="100" spans="1:26">
      <c r="A100" s="332">
        <v>30177</v>
      </c>
      <c r="B100" s="332">
        <v>25748</v>
      </c>
      <c r="C100" s="38">
        <v>46073</v>
      </c>
      <c r="D100" s="4" t="s">
        <v>808</v>
      </c>
      <c r="E100" s="4" t="s">
        <v>809</v>
      </c>
      <c r="F100" s="4" t="s">
        <v>4</v>
      </c>
      <c r="G100" s="4" t="s">
        <v>245</v>
      </c>
      <c r="H100" s="4" t="s">
        <v>485</v>
      </c>
      <c r="I100" s="4" t="s">
        <v>246</v>
      </c>
      <c r="J100" s="4" t="s">
        <v>210</v>
      </c>
      <c r="K100" s="4" t="s">
        <v>247</v>
      </c>
      <c r="L100" s="5">
        <v>700000</v>
      </c>
      <c r="M100" s="5">
        <v>350000</v>
      </c>
      <c r="N100" s="5">
        <v>0</v>
      </c>
      <c r="O100" s="5">
        <v>0</v>
      </c>
      <c r="P100" s="5">
        <v>0</v>
      </c>
      <c r="Q100" s="5">
        <v>0</v>
      </c>
      <c r="R100" s="5">
        <v>350000</v>
      </c>
      <c r="S100" s="5">
        <v>350000</v>
      </c>
      <c r="T100" s="6" t="s">
        <v>224</v>
      </c>
      <c r="U100" s="1" t="s">
        <v>202</v>
      </c>
      <c r="V100" s="1"/>
      <c r="W100" s="1" t="s">
        <v>63</v>
      </c>
      <c r="X100" s="1" t="s">
        <v>213</v>
      </c>
      <c r="Y100" s="1">
        <v>15</v>
      </c>
      <c r="Z100" s="1"/>
    </row>
    <row r="101" spans="1:26">
      <c r="A101" s="332">
        <v>28296</v>
      </c>
      <c r="B101" s="332">
        <v>25756</v>
      </c>
      <c r="C101" s="38">
        <v>46076</v>
      </c>
      <c r="D101" s="4" t="s">
        <v>812</v>
      </c>
      <c r="E101" s="4" t="s">
        <v>813</v>
      </c>
      <c r="F101" s="4" t="s">
        <v>3</v>
      </c>
      <c r="G101" s="4" t="s">
        <v>391</v>
      </c>
      <c r="H101" s="4" t="s">
        <v>392</v>
      </c>
      <c r="I101" s="4" t="s">
        <v>257</v>
      </c>
      <c r="J101" s="4" t="s">
        <v>210</v>
      </c>
      <c r="K101" s="4"/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6" t="s">
        <v>224</v>
      </c>
      <c r="U101" s="1" t="s">
        <v>202</v>
      </c>
      <c r="V101" s="1"/>
      <c r="W101" s="1" t="s">
        <v>63</v>
      </c>
      <c r="X101" s="1" t="s">
        <v>225</v>
      </c>
      <c r="Y101" s="1">
        <v>25</v>
      </c>
      <c r="Z101" s="1"/>
    </row>
    <row r="102" spans="1:26">
      <c r="A102" s="331">
        <v>36024</v>
      </c>
      <c r="B102" s="331">
        <v>25772</v>
      </c>
      <c r="C102" s="305">
        <v>46079</v>
      </c>
      <c r="D102" s="1" t="s">
        <v>814</v>
      </c>
      <c r="E102" s="1" t="s">
        <v>815</v>
      </c>
      <c r="F102" s="1" t="s">
        <v>127</v>
      </c>
      <c r="G102" s="1" t="s">
        <v>816</v>
      </c>
      <c r="H102" s="1" t="s">
        <v>817</v>
      </c>
      <c r="I102" s="1" t="s">
        <v>343</v>
      </c>
      <c r="J102" s="1" t="s">
        <v>210</v>
      </c>
      <c r="K102" s="1" t="s">
        <v>344</v>
      </c>
      <c r="L102" s="2">
        <v>400000</v>
      </c>
      <c r="M102" s="2">
        <v>196000</v>
      </c>
      <c r="N102" s="2">
        <v>0</v>
      </c>
      <c r="O102" s="2">
        <v>0</v>
      </c>
      <c r="P102" s="2">
        <v>0</v>
      </c>
      <c r="Q102" s="2">
        <v>0</v>
      </c>
      <c r="R102" s="2">
        <v>204000</v>
      </c>
      <c r="S102" s="2">
        <v>196000</v>
      </c>
      <c r="T102" s="3">
        <v>0.49</v>
      </c>
      <c r="U102" s="1" t="s">
        <v>202</v>
      </c>
      <c r="V102" s="1" t="s">
        <v>818</v>
      </c>
      <c r="W102" s="1" t="s">
        <v>203</v>
      </c>
      <c r="X102" s="1" t="s">
        <v>225</v>
      </c>
      <c r="Y102" s="1">
        <v>44</v>
      </c>
      <c r="Z102" s="1" t="s">
        <v>819</v>
      </c>
    </row>
    <row r="103" spans="1:26">
      <c r="A103" s="331">
        <v>32069</v>
      </c>
      <c r="B103" s="331">
        <v>25779</v>
      </c>
      <c r="C103" s="305">
        <v>46081</v>
      </c>
      <c r="D103" s="1" t="s">
        <v>824</v>
      </c>
      <c r="E103" s="1" t="s">
        <v>825</v>
      </c>
      <c r="F103" s="1" t="s">
        <v>2</v>
      </c>
      <c r="G103" s="1" t="s">
        <v>461</v>
      </c>
      <c r="H103" s="1" t="s">
        <v>462</v>
      </c>
      <c r="I103" s="1" t="s">
        <v>267</v>
      </c>
      <c r="J103" s="1" t="s">
        <v>210</v>
      </c>
      <c r="K103" s="1" t="s">
        <v>268</v>
      </c>
      <c r="L103" s="2">
        <v>1100000</v>
      </c>
      <c r="M103" s="2">
        <v>550000</v>
      </c>
      <c r="N103" s="2">
        <v>0</v>
      </c>
      <c r="O103" s="2">
        <v>0</v>
      </c>
      <c r="P103" s="2">
        <v>0</v>
      </c>
      <c r="Q103" s="2">
        <v>0</v>
      </c>
      <c r="R103" s="2">
        <v>550000</v>
      </c>
      <c r="S103" s="2">
        <v>550000</v>
      </c>
      <c r="T103" s="3">
        <v>0.5</v>
      </c>
      <c r="U103" s="1" t="s">
        <v>202</v>
      </c>
      <c r="V103" s="1"/>
      <c r="W103" s="1" t="s">
        <v>63</v>
      </c>
      <c r="X103" s="1" t="s">
        <v>213</v>
      </c>
      <c r="Y103" s="1">
        <v>15</v>
      </c>
      <c r="Z103" s="1"/>
    </row>
    <row r="104" spans="1:26">
      <c r="A104" s="331">
        <v>36033</v>
      </c>
      <c r="B104" s="331">
        <v>25784</v>
      </c>
      <c r="C104" s="305">
        <v>46073</v>
      </c>
      <c r="D104" s="1" t="s">
        <v>828</v>
      </c>
      <c r="E104" s="1" t="s">
        <v>829</v>
      </c>
      <c r="F104" s="1" t="s">
        <v>2</v>
      </c>
      <c r="G104" s="1">
        <v>890303</v>
      </c>
      <c r="H104" s="1" t="s">
        <v>281</v>
      </c>
      <c r="I104" s="1" t="s">
        <v>282</v>
      </c>
      <c r="J104" s="1" t="s">
        <v>210</v>
      </c>
      <c r="K104" s="1"/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3">
        <v>0</v>
      </c>
      <c r="U104" s="1" t="s">
        <v>202</v>
      </c>
      <c r="V104" s="1"/>
      <c r="W104" s="1" t="s">
        <v>63</v>
      </c>
      <c r="X104" s="1" t="s">
        <v>213</v>
      </c>
      <c r="Y104" s="1">
        <v>11</v>
      </c>
      <c r="Z104" s="1"/>
    </row>
    <row r="105" spans="1:26">
      <c r="A105" s="331">
        <v>35404</v>
      </c>
      <c r="B105" s="331">
        <v>25802</v>
      </c>
      <c r="C105" s="305">
        <v>46077</v>
      </c>
      <c r="D105" s="1" t="s">
        <v>832</v>
      </c>
      <c r="E105" s="1" t="s">
        <v>833</v>
      </c>
      <c r="F105" s="1" t="s">
        <v>5</v>
      </c>
      <c r="G105" s="1" t="s">
        <v>465</v>
      </c>
      <c r="H105" s="1" t="s">
        <v>466</v>
      </c>
      <c r="I105" s="1" t="s">
        <v>343</v>
      </c>
      <c r="J105" s="1" t="s">
        <v>210</v>
      </c>
      <c r="K105" s="1" t="s">
        <v>344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3">
        <v>0</v>
      </c>
      <c r="U105" s="1" t="s">
        <v>202</v>
      </c>
      <c r="V105" s="1"/>
      <c r="W105" s="1" t="s">
        <v>63</v>
      </c>
      <c r="X105" s="1" t="s">
        <v>225</v>
      </c>
      <c r="Y105" s="1">
        <v>31</v>
      </c>
      <c r="Z105" s="1"/>
    </row>
    <row r="106" spans="1:26">
      <c r="A106" s="331">
        <v>36041</v>
      </c>
      <c r="B106" s="331">
        <v>25803</v>
      </c>
      <c r="C106" s="305">
        <v>46079</v>
      </c>
      <c r="D106" s="1" t="s">
        <v>834</v>
      </c>
      <c r="E106" s="1" t="s">
        <v>835</v>
      </c>
      <c r="F106" s="1" t="s">
        <v>127</v>
      </c>
      <c r="G106" s="1">
        <v>890303</v>
      </c>
      <c r="H106" s="1" t="s">
        <v>281</v>
      </c>
      <c r="I106" s="1" t="s">
        <v>282</v>
      </c>
      <c r="J106" s="1" t="s">
        <v>210</v>
      </c>
      <c r="K106" s="1"/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3">
        <v>0</v>
      </c>
      <c r="U106" s="1" t="s">
        <v>202</v>
      </c>
      <c r="V106" s="1"/>
      <c r="W106" s="1" t="s">
        <v>63</v>
      </c>
      <c r="X106" s="1" t="s">
        <v>213</v>
      </c>
      <c r="Y106" s="1">
        <v>19</v>
      </c>
      <c r="Z106" s="1"/>
    </row>
    <row r="107" spans="1:26">
      <c r="A107" s="331">
        <v>36043</v>
      </c>
      <c r="B107" s="331">
        <v>25806</v>
      </c>
      <c r="C107" s="305">
        <v>46081</v>
      </c>
      <c r="D107" s="1" t="s">
        <v>839</v>
      </c>
      <c r="E107" s="1" t="s">
        <v>840</v>
      </c>
      <c r="F107" s="1" t="s">
        <v>127</v>
      </c>
      <c r="G107" s="1">
        <v>890303</v>
      </c>
      <c r="H107" s="1" t="s">
        <v>281</v>
      </c>
      <c r="I107" s="1" t="s">
        <v>282</v>
      </c>
      <c r="J107" s="1" t="s">
        <v>210</v>
      </c>
      <c r="K107" s="1"/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3">
        <v>0</v>
      </c>
      <c r="U107" s="1" t="s">
        <v>202</v>
      </c>
      <c r="V107" s="1"/>
      <c r="W107" s="1" t="s">
        <v>63</v>
      </c>
      <c r="X107" s="1" t="s">
        <v>672</v>
      </c>
      <c r="Y107" s="1">
        <v>29</v>
      </c>
      <c r="Z107" s="1"/>
    </row>
    <row r="108" spans="1:26">
      <c r="A108" s="332">
        <v>36046</v>
      </c>
      <c r="B108" s="332">
        <v>25810</v>
      </c>
      <c r="C108" s="38">
        <v>46074</v>
      </c>
      <c r="D108" s="4" t="s">
        <v>841</v>
      </c>
      <c r="E108" s="4" t="s">
        <v>842</v>
      </c>
      <c r="F108" s="4" t="s">
        <v>3</v>
      </c>
      <c r="G108" s="4" t="s">
        <v>362</v>
      </c>
      <c r="H108" s="4" t="s">
        <v>363</v>
      </c>
      <c r="I108" s="4" t="s">
        <v>349</v>
      </c>
      <c r="J108" s="4" t="s">
        <v>210</v>
      </c>
      <c r="K108" s="4"/>
      <c r="L108" s="5">
        <v>3000000</v>
      </c>
      <c r="M108" s="5">
        <v>1500000</v>
      </c>
      <c r="N108" s="5">
        <v>0</v>
      </c>
      <c r="O108" s="5">
        <v>0</v>
      </c>
      <c r="P108" s="5">
        <v>0</v>
      </c>
      <c r="Q108" s="5">
        <v>0</v>
      </c>
      <c r="R108" s="5">
        <v>1500000</v>
      </c>
      <c r="S108" s="5">
        <v>1500000</v>
      </c>
      <c r="T108" s="6" t="s">
        <v>224</v>
      </c>
      <c r="U108" s="1" t="s">
        <v>202</v>
      </c>
      <c r="V108" s="1"/>
      <c r="W108" s="1" t="s">
        <v>63</v>
      </c>
      <c r="X108" s="1" t="s">
        <v>213</v>
      </c>
      <c r="Y108" s="1">
        <v>46</v>
      </c>
      <c r="Z108" s="1"/>
    </row>
    <row r="109" spans="1:26">
      <c r="A109" s="331">
        <v>36061</v>
      </c>
      <c r="B109" s="331">
        <v>25836</v>
      </c>
      <c r="C109" s="305">
        <v>46073</v>
      </c>
      <c r="D109" s="1" t="s">
        <v>860</v>
      </c>
      <c r="E109" s="1" t="s">
        <v>861</v>
      </c>
      <c r="F109" s="1" t="s">
        <v>4</v>
      </c>
      <c r="G109" s="1">
        <v>890242</v>
      </c>
      <c r="H109" s="1" t="s">
        <v>331</v>
      </c>
      <c r="I109" s="1" t="s">
        <v>332</v>
      </c>
      <c r="J109" s="1" t="s">
        <v>223</v>
      </c>
      <c r="K109" s="1"/>
      <c r="L109" s="2">
        <v>250000</v>
      </c>
      <c r="M109" s="2">
        <v>125000</v>
      </c>
      <c r="N109" s="2">
        <v>0</v>
      </c>
      <c r="O109" s="2">
        <v>0</v>
      </c>
      <c r="P109" s="2">
        <v>0</v>
      </c>
      <c r="Q109" s="2">
        <v>0</v>
      </c>
      <c r="R109" s="2">
        <v>125000</v>
      </c>
      <c r="S109" s="2">
        <v>125000</v>
      </c>
      <c r="T109" s="3">
        <v>0.5</v>
      </c>
      <c r="U109" s="1" t="s">
        <v>202</v>
      </c>
      <c r="V109" s="1"/>
      <c r="W109" s="1" t="s">
        <v>63</v>
      </c>
      <c r="X109" s="1" t="s">
        <v>225</v>
      </c>
      <c r="Y109" s="1">
        <v>0</v>
      </c>
      <c r="Z109" s="1"/>
    </row>
    <row r="110" spans="1:26">
      <c r="A110" s="332">
        <v>36076</v>
      </c>
      <c r="B110" s="332">
        <v>25860</v>
      </c>
      <c r="C110" s="38">
        <v>46076</v>
      </c>
      <c r="D110" s="4" t="s">
        <v>877</v>
      </c>
      <c r="E110" s="4" t="s">
        <v>878</v>
      </c>
      <c r="F110" s="4" t="s">
        <v>126</v>
      </c>
      <c r="G110" s="4">
        <v>890303</v>
      </c>
      <c r="H110" s="4" t="s">
        <v>221</v>
      </c>
      <c r="I110" s="4" t="s">
        <v>222</v>
      </c>
      <c r="J110" s="4" t="s">
        <v>223</v>
      </c>
      <c r="K110" s="4"/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6" t="s">
        <v>224</v>
      </c>
      <c r="U110" s="1" t="s">
        <v>202</v>
      </c>
      <c r="V110" s="1"/>
      <c r="W110" s="1" t="s">
        <v>63</v>
      </c>
      <c r="X110" s="1" t="s">
        <v>277</v>
      </c>
      <c r="Y110" s="1">
        <v>56</v>
      </c>
      <c r="Z110" s="1"/>
    </row>
    <row r="111" spans="1:26">
      <c r="A111" s="332">
        <v>36084</v>
      </c>
      <c r="B111" s="332">
        <v>25870</v>
      </c>
      <c r="C111" s="38">
        <v>46077</v>
      </c>
      <c r="D111" s="4" t="s">
        <v>881</v>
      </c>
      <c r="E111" s="4" t="s">
        <v>882</v>
      </c>
      <c r="F111" s="4" t="s">
        <v>122</v>
      </c>
      <c r="G111" s="4" t="s">
        <v>242</v>
      </c>
      <c r="H111" s="4" t="s">
        <v>243</v>
      </c>
      <c r="I111" s="4" t="s">
        <v>199</v>
      </c>
      <c r="J111" s="4" t="s">
        <v>200</v>
      </c>
      <c r="K111" s="4"/>
      <c r="L111" s="5">
        <v>140000</v>
      </c>
      <c r="M111" s="5">
        <v>23800</v>
      </c>
      <c r="N111" s="5">
        <v>0</v>
      </c>
      <c r="O111" s="5">
        <v>0</v>
      </c>
      <c r="P111" s="5">
        <v>0</v>
      </c>
      <c r="Q111" s="5">
        <v>0</v>
      </c>
      <c r="R111" s="5">
        <v>116200</v>
      </c>
      <c r="S111" s="5">
        <v>116200</v>
      </c>
      <c r="T111" s="6" t="s">
        <v>224</v>
      </c>
      <c r="U111" s="1" t="s">
        <v>202</v>
      </c>
      <c r="V111" s="1"/>
      <c r="W111" s="1" t="s">
        <v>63</v>
      </c>
      <c r="X111" s="1" t="s">
        <v>277</v>
      </c>
      <c r="Y111" s="1">
        <v>33</v>
      </c>
      <c r="Z111" s="1"/>
    </row>
    <row r="112" spans="1:26">
      <c r="A112" s="332">
        <v>36088</v>
      </c>
      <c r="B112" s="332">
        <v>25876</v>
      </c>
      <c r="C112" s="38">
        <v>46074</v>
      </c>
      <c r="D112" s="4" t="s">
        <v>2091</v>
      </c>
      <c r="E112" s="4" t="s">
        <v>2092</v>
      </c>
      <c r="F112" s="4" t="s">
        <v>2</v>
      </c>
      <c r="G112" s="4">
        <v>864201</v>
      </c>
      <c r="H112" s="4" t="s">
        <v>2093</v>
      </c>
      <c r="I112" s="4" t="s">
        <v>282</v>
      </c>
      <c r="J112" s="4" t="s">
        <v>210</v>
      </c>
      <c r="K112" s="4"/>
      <c r="L112" s="5">
        <v>1380000</v>
      </c>
      <c r="M112" s="5">
        <v>690000</v>
      </c>
      <c r="N112" s="5">
        <v>0</v>
      </c>
      <c r="O112" s="5">
        <v>0</v>
      </c>
      <c r="P112" s="5">
        <v>0</v>
      </c>
      <c r="Q112" s="5">
        <v>0</v>
      </c>
      <c r="R112" s="5">
        <v>690000</v>
      </c>
      <c r="S112" s="5">
        <v>690000</v>
      </c>
      <c r="T112" s="6" t="s">
        <v>224</v>
      </c>
      <c r="U112" s="1" t="s">
        <v>202</v>
      </c>
      <c r="V112" s="1"/>
      <c r="W112" s="1" t="s">
        <v>63</v>
      </c>
      <c r="X112" s="1" t="s">
        <v>277</v>
      </c>
      <c r="Y112" s="1">
        <v>0</v>
      </c>
      <c r="Z112" s="1"/>
    </row>
    <row r="113" spans="1:26">
      <c r="A113" s="331">
        <v>36090</v>
      </c>
      <c r="B113" s="331">
        <v>25879</v>
      </c>
      <c r="C113" s="305">
        <v>46074</v>
      </c>
      <c r="D113" s="1" t="s">
        <v>889</v>
      </c>
      <c r="E113" s="1" t="s">
        <v>890</v>
      </c>
      <c r="F113" s="1" t="s">
        <v>4</v>
      </c>
      <c r="G113" s="1">
        <v>890242</v>
      </c>
      <c r="H113" s="1" t="s">
        <v>331</v>
      </c>
      <c r="I113" s="1" t="s">
        <v>332</v>
      </c>
      <c r="J113" s="1" t="s">
        <v>223</v>
      </c>
      <c r="K113" s="1"/>
      <c r="L113" s="2">
        <v>250000</v>
      </c>
      <c r="M113" s="2">
        <v>125000</v>
      </c>
      <c r="N113" s="2">
        <v>0</v>
      </c>
      <c r="O113" s="2">
        <v>0</v>
      </c>
      <c r="P113" s="2">
        <v>0</v>
      </c>
      <c r="Q113" s="2">
        <v>0</v>
      </c>
      <c r="R113" s="2">
        <v>125000</v>
      </c>
      <c r="S113" s="2">
        <v>125000</v>
      </c>
      <c r="T113" s="3">
        <v>0.5</v>
      </c>
      <c r="U113" s="1" t="s">
        <v>202</v>
      </c>
      <c r="V113" s="1"/>
      <c r="W113" s="1" t="s">
        <v>63</v>
      </c>
      <c r="X113" s="1" t="s">
        <v>213</v>
      </c>
      <c r="Y113" s="1">
        <v>0</v>
      </c>
      <c r="Z113" s="1"/>
    </row>
    <row r="114" spans="1:26">
      <c r="A114" s="332">
        <v>36091</v>
      </c>
      <c r="B114" s="332">
        <v>25880</v>
      </c>
      <c r="C114" s="38">
        <v>46081</v>
      </c>
      <c r="D114" s="4" t="s">
        <v>891</v>
      </c>
      <c r="E114" s="4" t="s">
        <v>892</v>
      </c>
      <c r="F114" s="4" t="s">
        <v>127</v>
      </c>
      <c r="G114" s="4" t="s">
        <v>451</v>
      </c>
      <c r="H114" s="4" t="s">
        <v>452</v>
      </c>
      <c r="I114" s="4" t="s">
        <v>2901</v>
      </c>
      <c r="J114" s="4" t="s">
        <v>210</v>
      </c>
      <c r="K114" s="4"/>
      <c r="L114" s="5">
        <v>450000</v>
      </c>
      <c r="M114" s="5">
        <v>225000</v>
      </c>
      <c r="N114" s="5">
        <v>0</v>
      </c>
      <c r="O114" s="5">
        <v>0</v>
      </c>
      <c r="P114" s="5">
        <v>0</v>
      </c>
      <c r="Q114" s="5">
        <v>0</v>
      </c>
      <c r="R114" s="5">
        <v>225000</v>
      </c>
      <c r="S114" s="5">
        <v>225000</v>
      </c>
      <c r="T114" s="6" t="s">
        <v>224</v>
      </c>
      <c r="U114" s="1" t="s">
        <v>202</v>
      </c>
      <c r="V114" s="1"/>
      <c r="W114" s="1" t="s">
        <v>63</v>
      </c>
      <c r="X114" s="1" t="s">
        <v>225</v>
      </c>
      <c r="Y114" s="1">
        <v>0</v>
      </c>
      <c r="Z114" s="1"/>
    </row>
    <row r="115" spans="1:26">
      <c r="A115" s="332">
        <v>36092</v>
      </c>
      <c r="B115" s="332">
        <v>25881</v>
      </c>
      <c r="C115" s="38">
        <v>46081</v>
      </c>
      <c r="D115" s="4" t="s">
        <v>893</v>
      </c>
      <c r="E115" s="4" t="s">
        <v>894</v>
      </c>
      <c r="F115" s="4" t="s">
        <v>127</v>
      </c>
      <c r="G115" s="4" t="s">
        <v>451</v>
      </c>
      <c r="H115" s="4" t="s">
        <v>452</v>
      </c>
      <c r="I115" s="4" t="s">
        <v>2901</v>
      </c>
      <c r="J115" s="4" t="s">
        <v>210</v>
      </c>
      <c r="K115" s="4"/>
      <c r="L115" s="5">
        <v>450000</v>
      </c>
      <c r="M115" s="5">
        <v>225000</v>
      </c>
      <c r="N115" s="5">
        <v>0</v>
      </c>
      <c r="O115" s="5">
        <v>0</v>
      </c>
      <c r="P115" s="5">
        <v>0</v>
      </c>
      <c r="Q115" s="5">
        <v>0</v>
      </c>
      <c r="R115" s="5">
        <v>225000</v>
      </c>
      <c r="S115" s="5">
        <v>225000</v>
      </c>
      <c r="T115" s="6" t="s">
        <v>224</v>
      </c>
      <c r="U115" s="1" t="s">
        <v>202</v>
      </c>
      <c r="V115" s="1"/>
      <c r="W115" s="1" t="s">
        <v>63</v>
      </c>
      <c r="X115" s="1" t="s">
        <v>225</v>
      </c>
      <c r="Y115" s="1">
        <v>0</v>
      </c>
      <c r="Z115" s="1"/>
    </row>
    <row r="116" spans="1:26">
      <c r="A116" s="331">
        <v>36096</v>
      </c>
      <c r="B116" s="331">
        <v>25886</v>
      </c>
      <c r="C116" s="305">
        <v>46079</v>
      </c>
      <c r="D116" s="1" t="s">
        <v>899</v>
      </c>
      <c r="E116" s="1" t="s">
        <v>900</v>
      </c>
      <c r="F116" s="1" t="s">
        <v>127</v>
      </c>
      <c r="G116" s="1">
        <v>890303</v>
      </c>
      <c r="H116" s="1" t="s">
        <v>281</v>
      </c>
      <c r="I116" s="1" t="s">
        <v>282</v>
      </c>
      <c r="J116" s="1" t="s">
        <v>210</v>
      </c>
      <c r="K116" s="1"/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3">
        <v>0</v>
      </c>
      <c r="U116" s="1" t="s">
        <v>202</v>
      </c>
      <c r="V116" s="1"/>
      <c r="W116" s="1" t="s">
        <v>63</v>
      </c>
      <c r="X116" s="1" t="s">
        <v>529</v>
      </c>
      <c r="Y116" s="1">
        <v>15</v>
      </c>
      <c r="Z116" s="1"/>
    </row>
    <row r="117" spans="1:26">
      <c r="A117" s="331">
        <v>36112</v>
      </c>
      <c r="B117" s="331">
        <v>25905</v>
      </c>
      <c r="C117" s="305">
        <v>46079</v>
      </c>
      <c r="D117" s="1" t="s">
        <v>911</v>
      </c>
      <c r="E117" s="1" t="s">
        <v>912</v>
      </c>
      <c r="F117" s="1" t="s">
        <v>107</v>
      </c>
      <c r="G117" s="1">
        <v>890304</v>
      </c>
      <c r="H117" s="1" t="s">
        <v>913</v>
      </c>
      <c r="I117" s="1" t="s">
        <v>332</v>
      </c>
      <c r="J117" s="1" t="s">
        <v>223</v>
      </c>
      <c r="K117" s="1"/>
      <c r="L117" s="2">
        <v>240000</v>
      </c>
      <c r="M117" s="2">
        <v>120000</v>
      </c>
      <c r="N117" s="2">
        <v>0</v>
      </c>
      <c r="O117" s="2">
        <v>0</v>
      </c>
      <c r="P117" s="2">
        <v>0</v>
      </c>
      <c r="Q117" s="2">
        <v>0</v>
      </c>
      <c r="R117" s="2">
        <v>120000</v>
      </c>
      <c r="S117" s="2">
        <v>120000</v>
      </c>
      <c r="T117" s="3">
        <v>0.5</v>
      </c>
      <c r="U117" s="1" t="s">
        <v>202</v>
      </c>
      <c r="V117" s="1"/>
      <c r="W117" s="1" t="s">
        <v>63</v>
      </c>
      <c r="X117" s="1" t="s">
        <v>529</v>
      </c>
      <c r="Y117" s="1">
        <v>0</v>
      </c>
      <c r="Z117" s="1"/>
    </row>
    <row r="118" spans="1:26">
      <c r="A118" s="332">
        <v>35001</v>
      </c>
      <c r="B118" s="332">
        <v>25923</v>
      </c>
      <c r="C118" s="38">
        <v>46074</v>
      </c>
      <c r="D118" s="4" t="s">
        <v>929</v>
      </c>
      <c r="E118" s="4" t="s">
        <v>930</v>
      </c>
      <c r="F118" s="4" t="s">
        <v>4</v>
      </c>
      <c r="G118" s="4" t="s">
        <v>931</v>
      </c>
      <c r="H118" s="4" t="s">
        <v>932</v>
      </c>
      <c r="I118" s="4" t="s">
        <v>282</v>
      </c>
      <c r="J118" s="4" t="s">
        <v>210</v>
      </c>
      <c r="K118" s="4"/>
      <c r="L118" s="5">
        <v>200000</v>
      </c>
      <c r="M118" s="5">
        <v>100000</v>
      </c>
      <c r="N118" s="5">
        <v>0</v>
      </c>
      <c r="O118" s="5">
        <v>0</v>
      </c>
      <c r="P118" s="5">
        <v>0</v>
      </c>
      <c r="Q118" s="5">
        <v>0</v>
      </c>
      <c r="R118" s="5">
        <v>100000</v>
      </c>
      <c r="S118" s="5">
        <v>100000</v>
      </c>
      <c r="T118" s="6" t="s">
        <v>224</v>
      </c>
      <c r="U118" s="1" t="s">
        <v>202</v>
      </c>
      <c r="V118" s="1"/>
      <c r="W118" s="1" t="s">
        <v>63</v>
      </c>
      <c r="X118" s="1" t="s">
        <v>213</v>
      </c>
      <c r="Y118" s="1">
        <v>19</v>
      </c>
      <c r="Z118" s="1"/>
    </row>
    <row r="119" spans="1:26">
      <c r="A119" s="331">
        <v>36129</v>
      </c>
      <c r="B119" s="331">
        <v>25927</v>
      </c>
      <c r="C119" s="305">
        <v>46076</v>
      </c>
      <c r="D119" s="1" t="s">
        <v>939</v>
      </c>
      <c r="E119" s="1" t="s">
        <v>940</v>
      </c>
      <c r="F119" s="1" t="s">
        <v>3</v>
      </c>
      <c r="G119" s="1">
        <v>890302</v>
      </c>
      <c r="H119" s="1" t="s">
        <v>244</v>
      </c>
      <c r="I119" s="1" t="s">
        <v>222</v>
      </c>
      <c r="J119" s="1" t="s">
        <v>223</v>
      </c>
      <c r="K119" s="1"/>
      <c r="L119" s="2">
        <v>180000</v>
      </c>
      <c r="M119" s="2">
        <v>90000</v>
      </c>
      <c r="N119" s="2">
        <v>0</v>
      </c>
      <c r="O119" s="2">
        <v>0</v>
      </c>
      <c r="P119" s="2">
        <v>0</v>
      </c>
      <c r="Q119" s="2">
        <v>0</v>
      </c>
      <c r="R119" s="2">
        <v>90000</v>
      </c>
      <c r="S119" s="2">
        <v>90000</v>
      </c>
      <c r="T119" s="3">
        <v>0.5</v>
      </c>
      <c r="U119" s="1" t="s">
        <v>202</v>
      </c>
      <c r="V119" s="1"/>
      <c r="W119" s="1" t="s">
        <v>63</v>
      </c>
      <c r="X119" s="1" t="s">
        <v>225</v>
      </c>
      <c r="Y119" s="1">
        <v>35</v>
      </c>
      <c r="Z119" s="1"/>
    </row>
    <row r="120" spans="1:26">
      <c r="A120" s="331">
        <v>36157</v>
      </c>
      <c r="B120" s="331">
        <v>25988</v>
      </c>
      <c r="C120" s="305">
        <v>46081</v>
      </c>
      <c r="D120" s="1" t="s">
        <v>1312</v>
      </c>
      <c r="E120" s="1" t="s">
        <v>1313</v>
      </c>
      <c r="F120" s="1" t="s">
        <v>127</v>
      </c>
      <c r="G120" s="1">
        <v>890242</v>
      </c>
      <c r="H120" s="1" t="s">
        <v>331</v>
      </c>
      <c r="I120" s="1" t="s">
        <v>332</v>
      </c>
      <c r="J120" s="1" t="s">
        <v>223</v>
      </c>
      <c r="K120" s="1"/>
      <c r="L120" s="2">
        <v>250000</v>
      </c>
      <c r="M120" s="2">
        <v>125000</v>
      </c>
      <c r="N120" s="2">
        <v>0</v>
      </c>
      <c r="O120" s="2">
        <v>0</v>
      </c>
      <c r="P120" s="2">
        <v>0</v>
      </c>
      <c r="Q120" s="2">
        <v>0</v>
      </c>
      <c r="R120" s="2">
        <v>125000</v>
      </c>
      <c r="S120" s="2">
        <v>125000</v>
      </c>
      <c r="T120" s="3">
        <v>0.5</v>
      </c>
      <c r="U120" s="1" t="s">
        <v>202</v>
      </c>
      <c r="V120" s="1"/>
      <c r="W120" s="1" t="s">
        <v>63</v>
      </c>
      <c r="X120" s="1" t="s">
        <v>225</v>
      </c>
      <c r="Y120" s="1">
        <v>0</v>
      </c>
      <c r="Z120" s="1"/>
    </row>
    <row r="121" spans="1:26">
      <c r="A121" s="331">
        <v>36161</v>
      </c>
      <c r="B121" s="331">
        <v>25995</v>
      </c>
      <c r="C121" s="305">
        <v>46073</v>
      </c>
      <c r="D121" s="1" t="s">
        <v>1317</v>
      </c>
      <c r="E121" s="1" t="s">
        <v>1318</v>
      </c>
      <c r="F121" s="1" t="s">
        <v>4</v>
      </c>
      <c r="G121" s="1">
        <v>890302</v>
      </c>
      <c r="H121" s="1" t="s">
        <v>244</v>
      </c>
      <c r="I121" s="1" t="s">
        <v>222</v>
      </c>
      <c r="J121" s="1" t="s">
        <v>223</v>
      </c>
      <c r="K121" s="1"/>
      <c r="L121" s="2">
        <v>180000</v>
      </c>
      <c r="M121" s="2">
        <v>90000</v>
      </c>
      <c r="N121" s="2">
        <v>0</v>
      </c>
      <c r="O121" s="2">
        <v>0</v>
      </c>
      <c r="P121" s="2">
        <v>0</v>
      </c>
      <c r="Q121" s="2">
        <v>0</v>
      </c>
      <c r="R121" s="2">
        <v>90000</v>
      </c>
      <c r="S121" s="2">
        <v>90000</v>
      </c>
      <c r="T121" s="3">
        <v>0.5</v>
      </c>
      <c r="U121" s="1" t="s">
        <v>202</v>
      </c>
      <c r="V121" s="1"/>
      <c r="W121" s="1" t="s">
        <v>63</v>
      </c>
      <c r="X121" s="1" t="s">
        <v>213</v>
      </c>
      <c r="Y121" s="1">
        <v>30</v>
      </c>
      <c r="Z121" s="1"/>
    </row>
    <row r="122" spans="1:26">
      <c r="A122" s="332">
        <v>36162</v>
      </c>
      <c r="B122" s="332">
        <v>25996</v>
      </c>
      <c r="C122" s="38">
        <v>46079</v>
      </c>
      <c r="D122" s="4" t="s">
        <v>1319</v>
      </c>
      <c r="E122" s="4" t="s">
        <v>1320</v>
      </c>
      <c r="F122" s="4" t="s">
        <v>2</v>
      </c>
      <c r="G122" s="4">
        <v>890303</v>
      </c>
      <c r="H122" s="4" t="s">
        <v>221</v>
      </c>
      <c r="I122" s="4" t="s">
        <v>222</v>
      </c>
      <c r="J122" s="4" t="s">
        <v>223</v>
      </c>
      <c r="K122" s="4"/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6" t="s">
        <v>224</v>
      </c>
      <c r="U122" s="1" t="s">
        <v>202</v>
      </c>
      <c r="V122" s="1"/>
      <c r="W122" s="1" t="s">
        <v>63</v>
      </c>
      <c r="X122" s="1" t="s">
        <v>277</v>
      </c>
      <c r="Y122" s="1">
        <v>53</v>
      </c>
      <c r="Z122" s="1"/>
    </row>
    <row r="123" spans="1:26">
      <c r="A123" s="331">
        <v>36165</v>
      </c>
      <c r="B123" s="331">
        <v>25999</v>
      </c>
      <c r="C123" s="305">
        <v>46076</v>
      </c>
      <c r="D123" s="1" t="s">
        <v>1321</v>
      </c>
      <c r="E123" s="1" t="s">
        <v>1322</v>
      </c>
      <c r="F123" s="1" t="s">
        <v>2</v>
      </c>
      <c r="G123" s="1">
        <v>890302</v>
      </c>
      <c r="H123" s="1" t="s">
        <v>244</v>
      </c>
      <c r="I123" s="1" t="s">
        <v>222</v>
      </c>
      <c r="J123" s="1" t="s">
        <v>223</v>
      </c>
      <c r="K123" s="1"/>
      <c r="L123" s="2">
        <v>180000</v>
      </c>
      <c r="M123" s="2">
        <v>90000</v>
      </c>
      <c r="N123" s="2">
        <v>0</v>
      </c>
      <c r="O123" s="2">
        <v>0</v>
      </c>
      <c r="P123" s="2">
        <v>0</v>
      </c>
      <c r="Q123" s="2">
        <v>0</v>
      </c>
      <c r="R123" s="2">
        <v>90000</v>
      </c>
      <c r="S123" s="2">
        <v>90000</v>
      </c>
      <c r="T123" s="3">
        <v>0.5</v>
      </c>
      <c r="U123" s="1" t="s">
        <v>202</v>
      </c>
      <c r="V123" s="1"/>
      <c r="W123" s="1" t="s">
        <v>63</v>
      </c>
      <c r="X123" s="1" t="s">
        <v>277</v>
      </c>
      <c r="Y123" s="1">
        <v>25</v>
      </c>
      <c r="Z123" s="1"/>
    </row>
    <row r="124" spans="1:26">
      <c r="A124" s="331">
        <v>36177</v>
      </c>
      <c r="B124" s="331">
        <v>26021</v>
      </c>
      <c r="C124" s="305">
        <v>46076</v>
      </c>
      <c r="D124" s="1" t="s">
        <v>1324</v>
      </c>
      <c r="E124" s="1" t="s">
        <v>1325</v>
      </c>
      <c r="F124" s="1" t="s">
        <v>107</v>
      </c>
      <c r="G124" s="1">
        <v>890304</v>
      </c>
      <c r="H124" s="1" t="s">
        <v>913</v>
      </c>
      <c r="I124" s="1" t="s">
        <v>332</v>
      </c>
      <c r="J124" s="1" t="s">
        <v>223</v>
      </c>
      <c r="K124" s="1"/>
      <c r="L124" s="2">
        <v>240000</v>
      </c>
      <c r="M124" s="2">
        <v>120000</v>
      </c>
      <c r="N124" s="2">
        <v>0</v>
      </c>
      <c r="O124" s="2">
        <v>0</v>
      </c>
      <c r="P124" s="2">
        <v>0</v>
      </c>
      <c r="Q124" s="2">
        <v>0</v>
      </c>
      <c r="R124" s="2">
        <v>120000</v>
      </c>
      <c r="S124" s="2">
        <v>120000</v>
      </c>
      <c r="T124" s="3">
        <v>0.5</v>
      </c>
      <c r="U124" s="1" t="s">
        <v>202</v>
      </c>
      <c r="V124" s="1"/>
      <c r="W124" s="1" t="s">
        <v>63</v>
      </c>
      <c r="X124" s="1" t="s">
        <v>213</v>
      </c>
      <c r="Y124" s="1">
        <v>0</v>
      </c>
      <c r="Z124" s="1"/>
    </row>
    <row r="125" spans="1:26">
      <c r="A125" s="331">
        <v>35847</v>
      </c>
      <c r="B125" s="331">
        <v>26042</v>
      </c>
      <c r="C125" s="305">
        <v>46081</v>
      </c>
      <c r="D125" s="1" t="s">
        <v>1333</v>
      </c>
      <c r="E125" s="1" t="s">
        <v>1334</v>
      </c>
      <c r="F125" s="1" t="s">
        <v>127</v>
      </c>
      <c r="G125" s="1" t="s">
        <v>255</v>
      </c>
      <c r="H125" s="1" t="s">
        <v>256</v>
      </c>
      <c r="I125" s="1" t="s">
        <v>2900</v>
      </c>
      <c r="J125" s="1" t="s">
        <v>210</v>
      </c>
      <c r="K125" s="1" t="s">
        <v>258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3">
        <v>0</v>
      </c>
      <c r="U125" s="1" t="s">
        <v>202</v>
      </c>
      <c r="V125" s="1"/>
      <c r="W125" s="1" t="s">
        <v>63</v>
      </c>
      <c r="X125" s="1" t="s">
        <v>277</v>
      </c>
      <c r="Y125" s="1">
        <v>18</v>
      </c>
      <c r="Z125" s="1"/>
    </row>
    <row r="126" spans="1:26">
      <c r="A126" s="332">
        <v>21145</v>
      </c>
      <c r="B126" s="332">
        <v>26061</v>
      </c>
      <c r="C126" s="38">
        <v>46076</v>
      </c>
      <c r="D126" s="4" t="s">
        <v>1341</v>
      </c>
      <c r="E126" s="4" t="s">
        <v>1342</v>
      </c>
      <c r="F126" s="4" t="s">
        <v>2</v>
      </c>
      <c r="G126" s="4">
        <v>861411</v>
      </c>
      <c r="H126" s="4" t="s">
        <v>406</v>
      </c>
      <c r="I126" s="4" t="s">
        <v>300</v>
      </c>
      <c r="J126" s="4" t="s">
        <v>210</v>
      </c>
      <c r="K126" s="4"/>
      <c r="L126" s="5">
        <v>1150000</v>
      </c>
      <c r="M126" s="5">
        <v>575000</v>
      </c>
      <c r="N126" s="5">
        <v>0</v>
      </c>
      <c r="O126" s="5">
        <v>0</v>
      </c>
      <c r="P126" s="5">
        <v>0</v>
      </c>
      <c r="Q126" s="5">
        <v>0</v>
      </c>
      <c r="R126" s="5">
        <v>575000</v>
      </c>
      <c r="S126" s="5">
        <v>575000</v>
      </c>
      <c r="T126" s="6" t="s">
        <v>224</v>
      </c>
      <c r="U126" s="1" t="s">
        <v>202</v>
      </c>
      <c r="V126" s="1"/>
      <c r="W126" s="1" t="s">
        <v>63</v>
      </c>
      <c r="X126" s="1" t="s">
        <v>213</v>
      </c>
      <c r="Y126" s="1">
        <v>39</v>
      </c>
      <c r="Z126" s="1"/>
    </row>
    <row r="127" spans="1:26">
      <c r="A127" s="332">
        <v>36159</v>
      </c>
      <c r="B127" s="332">
        <v>26067</v>
      </c>
      <c r="C127" s="38">
        <v>46078</v>
      </c>
      <c r="D127" s="4" t="s">
        <v>1345</v>
      </c>
      <c r="E127" s="4" t="s">
        <v>1346</v>
      </c>
      <c r="F127" s="4" t="s">
        <v>2</v>
      </c>
      <c r="G127" s="4" t="s">
        <v>324</v>
      </c>
      <c r="H127" s="4" t="s">
        <v>325</v>
      </c>
      <c r="I127" s="4" t="s">
        <v>2897</v>
      </c>
      <c r="J127" s="4" t="s">
        <v>210</v>
      </c>
      <c r="K127" s="4" t="s">
        <v>313</v>
      </c>
      <c r="L127" s="5">
        <v>650000</v>
      </c>
      <c r="M127" s="5">
        <v>325000</v>
      </c>
      <c r="N127" s="5">
        <v>0</v>
      </c>
      <c r="O127" s="5">
        <v>0</v>
      </c>
      <c r="P127" s="5">
        <v>0</v>
      </c>
      <c r="Q127" s="5">
        <v>0</v>
      </c>
      <c r="R127" s="5">
        <v>325000</v>
      </c>
      <c r="S127" s="5">
        <v>325000</v>
      </c>
      <c r="T127" s="6" t="s">
        <v>224</v>
      </c>
      <c r="U127" s="1" t="s">
        <v>202</v>
      </c>
      <c r="V127" s="1"/>
      <c r="W127" s="1" t="s">
        <v>63</v>
      </c>
      <c r="X127" s="1" t="s">
        <v>213</v>
      </c>
      <c r="Y127" s="1">
        <v>33</v>
      </c>
      <c r="Z127" s="1"/>
    </row>
    <row r="128" spans="1:26">
      <c r="A128" s="331">
        <v>33334</v>
      </c>
      <c r="B128" s="331">
        <v>26069</v>
      </c>
      <c r="C128" s="305">
        <v>46078</v>
      </c>
      <c r="D128" s="1" t="s">
        <v>475</v>
      </c>
      <c r="E128" s="1" t="s">
        <v>476</v>
      </c>
      <c r="F128" s="1" t="s">
        <v>127</v>
      </c>
      <c r="G128" s="1" t="s">
        <v>207</v>
      </c>
      <c r="H128" s="1" t="s">
        <v>208</v>
      </c>
      <c r="I128" s="1" t="s">
        <v>209</v>
      </c>
      <c r="J128" s="1" t="s">
        <v>210</v>
      </c>
      <c r="K128" s="1" t="s">
        <v>239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3">
        <v>0</v>
      </c>
      <c r="U128" s="1" t="s">
        <v>202</v>
      </c>
      <c r="V128" s="1"/>
      <c r="W128" s="1" t="s">
        <v>63</v>
      </c>
      <c r="X128" s="1" t="s">
        <v>225</v>
      </c>
      <c r="Y128" s="1">
        <v>52</v>
      </c>
      <c r="Z128" s="1"/>
    </row>
    <row r="129" spans="1:26">
      <c r="A129" s="332">
        <v>34790</v>
      </c>
      <c r="B129" s="332">
        <v>26078</v>
      </c>
      <c r="C129" s="38">
        <v>46080</v>
      </c>
      <c r="D129" s="4" t="s">
        <v>1347</v>
      </c>
      <c r="E129" s="4" t="s">
        <v>1348</v>
      </c>
      <c r="F129" s="4" t="s">
        <v>2</v>
      </c>
      <c r="G129" s="4" t="s">
        <v>445</v>
      </c>
      <c r="H129" s="4" t="s">
        <v>446</v>
      </c>
      <c r="I129" s="4" t="s">
        <v>230</v>
      </c>
      <c r="J129" s="4" t="s">
        <v>210</v>
      </c>
      <c r="K129" s="4" t="s">
        <v>239</v>
      </c>
      <c r="L129" s="5">
        <v>4800000</v>
      </c>
      <c r="M129" s="5">
        <v>2400000</v>
      </c>
      <c r="N129" s="5">
        <v>0</v>
      </c>
      <c r="O129" s="5">
        <v>0</v>
      </c>
      <c r="P129" s="5">
        <v>0</v>
      </c>
      <c r="Q129" s="5">
        <v>0</v>
      </c>
      <c r="R129" s="5">
        <v>2400000</v>
      </c>
      <c r="S129" s="5">
        <v>2400000</v>
      </c>
      <c r="T129" s="6" t="s">
        <v>224</v>
      </c>
      <c r="U129" s="1" t="s">
        <v>202</v>
      </c>
      <c r="V129" s="1"/>
      <c r="W129" s="1" t="s">
        <v>63</v>
      </c>
      <c r="X129" s="1" t="s">
        <v>277</v>
      </c>
      <c r="Y129" s="1">
        <v>30</v>
      </c>
      <c r="Z129" s="1"/>
    </row>
    <row r="130" spans="1:26">
      <c r="A130" s="331">
        <v>36210</v>
      </c>
      <c r="B130" s="331">
        <v>26084</v>
      </c>
      <c r="C130" s="305">
        <v>46073</v>
      </c>
      <c r="D130" s="1" t="s">
        <v>1351</v>
      </c>
      <c r="E130" s="1" t="s">
        <v>1352</v>
      </c>
      <c r="F130" s="1" t="s">
        <v>126</v>
      </c>
      <c r="G130" s="1">
        <v>890302</v>
      </c>
      <c r="H130" s="1" t="s">
        <v>244</v>
      </c>
      <c r="I130" s="1" t="s">
        <v>222</v>
      </c>
      <c r="J130" s="1" t="s">
        <v>223</v>
      </c>
      <c r="K130" s="1"/>
      <c r="L130" s="2">
        <v>180000</v>
      </c>
      <c r="M130" s="2">
        <v>90000</v>
      </c>
      <c r="N130" s="2">
        <v>0</v>
      </c>
      <c r="O130" s="2">
        <v>0</v>
      </c>
      <c r="P130" s="2">
        <v>0</v>
      </c>
      <c r="Q130" s="2">
        <v>0</v>
      </c>
      <c r="R130" s="2">
        <v>90000</v>
      </c>
      <c r="S130" s="2">
        <v>90000</v>
      </c>
      <c r="T130" s="3">
        <v>0.5</v>
      </c>
      <c r="U130" s="1" t="s">
        <v>202</v>
      </c>
      <c r="V130" s="1"/>
      <c r="W130" s="1" t="s">
        <v>63</v>
      </c>
      <c r="X130" s="1" t="s">
        <v>213</v>
      </c>
      <c r="Y130" s="1">
        <v>24</v>
      </c>
      <c r="Z130" s="1"/>
    </row>
    <row r="131" spans="1:26">
      <c r="A131" s="331">
        <v>33334</v>
      </c>
      <c r="B131" s="331">
        <v>26091</v>
      </c>
      <c r="C131" s="305">
        <v>46078</v>
      </c>
      <c r="D131" s="1" t="s">
        <v>475</v>
      </c>
      <c r="E131" s="1" t="s">
        <v>476</v>
      </c>
      <c r="F131" s="1" t="s">
        <v>127</v>
      </c>
      <c r="G131" s="1">
        <v>861426</v>
      </c>
      <c r="H131" s="1" t="s">
        <v>517</v>
      </c>
      <c r="I131" s="1" t="s">
        <v>300</v>
      </c>
      <c r="J131" s="1" t="s">
        <v>210</v>
      </c>
      <c r="K131" s="1"/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3">
        <v>0</v>
      </c>
      <c r="U131" s="1" t="s">
        <v>202</v>
      </c>
      <c r="V131" s="1"/>
      <c r="W131" s="1" t="s">
        <v>63</v>
      </c>
      <c r="X131" s="1" t="s">
        <v>225</v>
      </c>
      <c r="Y131" s="1">
        <v>52</v>
      </c>
      <c r="Z131" s="1"/>
    </row>
    <row r="132" spans="1:26">
      <c r="A132" s="332">
        <v>34191</v>
      </c>
      <c r="B132" s="332">
        <v>26096</v>
      </c>
      <c r="C132" s="38">
        <v>46074</v>
      </c>
      <c r="D132" s="4" t="s">
        <v>415</v>
      </c>
      <c r="E132" s="4" t="s">
        <v>416</v>
      </c>
      <c r="F132" s="4" t="s">
        <v>132</v>
      </c>
      <c r="G132" s="4" t="s">
        <v>381</v>
      </c>
      <c r="H132" s="4" t="s">
        <v>382</v>
      </c>
      <c r="I132" s="4" t="s">
        <v>199</v>
      </c>
      <c r="J132" s="4" t="s">
        <v>200</v>
      </c>
      <c r="K132" s="4" t="s">
        <v>201</v>
      </c>
      <c r="L132" s="5">
        <v>260000</v>
      </c>
      <c r="M132" s="5">
        <v>44200</v>
      </c>
      <c r="N132" s="5">
        <v>0</v>
      </c>
      <c r="O132" s="5">
        <v>0</v>
      </c>
      <c r="P132" s="5">
        <v>0</v>
      </c>
      <c r="Q132" s="5">
        <v>0</v>
      </c>
      <c r="R132" s="5">
        <v>215800</v>
      </c>
      <c r="S132" s="5">
        <v>215800</v>
      </c>
      <c r="T132" s="6" t="s">
        <v>224</v>
      </c>
      <c r="U132" s="1" t="s">
        <v>202</v>
      </c>
      <c r="V132" s="1"/>
      <c r="W132" s="1" t="s">
        <v>63</v>
      </c>
      <c r="X132" s="1" t="s">
        <v>248</v>
      </c>
      <c r="Y132" s="1">
        <v>40</v>
      </c>
      <c r="Z132" s="1"/>
    </row>
    <row r="133" spans="1:26">
      <c r="A133" s="332">
        <v>34191</v>
      </c>
      <c r="B133" s="332">
        <v>26097</v>
      </c>
      <c r="C133" s="38">
        <v>46074</v>
      </c>
      <c r="D133" s="4" t="s">
        <v>415</v>
      </c>
      <c r="E133" s="4" t="s">
        <v>416</v>
      </c>
      <c r="F133" s="4" t="s">
        <v>132</v>
      </c>
      <c r="G133" s="4" t="s">
        <v>385</v>
      </c>
      <c r="H133" s="4" t="s">
        <v>386</v>
      </c>
      <c r="I133" s="4" t="s">
        <v>199</v>
      </c>
      <c r="J133" s="4" t="s">
        <v>200</v>
      </c>
      <c r="K133" s="4" t="s">
        <v>201</v>
      </c>
      <c r="L133" s="5">
        <v>130000</v>
      </c>
      <c r="M133" s="5">
        <v>22100</v>
      </c>
      <c r="N133" s="5">
        <v>0</v>
      </c>
      <c r="O133" s="5">
        <v>0</v>
      </c>
      <c r="P133" s="5">
        <v>0</v>
      </c>
      <c r="Q133" s="5">
        <v>0</v>
      </c>
      <c r="R133" s="5">
        <v>107900</v>
      </c>
      <c r="S133" s="5">
        <v>107900</v>
      </c>
      <c r="T133" s="6" t="s">
        <v>224</v>
      </c>
      <c r="U133" s="1" t="s">
        <v>202</v>
      </c>
      <c r="V133" s="1"/>
      <c r="W133" s="1" t="s">
        <v>63</v>
      </c>
      <c r="X133" s="1" t="s">
        <v>248</v>
      </c>
      <c r="Y133" s="1">
        <v>40</v>
      </c>
      <c r="Z133" s="1"/>
    </row>
    <row r="134" spans="1:26">
      <c r="A134" s="332">
        <v>34191</v>
      </c>
      <c r="B134" s="332">
        <v>26098</v>
      </c>
      <c r="C134" s="38">
        <v>46074</v>
      </c>
      <c r="D134" s="4" t="s">
        <v>415</v>
      </c>
      <c r="E134" s="4" t="s">
        <v>416</v>
      </c>
      <c r="F134" s="4" t="s">
        <v>132</v>
      </c>
      <c r="G134" s="4" t="s">
        <v>217</v>
      </c>
      <c r="H134" s="4" t="s">
        <v>218</v>
      </c>
      <c r="I134" s="4" t="s">
        <v>199</v>
      </c>
      <c r="J134" s="4" t="s">
        <v>200</v>
      </c>
      <c r="K134" s="4" t="s">
        <v>201</v>
      </c>
      <c r="L134" s="5">
        <v>50000</v>
      </c>
      <c r="M134" s="5">
        <v>8500</v>
      </c>
      <c r="N134" s="5">
        <v>0</v>
      </c>
      <c r="O134" s="5">
        <v>0</v>
      </c>
      <c r="P134" s="5">
        <v>0</v>
      </c>
      <c r="Q134" s="5">
        <v>0</v>
      </c>
      <c r="R134" s="5">
        <v>41500</v>
      </c>
      <c r="S134" s="5">
        <v>41500</v>
      </c>
      <c r="T134" s="6" t="s">
        <v>224</v>
      </c>
      <c r="U134" s="1" t="s">
        <v>202</v>
      </c>
      <c r="V134" s="1"/>
      <c r="W134" s="1" t="s">
        <v>63</v>
      </c>
      <c r="X134" s="1" t="s">
        <v>248</v>
      </c>
      <c r="Y134" s="1">
        <v>40</v>
      </c>
      <c r="Z134" s="1"/>
    </row>
    <row r="135" spans="1:26">
      <c r="A135" s="332">
        <v>36219</v>
      </c>
      <c r="B135" s="332">
        <v>26102</v>
      </c>
      <c r="C135" s="38">
        <v>46074</v>
      </c>
      <c r="D135" s="4" t="s">
        <v>415</v>
      </c>
      <c r="E135" s="4" t="s">
        <v>416</v>
      </c>
      <c r="F135" s="4" t="s">
        <v>122</v>
      </c>
      <c r="G135" s="4" t="s">
        <v>935</v>
      </c>
      <c r="H135" s="4" t="s">
        <v>936</v>
      </c>
      <c r="I135" s="4" t="s">
        <v>937</v>
      </c>
      <c r="J135" s="4" t="s">
        <v>200</v>
      </c>
      <c r="K135" s="4" t="s">
        <v>938</v>
      </c>
      <c r="L135" s="5">
        <v>152000</v>
      </c>
      <c r="M135" s="5">
        <v>25323.200000000001</v>
      </c>
      <c r="N135" s="5">
        <v>0</v>
      </c>
      <c r="O135" s="5">
        <v>0</v>
      </c>
      <c r="P135" s="5">
        <v>0</v>
      </c>
      <c r="Q135" s="5">
        <v>0</v>
      </c>
      <c r="R135" s="5">
        <v>126676.8</v>
      </c>
      <c r="S135" s="5">
        <v>123636.8</v>
      </c>
      <c r="T135" s="6" t="s">
        <v>224</v>
      </c>
      <c r="U135" s="1" t="s">
        <v>202</v>
      </c>
      <c r="V135" s="1" t="s">
        <v>2902</v>
      </c>
      <c r="W135" s="1" t="s">
        <v>202</v>
      </c>
      <c r="X135" s="1" t="s">
        <v>248</v>
      </c>
      <c r="Y135" s="1">
        <v>40</v>
      </c>
      <c r="Z135" s="1" t="s">
        <v>2903</v>
      </c>
    </row>
    <row r="136" spans="1:26">
      <c r="A136" s="332">
        <v>36222</v>
      </c>
      <c r="B136" s="332">
        <v>26110</v>
      </c>
      <c r="C136" s="38">
        <v>46080</v>
      </c>
      <c r="D136" s="4" t="s">
        <v>1359</v>
      </c>
      <c r="E136" s="4" t="s">
        <v>494</v>
      </c>
      <c r="F136" s="4" t="s">
        <v>126</v>
      </c>
      <c r="G136" s="4">
        <v>890303</v>
      </c>
      <c r="H136" s="4" t="s">
        <v>221</v>
      </c>
      <c r="I136" s="4" t="s">
        <v>222</v>
      </c>
      <c r="J136" s="4" t="s">
        <v>223</v>
      </c>
      <c r="K136" s="4"/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6" t="s">
        <v>224</v>
      </c>
      <c r="U136" s="1" t="s">
        <v>202</v>
      </c>
      <c r="V136" s="1"/>
      <c r="W136" s="1" t="s">
        <v>63</v>
      </c>
      <c r="X136" s="1" t="s">
        <v>225</v>
      </c>
      <c r="Y136" s="1">
        <v>18</v>
      </c>
      <c r="Z136" s="1"/>
    </row>
    <row r="137" spans="1:26">
      <c r="A137" s="331">
        <v>36224</v>
      </c>
      <c r="B137" s="331">
        <v>26113</v>
      </c>
      <c r="C137" s="305">
        <v>46073</v>
      </c>
      <c r="D137" s="1" t="s">
        <v>1360</v>
      </c>
      <c r="E137" s="1" t="s">
        <v>1361</v>
      </c>
      <c r="F137" s="1" t="s">
        <v>2</v>
      </c>
      <c r="G137" s="1">
        <v>890303</v>
      </c>
      <c r="H137" s="1" t="s">
        <v>281</v>
      </c>
      <c r="I137" s="1" t="s">
        <v>282</v>
      </c>
      <c r="J137" s="1" t="s">
        <v>210</v>
      </c>
      <c r="K137" s="1"/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3">
        <v>0</v>
      </c>
      <c r="U137" s="1" t="s">
        <v>202</v>
      </c>
      <c r="V137" s="1"/>
      <c r="W137" s="1" t="s">
        <v>63</v>
      </c>
      <c r="X137" s="1" t="s">
        <v>277</v>
      </c>
      <c r="Y137" s="1">
        <v>73</v>
      </c>
      <c r="Z137" s="1"/>
    </row>
    <row r="138" spans="1:26">
      <c r="A138" s="332">
        <v>36225</v>
      </c>
      <c r="B138" s="332">
        <v>26126</v>
      </c>
      <c r="C138" s="38">
        <v>46080</v>
      </c>
      <c r="D138" s="4" t="s">
        <v>1364</v>
      </c>
      <c r="E138" s="4" t="s">
        <v>1365</v>
      </c>
      <c r="F138" s="4" t="s">
        <v>2</v>
      </c>
      <c r="G138" s="4">
        <v>861401</v>
      </c>
      <c r="H138" s="4" t="s">
        <v>307</v>
      </c>
      <c r="I138" s="4" t="s">
        <v>282</v>
      </c>
      <c r="J138" s="4" t="s">
        <v>210</v>
      </c>
      <c r="K138" s="4"/>
      <c r="L138" s="5">
        <v>280000</v>
      </c>
      <c r="M138" s="5">
        <v>140000</v>
      </c>
      <c r="N138" s="5">
        <v>0</v>
      </c>
      <c r="O138" s="5">
        <v>0</v>
      </c>
      <c r="P138" s="5">
        <v>0</v>
      </c>
      <c r="Q138" s="5">
        <v>0</v>
      </c>
      <c r="R138" s="5">
        <v>140000</v>
      </c>
      <c r="S138" s="5">
        <v>140000</v>
      </c>
      <c r="T138" s="6" t="s">
        <v>224</v>
      </c>
      <c r="U138" s="1" t="s">
        <v>202</v>
      </c>
      <c r="V138" s="1"/>
      <c r="W138" s="1" t="s">
        <v>63</v>
      </c>
      <c r="X138" s="1" t="s">
        <v>213</v>
      </c>
      <c r="Y138" s="1">
        <v>68</v>
      </c>
      <c r="Z138" s="1"/>
    </row>
    <row r="139" spans="1:26">
      <c r="A139" s="331">
        <v>36234</v>
      </c>
      <c r="B139" s="331">
        <v>26137</v>
      </c>
      <c r="C139" s="305">
        <v>46074</v>
      </c>
      <c r="D139" s="1" t="s">
        <v>2904</v>
      </c>
      <c r="E139" s="1" t="s">
        <v>2905</v>
      </c>
      <c r="F139" s="1" t="s">
        <v>4</v>
      </c>
      <c r="G139" s="1">
        <v>890242</v>
      </c>
      <c r="H139" s="1" t="s">
        <v>331</v>
      </c>
      <c r="I139" s="1" t="s">
        <v>332</v>
      </c>
      <c r="J139" s="1" t="s">
        <v>223</v>
      </c>
      <c r="K139" s="1"/>
      <c r="L139" s="2">
        <v>250000</v>
      </c>
      <c r="M139" s="2">
        <v>125000</v>
      </c>
      <c r="N139" s="2">
        <v>0</v>
      </c>
      <c r="O139" s="2">
        <v>0</v>
      </c>
      <c r="P139" s="2">
        <v>0</v>
      </c>
      <c r="Q139" s="2">
        <v>0</v>
      </c>
      <c r="R139" s="2">
        <v>125000</v>
      </c>
      <c r="S139" s="2">
        <v>125000</v>
      </c>
      <c r="T139" s="3">
        <v>0.5</v>
      </c>
      <c r="U139" s="1" t="s">
        <v>202</v>
      </c>
      <c r="V139" s="1"/>
      <c r="W139" s="1" t="s">
        <v>63</v>
      </c>
      <c r="X139" s="1" t="s">
        <v>213</v>
      </c>
      <c r="Y139" s="1">
        <v>0</v>
      </c>
      <c r="Z139" s="1"/>
    </row>
    <row r="140" spans="1:26">
      <c r="A140" s="332">
        <v>36235</v>
      </c>
      <c r="B140" s="332">
        <v>26160</v>
      </c>
      <c r="C140" s="38">
        <v>46079</v>
      </c>
      <c r="D140" s="4" t="s">
        <v>1370</v>
      </c>
      <c r="E140" s="4" t="s">
        <v>1371</v>
      </c>
      <c r="F140" s="4" t="s">
        <v>2</v>
      </c>
      <c r="G140" s="4">
        <v>890303</v>
      </c>
      <c r="H140" s="4" t="s">
        <v>221</v>
      </c>
      <c r="I140" s="4" t="s">
        <v>222</v>
      </c>
      <c r="J140" s="4" t="s">
        <v>223</v>
      </c>
      <c r="K140" s="4"/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6" t="s">
        <v>224</v>
      </c>
      <c r="U140" s="1" t="s">
        <v>202</v>
      </c>
      <c r="V140" s="1"/>
      <c r="W140" s="1" t="s">
        <v>63</v>
      </c>
      <c r="X140" s="1" t="s">
        <v>213</v>
      </c>
      <c r="Y140" s="1">
        <v>20</v>
      </c>
      <c r="Z140" s="1"/>
    </row>
    <row r="141" spans="1:26">
      <c r="A141" s="332">
        <v>36236</v>
      </c>
      <c r="B141" s="332">
        <v>26162</v>
      </c>
      <c r="C141" s="38">
        <v>46074</v>
      </c>
      <c r="D141" s="4" t="s">
        <v>559</v>
      </c>
      <c r="E141" s="4" t="s">
        <v>560</v>
      </c>
      <c r="F141" s="4" t="s">
        <v>2</v>
      </c>
      <c r="G141" s="4">
        <v>890303</v>
      </c>
      <c r="H141" s="4" t="s">
        <v>221</v>
      </c>
      <c r="I141" s="4" t="s">
        <v>222</v>
      </c>
      <c r="J141" s="4" t="s">
        <v>223</v>
      </c>
      <c r="K141" s="4"/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6" t="s">
        <v>224</v>
      </c>
      <c r="U141" s="1" t="s">
        <v>202</v>
      </c>
      <c r="V141" s="1"/>
      <c r="W141" s="1" t="s">
        <v>63</v>
      </c>
      <c r="X141" s="1" t="s">
        <v>319</v>
      </c>
      <c r="Y141" s="1">
        <v>26</v>
      </c>
      <c r="Z141" s="1"/>
    </row>
    <row r="142" spans="1:26">
      <c r="A142" s="332">
        <v>36241</v>
      </c>
      <c r="B142" s="332">
        <v>26173</v>
      </c>
      <c r="C142" s="38">
        <v>46073</v>
      </c>
      <c r="D142" s="4" t="s">
        <v>547</v>
      </c>
      <c r="E142" s="4" t="s">
        <v>548</v>
      </c>
      <c r="F142" s="4" t="s">
        <v>4</v>
      </c>
      <c r="G142" s="4">
        <v>890303</v>
      </c>
      <c r="H142" s="4" t="s">
        <v>221</v>
      </c>
      <c r="I142" s="4" t="s">
        <v>222</v>
      </c>
      <c r="J142" s="4" t="s">
        <v>223</v>
      </c>
      <c r="K142" s="4"/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6" t="s">
        <v>224</v>
      </c>
      <c r="U142" s="1" t="s">
        <v>202</v>
      </c>
      <c r="V142" s="1"/>
      <c r="W142" s="1" t="s">
        <v>63</v>
      </c>
      <c r="X142" s="1" t="s">
        <v>225</v>
      </c>
      <c r="Y142" s="1">
        <v>18</v>
      </c>
      <c r="Z142" s="1"/>
    </row>
    <row r="143" spans="1:26">
      <c r="A143" s="332">
        <v>36255</v>
      </c>
      <c r="B143" s="332">
        <v>26189</v>
      </c>
      <c r="C143" s="38">
        <v>46073</v>
      </c>
      <c r="D143" s="4" t="s">
        <v>219</v>
      </c>
      <c r="E143" s="4" t="s">
        <v>220</v>
      </c>
      <c r="F143" s="4" t="s">
        <v>3</v>
      </c>
      <c r="G143" s="4" t="s">
        <v>391</v>
      </c>
      <c r="H143" s="4" t="s">
        <v>392</v>
      </c>
      <c r="I143" s="4" t="s">
        <v>257</v>
      </c>
      <c r="J143" s="4" t="s">
        <v>210</v>
      </c>
      <c r="K143" s="4"/>
      <c r="L143" s="5">
        <v>500000</v>
      </c>
      <c r="M143" s="5">
        <v>250000</v>
      </c>
      <c r="N143" s="5">
        <v>0</v>
      </c>
      <c r="O143" s="5">
        <v>0</v>
      </c>
      <c r="P143" s="5">
        <v>0</v>
      </c>
      <c r="Q143" s="5">
        <v>0</v>
      </c>
      <c r="R143" s="5">
        <v>250000</v>
      </c>
      <c r="S143" s="5">
        <v>250000</v>
      </c>
      <c r="T143" s="6" t="s">
        <v>224</v>
      </c>
      <c r="U143" s="1" t="s">
        <v>202</v>
      </c>
      <c r="V143" s="1"/>
      <c r="W143" s="1" t="s">
        <v>63</v>
      </c>
      <c r="X143" s="1" t="s">
        <v>225</v>
      </c>
      <c r="Y143" s="1">
        <v>29</v>
      </c>
      <c r="Z143" s="1"/>
    </row>
    <row r="144" spans="1:26">
      <c r="A144" s="332">
        <v>36256</v>
      </c>
      <c r="B144" s="332">
        <v>26191</v>
      </c>
      <c r="C144" s="38">
        <v>46080</v>
      </c>
      <c r="D144" s="4" t="s">
        <v>1396</v>
      </c>
      <c r="E144" s="4" t="s">
        <v>1397</v>
      </c>
      <c r="F144" s="4" t="s">
        <v>106</v>
      </c>
      <c r="G144" s="4" t="s">
        <v>271</v>
      </c>
      <c r="H144" s="4" t="s">
        <v>272</v>
      </c>
      <c r="I144" s="4" t="s">
        <v>273</v>
      </c>
      <c r="J144" s="4" t="s">
        <v>210</v>
      </c>
      <c r="K144" s="4"/>
      <c r="L144" s="5">
        <v>280000</v>
      </c>
      <c r="M144" s="5">
        <v>47600</v>
      </c>
      <c r="N144" s="5">
        <v>0</v>
      </c>
      <c r="O144" s="5">
        <v>0</v>
      </c>
      <c r="P144" s="5">
        <v>0</v>
      </c>
      <c r="Q144" s="5">
        <v>0</v>
      </c>
      <c r="R144" s="5">
        <v>232400</v>
      </c>
      <c r="S144" s="5">
        <v>232400</v>
      </c>
      <c r="T144" s="6" t="s">
        <v>224</v>
      </c>
      <c r="U144" s="1" t="s">
        <v>202</v>
      </c>
      <c r="V144" s="1"/>
      <c r="W144" s="1" t="s">
        <v>63</v>
      </c>
      <c r="X144" s="1" t="s">
        <v>213</v>
      </c>
      <c r="Y144" s="1">
        <v>28</v>
      </c>
      <c r="Z144" s="1"/>
    </row>
    <row r="145" spans="1:26">
      <c r="A145" s="331">
        <v>20151</v>
      </c>
      <c r="B145" s="331">
        <v>26207</v>
      </c>
      <c r="C145" s="305">
        <v>46078</v>
      </c>
      <c r="D145" s="1" t="s">
        <v>812</v>
      </c>
      <c r="E145" s="1" t="s">
        <v>813</v>
      </c>
      <c r="F145" s="1" t="s">
        <v>122</v>
      </c>
      <c r="G145" s="1" t="s">
        <v>935</v>
      </c>
      <c r="H145" s="1" t="s">
        <v>936</v>
      </c>
      <c r="I145" s="1" t="s">
        <v>937</v>
      </c>
      <c r="J145" s="1" t="s">
        <v>200</v>
      </c>
      <c r="K145" s="1" t="s">
        <v>938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3">
        <v>0</v>
      </c>
      <c r="U145" s="1" t="s">
        <v>202</v>
      </c>
      <c r="V145" s="1"/>
      <c r="W145" s="1" t="s">
        <v>63</v>
      </c>
      <c r="X145" s="1" t="s">
        <v>225</v>
      </c>
      <c r="Y145" s="1">
        <v>25</v>
      </c>
      <c r="Z145" s="1"/>
    </row>
    <row r="146" spans="1:26">
      <c r="A146" s="332">
        <v>36273</v>
      </c>
      <c r="B146" s="332">
        <v>26219</v>
      </c>
      <c r="C146" s="38">
        <v>46079</v>
      </c>
      <c r="D146" s="4" t="s">
        <v>921</v>
      </c>
      <c r="E146" s="4" t="s">
        <v>922</v>
      </c>
      <c r="F146" s="4" t="s">
        <v>127</v>
      </c>
      <c r="G146" s="4">
        <v>890303</v>
      </c>
      <c r="H146" s="4" t="s">
        <v>221</v>
      </c>
      <c r="I146" s="4" t="s">
        <v>222</v>
      </c>
      <c r="J146" s="4" t="s">
        <v>223</v>
      </c>
      <c r="K146" s="4"/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6" t="s">
        <v>224</v>
      </c>
      <c r="U146" s="1" t="s">
        <v>202</v>
      </c>
      <c r="V146" s="1"/>
      <c r="W146" s="1" t="s">
        <v>63</v>
      </c>
      <c r="X146" s="1" t="s">
        <v>213</v>
      </c>
      <c r="Y146" s="1">
        <v>13</v>
      </c>
      <c r="Z146" s="1"/>
    </row>
    <row r="147" spans="1:26">
      <c r="A147" s="331">
        <v>35505</v>
      </c>
      <c r="B147" s="331">
        <v>26221</v>
      </c>
      <c r="C147" s="305">
        <v>46081</v>
      </c>
      <c r="D147" s="1" t="s">
        <v>595</v>
      </c>
      <c r="E147" s="1" t="s">
        <v>596</v>
      </c>
      <c r="F147" s="1" t="s">
        <v>127</v>
      </c>
      <c r="G147" s="1" t="s">
        <v>597</v>
      </c>
      <c r="H147" s="1" t="s">
        <v>598</v>
      </c>
      <c r="I147" s="1" t="s">
        <v>209</v>
      </c>
      <c r="J147" s="1" t="s">
        <v>210</v>
      </c>
      <c r="K147" s="1" t="s">
        <v>211</v>
      </c>
      <c r="L147" s="2">
        <v>150000</v>
      </c>
      <c r="M147" s="2">
        <v>75000</v>
      </c>
      <c r="N147" s="2">
        <v>0</v>
      </c>
      <c r="O147" s="2">
        <v>0</v>
      </c>
      <c r="P147" s="2">
        <v>0</v>
      </c>
      <c r="Q147" s="2">
        <v>0</v>
      </c>
      <c r="R147" s="2">
        <v>75000</v>
      </c>
      <c r="S147" s="2">
        <v>75000</v>
      </c>
      <c r="T147" s="3">
        <v>0.5</v>
      </c>
      <c r="U147" s="1" t="s">
        <v>202</v>
      </c>
      <c r="V147" s="1"/>
      <c r="W147" s="1" t="s">
        <v>63</v>
      </c>
      <c r="X147" s="1" t="s">
        <v>213</v>
      </c>
      <c r="Y147" s="1">
        <v>45</v>
      </c>
      <c r="Z147" s="1"/>
    </row>
    <row r="148" spans="1:26">
      <c r="A148" s="331">
        <v>36275</v>
      </c>
      <c r="B148" s="331">
        <v>26225</v>
      </c>
      <c r="C148" s="305">
        <v>46078</v>
      </c>
      <c r="D148" s="1" t="s">
        <v>1418</v>
      </c>
      <c r="E148" s="1" t="s">
        <v>1419</v>
      </c>
      <c r="F148" s="1" t="s">
        <v>127</v>
      </c>
      <c r="G148" s="1">
        <v>890303</v>
      </c>
      <c r="H148" s="1" t="s">
        <v>281</v>
      </c>
      <c r="I148" s="1" t="s">
        <v>282</v>
      </c>
      <c r="J148" s="1" t="s">
        <v>210</v>
      </c>
      <c r="K148" s="1"/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3">
        <v>0</v>
      </c>
      <c r="U148" s="1" t="s">
        <v>202</v>
      </c>
      <c r="V148" s="1"/>
      <c r="W148" s="1" t="s">
        <v>63</v>
      </c>
      <c r="X148" s="1" t="s">
        <v>213</v>
      </c>
      <c r="Y148" s="1">
        <v>25</v>
      </c>
      <c r="Z148" s="1"/>
    </row>
    <row r="149" spans="1:26">
      <c r="A149" s="331">
        <v>36276</v>
      </c>
      <c r="B149" s="331">
        <v>26226</v>
      </c>
      <c r="C149" s="305">
        <v>46081</v>
      </c>
      <c r="D149" s="1" t="s">
        <v>443</v>
      </c>
      <c r="E149" s="1" t="s">
        <v>444</v>
      </c>
      <c r="F149" s="1" t="s">
        <v>127</v>
      </c>
      <c r="G149" s="1">
        <v>890303</v>
      </c>
      <c r="H149" s="1" t="s">
        <v>281</v>
      </c>
      <c r="I149" s="1" t="s">
        <v>282</v>
      </c>
      <c r="J149" s="1" t="s">
        <v>210</v>
      </c>
      <c r="K149" s="1"/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3">
        <v>0</v>
      </c>
      <c r="U149" s="1" t="s">
        <v>202</v>
      </c>
      <c r="V149" s="1"/>
      <c r="W149" s="1" t="s">
        <v>63</v>
      </c>
      <c r="X149" s="1" t="s">
        <v>213</v>
      </c>
      <c r="Y149" s="1">
        <v>53</v>
      </c>
      <c r="Z149" s="1"/>
    </row>
    <row r="150" spans="1:26">
      <c r="A150" s="332">
        <v>36283</v>
      </c>
      <c r="B150" s="332">
        <v>26239</v>
      </c>
      <c r="C150" s="38">
        <v>46073</v>
      </c>
      <c r="D150" s="4" t="s">
        <v>1422</v>
      </c>
      <c r="E150" s="4" t="s">
        <v>1423</v>
      </c>
      <c r="F150" s="4" t="s">
        <v>4</v>
      </c>
      <c r="G150" s="4">
        <v>890303</v>
      </c>
      <c r="H150" s="4" t="s">
        <v>221</v>
      </c>
      <c r="I150" s="4" t="s">
        <v>222</v>
      </c>
      <c r="J150" s="4" t="s">
        <v>223</v>
      </c>
      <c r="K150" s="4"/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6" t="s">
        <v>224</v>
      </c>
      <c r="U150" s="1" t="s">
        <v>202</v>
      </c>
      <c r="V150" s="1"/>
      <c r="W150" s="1" t="s">
        <v>63</v>
      </c>
      <c r="X150" s="1" t="s">
        <v>225</v>
      </c>
      <c r="Y150" s="1">
        <v>33</v>
      </c>
      <c r="Z150" s="1"/>
    </row>
    <row r="151" spans="1:26">
      <c r="A151" s="331">
        <v>36302</v>
      </c>
      <c r="B151" s="331">
        <v>26269</v>
      </c>
      <c r="C151" s="305">
        <v>46080</v>
      </c>
      <c r="D151" s="1" t="s">
        <v>425</v>
      </c>
      <c r="E151" s="1" t="s">
        <v>426</v>
      </c>
      <c r="F151" s="1" t="s">
        <v>4</v>
      </c>
      <c r="G151" s="1">
        <v>890303</v>
      </c>
      <c r="H151" s="1" t="s">
        <v>281</v>
      </c>
      <c r="I151" s="1" t="s">
        <v>282</v>
      </c>
      <c r="J151" s="1" t="s">
        <v>210</v>
      </c>
      <c r="K151" s="1"/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3">
        <v>0</v>
      </c>
      <c r="U151" s="1" t="s">
        <v>202</v>
      </c>
      <c r="V151" s="1"/>
      <c r="W151" s="1" t="s">
        <v>63</v>
      </c>
      <c r="X151" s="1" t="s">
        <v>213</v>
      </c>
      <c r="Y151" s="1">
        <v>32</v>
      </c>
      <c r="Z151" s="1"/>
    </row>
    <row r="152" spans="1:26">
      <c r="A152" s="332">
        <v>36305</v>
      </c>
      <c r="B152" s="332">
        <v>26278</v>
      </c>
      <c r="C152" s="38">
        <v>46078</v>
      </c>
      <c r="D152" s="4" t="s">
        <v>2022</v>
      </c>
      <c r="E152" s="4" t="s">
        <v>2095</v>
      </c>
      <c r="F152" s="4" t="s">
        <v>126</v>
      </c>
      <c r="G152" s="4" t="s">
        <v>326</v>
      </c>
      <c r="H152" s="4" t="s">
        <v>327</v>
      </c>
      <c r="I152" s="4" t="s">
        <v>297</v>
      </c>
      <c r="J152" s="4" t="s">
        <v>210</v>
      </c>
      <c r="K152" s="4" t="s">
        <v>328</v>
      </c>
      <c r="L152" s="5">
        <v>1200000</v>
      </c>
      <c r="M152" s="5">
        <v>600000</v>
      </c>
      <c r="N152" s="5">
        <v>0</v>
      </c>
      <c r="O152" s="5">
        <v>0</v>
      </c>
      <c r="P152" s="5">
        <v>0</v>
      </c>
      <c r="Q152" s="5">
        <v>0</v>
      </c>
      <c r="R152" s="5">
        <v>600000</v>
      </c>
      <c r="S152" s="5">
        <v>600000</v>
      </c>
      <c r="T152" s="6" t="s">
        <v>224</v>
      </c>
      <c r="U152" s="1" t="s">
        <v>202</v>
      </c>
      <c r="V152" s="1"/>
      <c r="W152" s="1" t="s">
        <v>63</v>
      </c>
      <c r="X152" s="1" t="s">
        <v>277</v>
      </c>
      <c r="Y152" s="1">
        <v>32</v>
      </c>
      <c r="Z152" s="1"/>
    </row>
    <row r="153" spans="1:26">
      <c r="A153" s="331">
        <v>36310</v>
      </c>
      <c r="B153" s="331">
        <v>26285</v>
      </c>
      <c r="C153" s="305">
        <v>46073</v>
      </c>
      <c r="D153" s="1" t="s">
        <v>2025</v>
      </c>
      <c r="E153" s="1" t="s">
        <v>2026</v>
      </c>
      <c r="F153" s="1" t="s">
        <v>4</v>
      </c>
      <c r="G153" s="1">
        <v>890302</v>
      </c>
      <c r="H153" s="1" t="s">
        <v>244</v>
      </c>
      <c r="I153" s="1" t="s">
        <v>222</v>
      </c>
      <c r="J153" s="1" t="s">
        <v>223</v>
      </c>
      <c r="K153" s="1"/>
      <c r="L153" s="2">
        <v>180000</v>
      </c>
      <c r="M153" s="2">
        <v>90000</v>
      </c>
      <c r="N153" s="2">
        <v>0</v>
      </c>
      <c r="O153" s="2">
        <v>0</v>
      </c>
      <c r="P153" s="2">
        <v>0</v>
      </c>
      <c r="Q153" s="2">
        <v>0</v>
      </c>
      <c r="R153" s="2">
        <v>90000</v>
      </c>
      <c r="S153" s="2">
        <v>90000</v>
      </c>
      <c r="T153" s="3">
        <v>0.5</v>
      </c>
      <c r="U153" s="1" t="s">
        <v>202</v>
      </c>
      <c r="V153" s="1"/>
      <c r="W153" s="1" t="s">
        <v>63</v>
      </c>
      <c r="X153" s="1" t="s">
        <v>225</v>
      </c>
      <c r="Y153" s="1">
        <v>29</v>
      </c>
      <c r="Z153" s="1"/>
    </row>
    <row r="154" spans="1:26">
      <c r="A154" s="332">
        <v>36315</v>
      </c>
      <c r="B154" s="332">
        <v>26290</v>
      </c>
      <c r="C154" s="38">
        <v>46076</v>
      </c>
      <c r="D154" s="4" t="s">
        <v>701</v>
      </c>
      <c r="E154" s="4" t="s">
        <v>702</v>
      </c>
      <c r="F154" s="4" t="s">
        <v>126</v>
      </c>
      <c r="G154" s="4">
        <v>890303</v>
      </c>
      <c r="H154" s="4" t="s">
        <v>221</v>
      </c>
      <c r="I154" s="4" t="s">
        <v>222</v>
      </c>
      <c r="J154" s="4" t="s">
        <v>223</v>
      </c>
      <c r="K154" s="4"/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6" t="s">
        <v>224</v>
      </c>
      <c r="U154" s="1" t="s">
        <v>202</v>
      </c>
      <c r="V154" s="1"/>
      <c r="W154" s="1" t="s">
        <v>63</v>
      </c>
      <c r="X154" s="1" t="s">
        <v>213</v>
      </c>
      <c r="Y154" s="1">
        <v>67</v>
      </c>
      <c r="Z154" s="1"/>
    </row>
    <row r="155" spans="1:26">
      <c r="A155" s="331">
        <v>36319</v>
      </c>
      <c r="B155" s="331">
        <v>26297</v>
      </c>
      <c r="C155" s="305">
        <v>46073</v>
      </c>
      <c r="D155" s="1" t="s">
        <v>2906</v>
      </c>
      <c r="E155" s="1" t="s">
        <v>2907</v>
      </c>
      <c r="F155" s="1" t="s">
        <v>3</v>
      </c>
      <c r="G155" s="1">
        <v>890242</v>
      </c>
      <c r="H155" s="1" t="s">
        <v>331</v>
      </c>
      <c r="I155" s="1" t="s">
        <v>332</v>
      </c>
      <c r="J155" s="1" t="s">
        <v>223</v>
      </c>
      <c r="K155" s="1"/>
      <c r="L155" s="2">
        <v>250000</v>
      </c>
      <c r="M155" s="2">
        <v>125000</v>
      </c>
      <c r="N155" s="2">
        <v>0</v>
      </c>
      <c r="O155" s="2">
        <v>0</v>
      </c>
      <c r="P155" s="2">
        <v>0</v>
      </c>
      <c r="Q155" s="2">
        <v>0</v>
      </c>
      <c r="R155" s="2">
        <v>125000</v>
      </c>
      <c r="S155" s="2">
        <v>125000</v>
      </c>
      <c r="T155" s="3">
        <v>0.5</v>
      </c>
      <c r="U155" s="1" t="s">
        <v>202</v>
      </c>
      <c r="V155" s="1"/>
      <c r="W155" s="1" t="s">
        <v>63</v>
      </c>
      <c r="X155" s="1" t="s">
        <v>248</v>
      </c>
      <c r="Y155" s="1">
        <v>0</v>
      </c>
      <c r="Z155" s="1"/>
    </row>
    <row r="156" spans="1:26">
      <c r="A156" s="332">
        <v>36321</v>
      </c>
      <c r="B156" s="332">
        <v>26299</v>
      </c>
      <c r="C156" s="38">
        <v>46076</v>
      </c>
      <c r="D156" s="4" t="s">
        <v>1335</v>
      </c>
      <c r="E156" s="4" t="s">
        <v>1336</v>
      </c>
      <c r="F156" s="4" t="s">
        <v>126</v>
      </c>
      <c r="G156" s="4">
        <v>861401</v>
      </c>
      <c r="H156" s="4" t="s">
        <v>307</v>
      </c>
      <c r="I156" s="4" t="s">
        <v>282</v>
      </c>
      <c r="J156" s="4" t="s">
        <v>210</v>
      </c>
      <c r="K156" s="4"/>
      <c r="L156" s="5">
        <v>300000</v>
      </c>
      <c r="M156" s="5">
        <v>150000</v>
      </c>
      <c r="N156" s="5">
        <v>0</v>
      </c>
      <c r="O156" s="5">
        <v>0</v>
      </c>
      <c r="P156" s="5">
        <v>0</v>
      </c>
      <c r="Q156" s="5">
        <v>0</v>
      </c>
      <c r="R156" s="5">
        <v>150000</v>
      </c>
      <c r="S156" s="5">
        <v>150000</v>
      </c>
      <c r="T156" s="6" t="s">
        <v>224</v>
      </c>
      <c r="U156" s="1" t="s">
        <v>202</v>
      </c>
      <c r="V156" s="1"/>
      <c r="W156" s="1" t="s">
        <v>63</v>
      </c>
      <c r="X156" s="1" t="s">
        <v>213</v>
      </c>
      <c r="Y156" s="1">
        <v>42</v>
      </c>
      <c r="Z156" s="1"/>
    </row>
    <row r="157" spans="1:26">
      <c r="A157" s="332">
        <v>34695</v>
      </c>
      <c r="B157" s="332">
        <v>26339</v>
      </c>
      <c r="C157" s="38">
        <v>46079</v>
      </c>
      <c r="D157" s="4" t="s">
        <v>2042</v>
      </c>
      <c r="E157" s="4" t="s">
        <v>2043</v>
      </c>
      <c r="F157" s="4" t="s">
        <v>2</v>
      </c>
      <c r="G157" s="4" t="s">
        <v>465</v>
      </c>
      <c r="H157" s="4" t="s">
        <v>466</v>
      </c>
      <c r="I157" s="4" t="s">
        <v>343</v>
      </c>
      <c r="J157" s="4" t="s">
        <v>210</v>
      </c>
      <c r="K157" s="4" t="s">
        <v>344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6" t="s">
        <v>224</v>
      </c>
      <c r="U157" s="1" t="s">
        <v>202</v>
      </c>
      <c r="V157" s="1"/>
      <c r="W157" s="1" t="s">
        <v>63</v>
      </c>
      <c r="X157" s="1" t="s">
        <v>213</v>
      </c>
      <c r="Y157" s="1">
        <v>48</v>
      </c>
      <c r="Z157" s="1"/>
    </row>
    <row r="158" spans="1:26">
      <c r="A158" s="331">
        <v>36349</v>
      </c>
      <c r="B158" s="331">
        <v>26355</v>
      </c>
      <c r="C158" s="305">
        <v>46076</v>
      </c>
      <c r="D158" s="1" t="s">
        <v>2052</v>
      </c>
      <c r="E158" s="1" t="s">
        <v>2053</v>
      </c>
      <c r="F158" s="1" t="s">
        <v>3</v>
      </c>
      <c r="G158" s="1">
        <v>890242</v>
      </c>
      <c r="H158" s="1" t="s">
        <v>331</v>
      </c>
      <c r="I158" s="1" t="s">
        <v>332</v>
      </c>
      <c r="J158" s="1" t="s">
        <v>223</v>
      </c>
      <c r="K158" s="1"/>
      <c r="L158" s="2">
        <v>250000</v>
      </c>
      <c r="M158" s="2">
        <v>125000</v>
      </c>
      <c r="N158" s="2">
        <v>0</v>
      </c>
      <c r="O158" s="2">
        <v>0</v>
      </c>
      <c r="P158" s="2">
        <v>0</v>
      </c>
      <c r="Q158" s="2">
        <v>0</v>
      </c>
      <c r="R158" s="2">
        <v>125000</v>
      </c>
      <c r="S158" s="2">
        <v>125000</v>
      </c>
      <c r="T158" s="3">
        <v>0.5</v>
      </c>
      <c r="U158" s="1" t="s">
        <v>202</v>
      </c>
      <c r="V158" s="1"/>
      <c r="W158" s="1" t="s">
        <v>63</v>
      </c>
      <c r="X158" s="1" t="s">
        <v>213</v>
      </c>
      <c r="Y158" s="1">
        <v>0</v>
      </c>
      <c r="Z158" s="1"/>
    </row>
    <row r="159" spans="1:26">
      <c r="A159" s="331">
        <v>36353</v>
      </c>
      <c r="B159" s="331">
        <v>26362</v>
      </c>
      <c r="C159" s="305">
        <v>46078</v>
      </c>
      <c r="D159" s="1" t="s">
        <v>2065</v>
      </c>
      <c r="E159" s="1" t="s">
        <v>2066</v>
      </c>
      <c r="F159" s="1" t="s">
        <v>126</v>
      </c>
      <c r="G159" s="1">
        <v>890242</v>
      </c>
      <c r="H159" s="1" t="s">
        <v>331</v>
      </c>
      <c r="I159" s="1" t="s">
        <v>332</v>
      </c>
      <c r="J159" s="1" t="s">
        <v>223</v>
      </c>
      <c r="K159" s="1"/>
      <c r="L159" s="2">
        <v>250000</v>
      </c>
      <c r="M159" s="2">
        <v>125000</v>
      </c>
      <c r="N159" s="2">
        <v>0</v>
      </c>
      <c r="O159" s="2">
        <v>0</v>
      </c>
      <c r="P159" s="2">
        <v>0</v>
      </c>
      <c r="Q159" s="2">
        <v>0</v>
      </c>
      <c r="R159" s="2">
        <v>125000</v>
      </c>
      <c r="S159" s="2">
        <v>125000</v>
      </c>
      <c r="T159" s="3">
        <v>0.5</v>
      </c>
      <c r="U159" s="1" t="s">
        <v>202</v>
      </c>
      <c r="V159" s="1"/>
      <c r="W159" s="1" t="s">
        <v>63</v>
      </c>
      <c r="X159" s="1" t="s">
        <v>225</v>
      </c>
      <c r="Y159" s="1">
        <v>0</v>
      </c>
      <c r="Z159" s="1"/>
    </row>
    <row r="160" spans="1:26">
      <c r="A160" s="331">
        <v>36357</v>
      </c>
      <c r="B160" s="331">
        <v>26371</v>
      </c>
      <c r="C160" s="305">
        <v>46073</v>
      </c>
      <c r="D160" s="1" t="s">
        <v>2061</v>
      </c>
      <c r="E160" s="1" t="s">
        <v>2062</v>
      </c>
      <c r="F160" s="1" t="s">
        <v>126</v>
      </c>
      <c r="G160" s="1">
        <v>890303</v>
      </c>
      <c r="H160" s="1" t="s">
        <v>281</v>
      </c>
      <c r="I160" s="1" t="s">
        <v>282</v>
      </c>
      <c r="J160" s="1" t="s">
        <v>210</v>
      </c>
      <c r="K160" s="1"/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3">
        <v>0</v>
      </c>
      <c r="U160" s="1" t="s">
        <v>202</v>
      </c>
      <c r="V160" s="1"/>
      <c r="W160" s="1" t="s">
        <v>63</v>
      </c>
      <c r="X160" s="1" t="s">
        <v>213</v>
      </c>
      <c r="Y160" s="1">
        <v>27</v>
      </c>
      <c r="Z160" s="1"/>
    </row>
    <row r="161" spans="1:26">
      <c r="A161" s="332">
        <v>36375</v>
      </c>
      <c r="B161" s="332">
        <v>26415</v>
      </c>
      <c r="C161" s="38">
        <v>46079</v>
      </c>
      <c r="D161" s="4" t="s">
        <v>2908</v>
      </c>
      <c r="E161" s="4" t="s">
        <v>2909</v>
      </c>
      <c r="F161" s="4" t="s">
        <v>3</v>
      </c>
      <c r="G161" s="4" t="s">
        <v>289</v>
      </c>
      <c r="H161" s="4" t="s">
        <v>290</v>
      </c>
      <c r="I161" s="4" t="s">
        <v>257</v>
      </c>
      <c r="J161" s="4" t="s">
        <v>210</v>
      </c>
      <c r="K161" s="4"/>
      <c r="L161" s="5">
        <v>450000</v>
      </c>
      <c r="M161" s="5">
        <v>225000</v>
      </c>
      <c r="N161" s="5">
        <v>0</v>
      </c>
      <c r="O161" s="5">
        <v>0</v>
      </c>
      <c r="P161" s="5">
        <v>0</v>
      </c>
      <c r="Q161" s="5">
        <v>0</v>
      </c>
      <c r="R161" s="5">
        <v>225000</v>
      </c>
      <c r="S161" s="5">
        <v>225000</v>
      </c>
      <c r="T161" s="6" t="s">
        <v>224</v>
      </c>
      <c r="U161" s="1" t="s">
        <v>202</v>
      </c>
      <c r="V161" s="1"/>
      <c r="W161" s="1" t="s">
        <v>63</v>
      </c>
      <c r="X161" s="1" t="s">
        <v>213</v>
      </c>
      <c r="Y161" s="1">
        <v>23</v>
      </c>
      <c r="Z161" s="1"/>
    </row>
    <row r="162" spans="1:26">
      <c r="A162" s="332">
        <v>36375</v>
      </c>
      <c r="B162" s="332">
        <v>26416</v>
      </c>
      <c r="C162" s="38">
        <v>46079</v>
      </c>
      <c r="D162" s="4" t="s">
        <v>2908</v>
      </c>
      <c r="E162" s="4" t="s">
        <v>2909</v>
      </c>
      <c r="F162" s="4" t="s">
        <v>3</v>
      </c>
      <c r="G162" s="4" t="s">
        <v>583</v>
      </c>
      <c r="H162" s="4" t="s">
        <v>584</v>
      </c>
      <c r="I162" s="4" t="s">
        <v>257</v>
      </c>
      <c r="J162" s="4" t="s">
        <v>210</v>
      </c>
      <c r="K162" s="4"/>
      <c r="L162" s="5">
        <v>1200000</v>
      </c>
      <c r="M162" s="5">
        <v>600000</v>
      </c>
      <c r="N162" s="5">
        <v>0</v>
      </c>
      <c r="O162" s="5">
        <v>0</v>
      </c>
      <c r="P162" s="5">
        <v>0</v>
      </c>
      <c r="Q162" s="5">
        <v>0</v>
      </c>
      <c r="R162" s="5">
        <v>600000</v>
      </c>
      <c r="S162" s="5">
        <v>600000</v>
      </c>
      <c r="T162" s="6" t="s">
        <v>224</v>
      </c>
      <c r="U162" s="1" t="s">
        <v>202</v>
      </c>
      <c r="V162" s="1"/>
      <c r="W162" s="1" t="s">
        <v>63</v>
      </c>
      <c r="X162" s="1" t="s">
        <v>213</v>
      </c>
      <c r="Y162" s="1">
        <v>23</v>
      </c>
      <c r="Z162" s="1"/>
    </row>
    <row r="163" spans="1:26">
      <c r="A163" s="332">
        <v>36380</v>
      </c>
      <c r="B163" s="332">
        <v>26422</v>
      </c>
      <c r="C163" s="38">
        <v>46074</v>
      </c>
      <c r="D163" s="4" t="s">
        <v>2119</v>
      </c>
      <c r="E163" s="4" t="s">
        <v>2120</v>
      </c>
      <c r="F163" s="4" t="s">
        <v>2</v>
      </c>
      <c r="G163" s="4">
        <v>890303</v>
      </c>
      <c r="H163" s="4" t="s">
        <v>221</v>
      </c>
      <c r="I163" s="4" t="s">
        <v>222</v>
      </c>
      <c r="J163" s="4" t="s">
        <v>223</v>
      </c>
      <c r="K163" s="4"/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6" t="s">
        <v>224</v>
      </c>
      <c r="U163" s="1" t="s">
        <v>202</v>
      </c>
      <c r="V163" s="1"/>
      <c r="W163" s="1" t="s">
        <v>63</v>
      </c>
      <c r="X163" s="1" t="s">
        <v>225</v>
      </c>
      <c r="Y163" s="1">
        <v>30</v>
      </c>
      <c r="Z163" s="1"/>
    </row>
    <row r="164" spans="1:26">
      <c r="A164" s="331">
        <v>36385</v>
      </c>
      <c r="B164" s="331">
        <v>26427</v>
      </c>
      <c r="C164" s="305">
        <v>46073</v>
      </c>
      <c r="D164" s="1" t="s">
        <v>2123</v>
      </c>
      <c r="E164" s="1" t="s">
        <v>2124</v>
      </c>
      <c r="F164" s="1" t="s">
        <v>126</v>
      </c>
      <c r="G164" s="1">
        <v>890242</v>
      </c>
      <c r="H164" s="1" t="s">
        <v>331</v>
      </c>
      <c r="I164" s="1" t="s">
        <v>332</v>
      </c>
      <c r="J164" s="1" t="s">
        <v>223</v>
      </c>
      <c r="K164" s="1"/>
      <c r="L164" s="2">
        <v>250000</v>
      </c>
      <c r="M164" s="2">
        <v>125000</v>
      </c>
      <c r="N164" s="2">
        <v>0</v>
      </c>
      <c r="O164" s="2">
        <v>0</v>
      </c>
      <c r="P164" s="2">
        <v>0</v>
      </c>
      <c r="Q164" s="2">
        <v>0</v>
      </c>
      <c r="R164" s="2">
        <v>125000</v>
      </c>
      <c r="S164" s="2">
        <v>125000</v>
      </c>
      <c r="T164" s="3">
        <v>0.5</v>
      </c>
      <c r="U164" s="1" t="s">
        <v>202</v>
      </c>
      <c r="V164" s="1"/>
      <c r="W164" s="1" t="s">
        <v>63</v>
      </c>
      <c r="X164" s="1" t="s">
        <v>213</v>
      </c>
      <c r="Y164" s="1">
        <v>0</v>
      </c>
      <c r="Z164" s="1"/>
    </row>
    <row r="165" spans="1:26">
      <c r="A165" s="331">
        <v>36387</v>
      </c>
      <c r="B165" s="331">
        <v>26429</v>
      </c>
      <c r="C165" s="305">
        <v>46074</v>
      </c>
      <c r="D165" s="1" t="s">
        <v>2125</v>
      </c>
      <c r="E165" s="1" t="s">
        <v>2126</v>
      </c>
      <c r="F165" s="1" t="s">
        <v>3</v>
      </c>
      <c r="G165" s="1">
        <v>890242</v>
      </c>
      <c r="H165" s="1" t="s">
        <v>331</v>
      </c>
      <c r="I165" s="1" t="s">
        <v>332</v>
      </c>
      <c r="J165" s="1" t="s">
        <v>223</v>
      </c>
      <c r="K165" s="1"/>
      <c r="L165" s="2">
        <v>250000</v>
      </c>
      <c r="M165" s="2">
        <v>125000</v>
      </c>
      <c r="N165" s="2">
        <v>0</v>
      </c>
      <c r="O165" s="2">
        <v>0</v>
      </c>
      <c r="P165" s="2">
        <v>0</v>
      </c>
      <c r="Q165" s="2">
        <v>0</v>
      </c>
      <c r="R165" s="2">
        <v>125000</v>
      </c>
      <c r="S165" s="2">
        <v>125000</v>
      </c>
      <c r="T165" s="3">
        <v>0.5</v>
      </c>
      <c r="U165" s="1" t="s">
        <v>202</v>
      </c>
      <c r="V165" s="1"/>
      <c r="W165" s="1" t="s">
        <v>63</v>
      </c>
      <c r="X165" s="1" t="s">
        <v>213</v>
      </c>
      <c r="Y165" s="1">
        <v>0</v>
      </c>
      <c r="Z165" s="1"/>
    </row>
    <row r="166" spans="1:26">
      <c r="A166" s="332">
        <v>36388</v>
      </c>
      <c r="B166" s="332">
        <v>26430</v>
      </c>
      <c r="C166" s="38">
        <v>46076</v>
      </c>
      <c r="D166" s="4" t="s">
        <v>2127</v>
      </c>
      <c r="E166" s="4" t="s">
        <v>2128</v>
      </c>
      <c r="F166" s="4" t="s">
        <v>126</v>
      </c>
      <c r="G166" s="4">
        <v>860101</v>
      </c>
      <c r="H166" s="4" t="s">
        <v>982</v>
      </c>
      <c r="I166" s="4" t="s">
        <v>282</v>
      </c>
      <c r="J166" s="4" t="s">
        <v>210</v>
      </c>
      <c r="K166" s="4"/>
      <c r="L166" s="5">
        <v>650000</v>
      </c>
      <c r="M166" s="5">
        <v>325000</v>
      </c>
      <c r="N166" s="5">
        <v>0</v>
      </c>
      <c r="O166" s="5">
        <v>0</v>
      </c>
      <c r="P166" s="5">
        <v>0</v>
      </c>
      <c r="Q166" s="5">
        <v>0</v>
      </c>
      <c r="R166" s="5">
        <v>325000</v>
      </c>
      <c r="S166" s="5">
        <v>325000</v>
      </c>
      <c r="T166" s="6" t="s">
        <v>224</v>
      </c>
      <c r="U166" s="1" t="s">
        <v>202</v>
      </c>
      <c r="V166" s="1"/>
      <c r="W166" s="1" t="s">
        <v>63</v>
      </c>
      <c r="X166" s="1" t="s">
        <v>213</v>
      </c>
      <c r="Y166" s="1">
        <v>0</v>
      </c>
      <c r="Z166" s="1"/>
    </row>
    <row r="167" spans="1:26">
      <c r="A167" s="331">
        <v>35567</v>
      </c>
      <c r="B167" s="331">
        <v>26437</v>
      </c>
      <c r="C167" s="305">
        <v>46081</v>
      </c>
      <c r="D167" s="1" t="s">
        <v>1343</v>
      </c>
      <c r="E167" s="1" t="s">
        <v>1344</v>
      </c>
      <c r="F167" s="1" t="s">
        <v>127</v>
      </c>
      <c r="G167" s="1" t="s">
        <v>923</v>
      </c>
      <c r="H167" s="1" t="s">
        <v>924</v>
      </c>
      <c r="I167" s="1" t="s">
        <v>2900</v>
      </c>
      <c r="J167" s="1" t="s">
        <v>210</v>
      </c>
      <c r="K167" s="1" t="s">
        <v>258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3">
        <v>0</v>
      </c>
      <c r="U167" s="1" t="s">
        <v>202</v>
      </c>
      <c r="V167" s="1"/>
      <c r="W167" s="1" t="s">
        <v>63</v>
      </c>
      <c r="X167" s="1" t="s">
        <v>225</v>
      </c>
      <c r="Y167" s="1">
        <v>19</v>
      </c>
      <c r="Z167" s="1"/>
    </row>
    <row r="168" spans="1:26">
      <c r="A168" s="332">
        <v>36396</v>
      </c>
      <c r="B168" s="332">
        <v>26444</v>
      </c>
      <c r="C168" s="38">
        <v>46074</v>
      </c>
      <c r="D168" s="4" t="s">
        <v>2135</v>
      </c>
      <c r="E168" s="4" t="s">
        <v>2136</v>
      </c>
      <c r="F168" s="4" t="s">
        <v>3</v>
      </c>
      <c r="G168" s="4" t="s">
        <v>409</v>
      </c>
      <c r="H168" s="4" t="s">
        <v>410</v>
      </c>
      <c r="I168" s="4" t="s">
        <v>297</v>
      </c>
      <c r="J168" s="4" t="s">
        <v>210</v>
      </c>
      <c r="K168" s="4" t="s">
        <v>328</v>
      </c>
      <c r="L168" s="5">
        <v>1000000</v>
      </c>
      <c r="M168" s="5">
        <v>500000</v>
      </c>
      <c r="N168" s="5">
        <v>0</v>
      </c>
      <c r="O168" s="5">
        <v>0</v>
      </c>
      <c r="P168" s="5">
        <v>0</v>
      </c>
      <c r="Q168" s="5">
        <v>0</v>
      </c>
      <c r="R168" s="5">
        <v>500000</v>
      </c>
      <c r="S168" s="5">
        <v>500000</v>
      </c>
      <c r="T168" s="6" t="s">
        <v>224</v>
      </c>
      <c r="U168" s="1" t="s">
        <v>202</v>
      </c>
      <c r="V168" s="1"/>
      <c r="W168" s="1" t="s">
        <v>63</v>
      </c>
      <c r="X168" s="1" t="s">
        <v>248</v>
      </c>
      <c r="Y168" s="1">
        <v>0</v>
      </c>
      <c r="Z168" s="1"/>
    </row>
    <row r="169" spans="1:26">
      <c r="A169" s="331">
        <v>36397</v>
      </c>
      <c r="B169" s="331">
        <v>26445</v>
      </c>
      <c r="C169" s="305">
        <v>46073</v>
      </c>
      <c r="D169" s="1" t="s">
        <v>2137</v>
      </c>
      <c r="E169" s="1" t="s">
        <v>2138</v>
      </c>
      <c r="F169" s="1" t="s">
        <v>4</v>
      </c>
      <c r="G169" s="1">
        <v>890242</v>
      </c>
      <c r="H169" s="1" t="s">
        <v>331</v>
      </c>
      <c r="I169" s="1" t="s">
        <v>332</v>
      </c>
      <c r="J169" s="1" t="s">
        <v>223</v>
      </c>
      <c r="K169" s="1"/>
      <c r="L169" s="2">
        <v>250000</v>
      </c>
      <c r="M169" s="2">
        <v>125000</v>
      </c>
      <c r="N169" s="2">
        <v>0</v>
      </c>
      <c r="O169" s="2">
        <v>0</v>
      </c>
      <c r="P169" s="2">
        <v>0</v>
      </c>
      <c r="Q169" s="2">
        <v>0</v>
      </c>
      <c r="R169" s="2">
        <v>125000</v>
      </c>
      <c r="S169" s="2">
        <v>125000</v>
      </c>
      <c r="T169" s="3">
        <v>0.5</v>
      </c>
      <c r="U169" s="1" t="s">
        <v>202</v>
      </c>
      <c r="V169" s="1"/>
      <c r="W169" s="1" t="s">
        <v>63</v>
      </c>
      <c r="X169" s="1" t="s">
        <v>213</v>
      </c>
      <c r="Y169" s="1">
        <v>0</v>
      </c>
      <c r="Z169" s="1"/>
    </row>
    <row r="170" spans="1:26">
      <c r="A170" s="332">
        <v>36405</v>
      </c>
      <c r="B170" s="332">
        <v>26455</v>
      </c>
      <c r="C170" s="38">
        <v>46077</v>
      </c>
      <c r="D170" s="4" t="s">
        <v>962</v>
      </c>
      <c r="E170" s="4" t="s">
        <v>963</v>
      </c>
      <c r="F170" s="4" t="s">
        <v>122</v>
      </c>
      <c r="G170" s="4" t="s">
        <v>935</v>
      </c>
      <c r="H170" s="4" t="s">
        <v>936</v>
      </c>
      <c r="I170" s="4" t="s">
        <v>937</v>
      </c>
      <c r="J170" s="4" t="s">
        <v>200</v>
      </c>
      <c r="K170" s="4" t="s">
        <v>938</v>
      </c>
      <c r="L170" s="5">
        <v>190000</v>
      </c>
      <c r="M170" s="5">
        <v>32300</v>
      </c>
      <c r="N170" s="5">
        <v>0</v>
      </c>
      <c r="O170" s="5">
        <v>0</v>
      </c>
      <c r="P170" s="5">
        <v>0</v>
      </c>
      <c r="Q170" s="5">
        <v>0</v>
      </c>
      <c r="R170" s="5">
        <v>157700</v>
      </c>
      <c r="S170" s="5">
        <v>157700</v>
      </c>
      <c r="T170" s="6" t="s">
        <v>224</v>
      </c>
      <c r="U170" s="1" t="s">
        <v>202</v>
      </c>
      <c r="V170" s="1"/>
      <c r="W170" s="1" t="s">
        <v>63</v>
      </c>
      <c r="X170" s="1" t="s">
        <v>225</v>
      </c>
      <c r="Y170" s="1">
        <v>43</v>
      </c>
      <c r="Z170" s="1"/>
    </row>
    <row r="171" spans="1:26">
      <c r="A171" s="332">
        <v>36405</v>
      </c>
      <c r="B171" s="332">
        <v>26456</v>
      </c>
      <c r="C171" s="38">
        <v>46079</v>
      </c>
      <c r="D171" s="4" t="s">
        <v>962</v>
      </c>
      <c r="E171" s="4" t="s">
        <v>963</v>
      </c>
      <c r="F171" s="4" t="s">
        <v>122</v>
      </c>
      <c r="G171" s="4" t="s">
        <v>935</v>
      </c>
      <c r="H171" s="4" t="s">
        <v>936</v>
      </c>
      <c r="I171" s="4" t="s">
        <v>937</v>
      </c>
      <c r="J171" s="4" t="s">
        <v>200</v>
      </c>
      <c r="K171" s="4" t="s">
        <v>938</v>
      </c>
      <c r="L171" s="5">
        <v>190000</v>
      </c>
      <c r="M171" s="5">
        <v>32300</v>
      </c>
      <c r="N171" s="5">
        <v>0</v>
      </c>
      <c r="O171" s="5">
        <v>0</v>
      </c>
      <c r="P171" s="5">
        <v>0</v>
      </c>
      <c r="Q171" s="5">
        <v>0</v>
      </c>
      <c r="R171" s="5">
        <v>157700</v>
      </c>
      <c r="S171" s="5">
        <v>157700</v>
      </c>
      <c r="T171" s="6" t="s">
        <v>224</v>
      </c>
      <c r="U171" s="1" t="s">
        <v>202</v>
      </c>
      <c r="V171" s="1"/>
      <c r="W171" s="1" t="s">
        <v>63</v>
      </c>
      <c r="X171" s="1" t="s">
        <v>225</v>
      </c>
      <c r="Y171" s="1">
        <v>43</v>
      </c>
      <c r="Z171" s="1"/>
    </row>
    <row r="172" spans="1:26">
      <c r="A172" s="332">
        <v>36405</v>
      </c>
      <c r="B172" s="332">
        <v>26457</v>
      </c>
      <c r="C172" s="38">
        <v>46075</v>
      </c>
      <c r="D172" s="4" t="s">
        <v>962</v>
      </c>
      <c r="E172" s="4" t="s">
        <v>963</v>
      </c>
      <c r="F172" s="4" t="s">
        <v>122</v>
      </c>
      <c r="G172" s="4" t="s">
        <v>935</v>
      </c>
      <c r="H172" s="4" t="s">
        <v>936</v>
      </c>
      <c r="I172" s="4" t="s">
        <v>937</v>
      </c>
      <c r="J172" s="4" t="s">
        <v>200</v>
      </c>
      <c r="K172" s="4" t="s">
        <v>938</v>
      </c>
      <c r="L172" s="5">
        <v>190000</v>
      </c>
      <c r="M172" s="5">
        <v>32300</v>
      </c>
      <c r="N172" s="5">
        <v>0</v>
      </c>
      <c r="O172" s="5">
        <v>0</v>
      </c>
      <c r="P172" s="5">
        <v>0</v>
      </c>
      <c r="Q172" s="5">
        <v>0</v>
      </c>
      <c r="R172" s="5">
        <v>157700</v>
      </c>
      <c r="S172" s="5">
        <v>157700</v>
      </c>
      <c r="T172" s="6" t="s">
        <v>224</v>
      </c>
      <c r="U172" s="1" t="s">
        <v>202</v>
      </c>
      <c r="V172" s="1"/>
      <c r="W172" s="1" t="s">
        <v>63</v>
      </c>
      <c r="X172" s="1" t="s">
        <v>225</v>
      </c>
      <c r="Y172" s="1">
        <v>43</v>
      </c>
      <c r="Z172" s="1"/>
    </row>
    <row r="173" spans="1:26">
      <c r="A173" s="331">
        <v>36411</v>
      </c>
      <c r="B173" s="331">
        <v>26465</v>
      </c>
      <c r="C173" s="305">
        <v>46081</v>
      </c>
      <c r="D173" s="1" t="s">
        <v>2145</v>
      </c>
      <c r="E173" s="1" t="s">
        <v>2146</v>
      </c>
      <c r="F173" s="1" t="s">
        <v>2</v>
      </c>
      <c r="G173" s="1">
        <v>890242</v>
      </c>
      <c r="H173" s="1" t="s">
        <v>331</v>
      </c>
      <c r="I173" s="1" t="s">
        <v>332</v>
      </c>
      <c r="J173" s="1" t="s">
        <v>223</v>
      </c>
      <c r="K173" s="1"/>
      <c r="L173" s="2">
        <v>250000</v>
      </c>
      <c r="M173" s="2">
        <v>125000</v>
      </c>
      <c r="N173" s="2">
        <v>0</v>
      </c>
      <c r="O173" s="2">
        <v>0</v>
      </c>
      <c r="P173" s="2">
        <v>0</v>
      </c>
      <c r="Q173" s="2">
        <v>0</v>
      </c>
      <c r="R173" s="2">
        <v>125000</v>
      </c>
      <c r="S173" s="2">
        <v>125000</v>
      </c>
      <c r="T173" s="3">
        <v>0.5</v>
      </c>
      <c r="U173" s="1" t="s">
        <v>202</v>
      </c>
      <c r="V173" s="1"/>
      <c r="W173" s="1" t="s">
        <v>63</v>
      </c>
      <c r="X173" s="1" t="s">
        <v>213</v>
      </c>
      <c r="Y173" s="1">
        <v>0</v>
      </c>
      <c r="Z173" s="1"/>
    </row>
    <row r="174" spans="1:26">
      <c r="A174" s="331">
        <v>36419</v>
      </c>
      <c r="B174" s="331">
        <v>26477</v>
      </c>
      <c r="C174" s="305">
        <v>46079</v>
      </c>
      <c r="D174" s="1" t="s">
        <v>717</v>
      </c>
      <c r="E174" s="1" t="s">
        <v>718</v>
      </c>
      <c r="F174" s="1" t="s">
        <v>127</v>
      </c>
      <c r="G174" s="1">
        <v>890302</v>
      </c>
      <c r="H174" s="1" t="s">
        <v>244</v>
      </c>
      <c r="I174" s="1" t="s">
        <v>222</v>
      </c>
      <c r="J174" s="1" t="s">
        <v>223</v>
      </c>
      <c r="K174" s="1"/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3">
        <v>0</v>
      </c>
      <c r="U174" s="1" t="s">
        <v>202</v>
      </c>
      <c r="V174" s="1"/>
      <c r="W174" s="1" t="s">
        <v>63</v>
      </c>
      <c r="X174" s="1" t="s">
        <v>277</v>
      </c>
      <c r="Y174" s="1">
        <v>79</v>
      </c>
      <c r="Z174" s="1"/>
    </row>
    <row r="175" spans="1:26">
      <c r="A175" s="331">
        <v>36424</v>
      </c>
      <c r="B175" s="331">
        <v>26484</v>
      </c>
      <c r="C175" s="305">
        <v>46074</v>
      </c>
      <c r="D175" s="1" t="s">
        <v>2157</v>
      </c>
      <c r="E175" s="1" t="s">
        <v>2158</v>
      </c>
      <c r="F175" s="1" t="s">
        <v>3</v>
      </c>
      <c r="G175" s="1">
        <v>890242</v>
      </c>
      <c r="H175" s="1" t="s">
        <v>331</v>
      </c>
      <c r="I175" s="1" t="s">
        <v>332</v>
      </c>
      <c r="J175" s="1" t="s">
        <v>223</v>
      </c>
      <c r="K175" s="1"/>
      <c r="L175" s="2">
        <v>250000</v>
      </c>
      <c r="M175" s="2">
        <v>125000</v>
      </c>
      <c r="N175" s="2">
        <v>0</v>
      </c>
      <c r="O175" s="2">
        <v>0</v>
      </c>
      <c r="P175" s="2">
        <v>0</v>
      </c>
      <c r="Q175" s="2">
        <v>0</v>
      </c>
      <c r="R175" s="2">
        <v>125000</v>
      </c>
      <c r="S175" s="2">
        <v>125000</v>
      </c>
      <c r="T175" s="3">
        <v>0.5</v>
      </c>
      <c r="U175" s="1" t="s">
        <v>202</v>
      </c>
      <c r="V175" s="1"/>
      <c r="W175" s="1" t="s">
        <v>63</v>
      </c>
      <c r="X175" s="1" t="s">
        <v>213</v>
      </c>
      <c r="Y175" s="1">
        <v>0</v>
      </c>
      <c r="Z175" s="1"/>
    </row>
    <row r="176" spans="1:26">
      <c r="A176" s="331">
        <v>22327</v>
      </c>
      <c r="B176" s="331">
        <v>26510</v>
      </c>
      <c r="C176" s="305">
        <v>46073</v>
      </c>
      <c r="D176" s="1" t="s">
        <v>1297</v>
      </c>
      <c r="E176" s="1" t="s">
        <v>1298</v>
      </c>
      <c r="F176" s="1" t="s">
        <v>2</v>
      </c>
      <c r="G176" s="1" t="s">
        <v>295</v>
      </c>
      <c r="H176" s="1" t="s">
        <v>296</v>
      </c>
      <c r="I176" s="1" t="s">
        <v>297</v>
      </c>
      <c r="J176" s="1" t="s">
        <v>210</v>
      </c>
      <c r="K176" s="1" t="s">
        <v>328</v>
      </c>
      <c r="L176" s="2">
        <v>1900000</v>
      </c>
      <c r="M176" s="2">
        <v>950000</v>
      </c>
      <c r="N176" s="2">
        <v>0</v>
      </c>
      <c r="O176" s="2">
        <v>0</v>
      </c>
      <c r="P176" s="2">
        <v>0</v>
      </c>
      <c r="Q176" s="2">
        <v>0</v>
      </c>
      <c r="R176" s="2">
        <v>950000</v>
      </c>
      <c r="S176" s="2">
        <v>950000</v>
      </c>
      <c r="T176" s="3">
        <v>0.5</v>
      </c>
      <c r="U176" s="1" t="s">
        <v>202</v>
      </c>
      <c r="V176" s="1"/>
      <c r="W176" s="1" t="s">
        <v>63</v>
      </c>
      <c r="X176" s="1" t="s">
        <v>213</v>
      </c>
      <c r="Y176" s="1">
        <v>33</v>
      </c>
      <c r="Z176" s="1"/>
    </row>
    <row r="177" spans="1:26">
      <c r="A177" s="331">
        <v>36439</v>
      </c>
      <c r="B177" s="331">
        <v>26516</v>
      </c>
      <c r="C177" s="305">
        <v>46074</v>
      </c>
      <c r="D177" s="1" t="s">
        <v>2327</v>
      </c>
      <c r="E177" s="1" t="s">
        <v>2328</v>
      </c>
      <c r="F177" s="1" t="s">
        <v>3</v>
      </c>
      <c r="G177" s="1">
        <v>890242</v>
      </c>
      <c r="H177" s="1" t="s">
        <v>331</v>
      </c>
      <c r="I177" s="1" t="s">
        <v>332</v>
      </c>
      <c r="J177" s="1" t="s">
        <v>223</v>
      </c>
      <c r="K177" s="1"/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3">
        <v>0</v>
      </c>
      <c r="U177" s="1" t="s">
        <v>202</v>
      </c>
      <c r="V177" s="1"/>
      <c r="W177" s="1" t="s">
        <v>63</v>
      </c>
      <c r="X177" s="1" t="s">
        <v>225</v>
      </c>
      <c r="Y177" s="1">
        <v>30</v>
      </c>
      <c r="Z177" s="1"/>
    </row>
    <row r="178" spans="1:26">
      <c r="A178" s="332">
        <v>36440</v>
      </c>
      <c r="B178" s="332">
        <v>26517</v>
      </c>
      <c r="C178" s="38">
        <v>46077</v>
      </c>
      <c r="D178" s="4" t="s">
        <v>2329</v>
      </c>
      <c r="E178" s="4" t="s">
        <v>2330</v>
      </c>
      <c r="F178" s="4" t="s">
        <v>127</v>
      </c>
      <c r="G178" s="4" t="s">
        <v>931</v>
      </c>
      <c r="H178" s="4" t="s">
        <v>2056</v>
      </c>
      <c r="I178" s="4" t="s">
        <v>257</v>
      </c>
      <c r="J178" s="4" t="s">
        <v>210</v>
      </c>
      <c r="K178" s="4"/>
      <c r="L178" s="5">
        <v>686000</v>
      </c>
      <c r="M178" s="5">
        <v>336140</v>
      </c>
      <c r="N178" s="5">
        <v>0</v>
      </c>
      <c r="O178" s="5">
        <v>0</v>
      </c>
      <c r="P178" s="5">
        <v>0</v>
      </c>
      <c r="Q178" s="5">
        <v>0</v>
      </c>
      <c r="R178" s="5">
        <v>349860</v>
      </c>
      <c r="S178" s="5">
        <v>336140</v>
      </c>
      <c r="T178" s="6" t="s">
        <v>224</v>
      </c>
      <c r="U178" s="1" t="s">
        <v>202</v>
      </c>
      <c r="V178" s="1" t="s">
        <v>2331</v>
      </c>
      <c r="W178" s="1" t="s">
        <v>202</v>
      </c>
      <c r="X178" s="1" t="s">
        <v>213</v>
      </c>
      <c r="Y178" s="1">
        <v>14</v>
      </c>
      <c r="Z178" s="1" t="s">
        <v>2332</v>
      </c>
    </row>
    <row r="179" spans="1:26">
      <c r="A179" s="331">
        <v>36446</v>
      </c>
      <c r="B179" s="331">
        <v>26531</v>
      </c>
      <c r="C179" s="305">
        <v>46073</v>
      </c>
      <c r="D179" s="1" t="s">
        <v>2337</v>
      </c>
      <c r="E179" s="1" t="s">
        <v>2338</v>
      </c>
      <c r="F179" s="1" t="s">
        <v>5</v>
      </c>
      <c r="G179" s="1">
        <v>890304</v>
      </c>
      <c r="H179" s="1" t="s">
        <v>913</v>
      </c>
      <c r="I179" s="1" t="s">
        <v>332</v>
      </c>
      <c r="J179" s="1" t="s">
        <v>223</v>
      </c>
      <c r="K179" s="1"/>
      <c r="L179" s="2">
        <v>240000</v>
      </c>
      <c r="M179" s="2">
        <v>120000</v>
      </c>
      <c r="N179" s="2">
        <v>0</v>
      </c>
      <c r="O179" s="2">
        <v>0</v>
      </c>
      <c r="P179" s="2">
        <v>0</v>
      </c>
      <c r="Q179" s="2">
        <v>0</v>
      </c>
      <c r="R179" s="2">
        <v>120000</v>
      </c>
      <c r="S179" s="2">
        <v>120000</v>
      </c>
      <c r="T179" s="3">
        <v>0.5</v>
      </c>
      <c r="U179" s="1" t="s">
        <v>202</v>
      </c>
      <c r="V179" s="1"/>
      <c r="W179" s="1" t="s">
        <v>63</v>
      </c>
      <c r="X179" s="1" t="s">
        <v>319</v>
      </c>
      <c r="Y179" s="1">
        <v>39</v>
      </c>
      <c r="Z179" s="1"/>
    </row>
    <row r="180" spans="1:26">
      <c r="A180" s="332">
        <v>36447</v>
      </c>
      <c r="B180" s="332">
        <v>26532</v>
      </c>
      <c r="C180" s="38">
        <v>46073</v>
      </c>
      <c r="D180" s="4" t="s">
        <v>2337</v>
      </c>
      <c r="E180" s="4" t="s">
        <v>2338</v>
      </c>
      <c r="F180" s="4" t="s">
        <v>122</v>
      </c>
      <c r="G180" s="4" t="s">
        <v>271</v>
      </c>
      <c r="H180" s="4" t="s">
        <v>272</v>
      </c>
      <c r="I180" s="4" t="s">
        <v>273</v>
      </c>
      <c r="J180" s="4" t="s">
        <v>210</v>
      </c>
      <c r="K180" s="4"/>
      <c r="L180" s="5">
        <v>280000</v>
      </c>
      <c r="M180" s="5">
        <v>47600</v>
      </c>
      <c r="N180" s="5">
        <v>0</v>
      </c>
      <c r="O180" s="5">
        <v>0</v>
      </c>
      <c r="P180" s="5">
        <v>0</v>
      </c>
      <c r="Q180" s="5">
        <v>0</v>
      </c>
      <c r="R180" s="5">
        <v>232400</v>
      </c>
      <c r="S180" s="5">
        <v>232400</v>
      </c>
      <c r="T180" s="6" t="s">
        <v>224</v>
      </c>
      <c r="U180" s="1" t="s">
        <v>202</v>
      </c>
      <c r="V180" s="1"/>
      <c r="W180" s="1" t="s">
        <v>63</v>
      </c>
      <c r="X180" s="1" t="s">
        <v>319</v>
      </c>
      <c r="Y180" s="1">
        <v>39</v>
      </c>
      <c r="Z180" s="1"/>
    </row>
    <row r="181" spans="1:26">
      <c r="A181" s="331">
        <v>36451</v>
      </c>
      <c r="B181" s="331">
        <v>26537</v>
      </c>
      <c r="C181" s="305">
        <v>46073</v>
      </c>
      <c r="D181" s="1" t="s">
        <v>2340</v>
      </c>
      <c r="E181" s="1" t="s">
        <v>2341</v>
      </c>
      <c r="F181" s="1" t="s">
        <v>5</v>
      </c>
      <c r="G181" s="1">
        <v>890304</v>
      </c>
      <c r="H181" s="1" t="s">
        <v>913</v>
      </c>
      <c r="I181" s="1" t="s">
        <v>332</v>
      </c>
      <c r="J181" s="1" t="s">
        <v>223</v>
      </c>
      <c r="K181" s="1"/>
      <c r="L181" s="2">
        <v>240000</v>
      </c>
      <c r="M181" s="2">
        <v>120000</v>
      </c>
      <c r="N181" s="2">
        <v>0</v>
      </c>
      <c r="O181" s="2">
        <v>0</v>
      </c>
      <c r="P181" s="2">
        <v>0</v>
      </c>
      <c r="Q181" s="2">
        <v>0</v>
      </c>
      <c r="R181" s="2">
        <v>120000</v>
      </c>
      <c r="S181" s="2">
        <v>120000</v>
      </c>
      <c r="T181" s="3">
        <v>0.5</v>
      </c>
      <c r="U181" s="1" t="s">
        <v>202</v>
      </c>
      <c r="V181" s="1"/>
      <c r="W181" s="1" t="s">
        <v>63</v>
      </c>
      <c r="X181" s="1" t="s">
        <v>225</v>
      </c>
      <c r="Y181" s="1">
        <v>0</v>
      </c>
      <c r="Z181" s="1"/>
    </row>
    <row r="182" spans="1:26">
      <c r="A182" s="332">
        <v>36457</v>
      </c>
      <c r="B182" s="332">
        <v>26548</v>
      </c>
      <c r="C182" s="38">
        <v>46077</v>
      </c>
      <c r="D182" s="4" t="s">
        <v>616</v>
      </c>
      <c r="E182" s="4" t="s">
        <v>617</v>
      </c>
      <c r="F182" s="4" t="s">
        <v>2</v>
      </c>
      <c r="G182" s="4">
        <v>890303</v>
      </c>
      <c r="H182" s="4" t="s">
        <v>221</v>
      </c>
      <c r="I182" s="4" t="s">
        <v>222</v>
      </c>
      <c r="J182" s="4" t="s">
        <v>223</v>
      </c>
      <c r="K182" s="4"/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6" t="s">
        <v>224</v>
      </c>
      <c r="U182" s="1" t="s">
        <v>202</v>
      </c>
      <c r="V182" s="1"/>
      <c r="W182" s="1" t="s">
        <v>63</v>
      </c>
      <c r="X182" s="1" t="s">
        <v>277</v>
      </c>
      <c r="Y182" s="1">
        <v>19</v>
      </c>
      <c r="Z182" s="1"/>
    </row>
    <row r="183" spans="1:26">
      <c r="A183" s="332">
        <v>36458</v>
      </c>
      <c r="B183" s="332">
        <v>26550</v>
      </c>
      <c r="C183" s="38">
        <v>46080</v>
      </c>
      <c r="D183" s="4" t="s">
        <v>1985</v>
      </c>
      <c r="E183" s="4" t="s">
        <v>1986</v>
      </c>
      <c r="F183" s="4" t="s">
        <v>4</v>
      </c>
      <c r="G183" s="4">
        <v>890303</v>
      </c>
      <c r="H183" s="4" t="s">
        <v>221</v>
      </c>
      <c r="I183" s="4" t="s">
        <v>222</v>
      </c>
      <c r="J183" s="4" t="s">
        <v>223</v>
      </c>
      <c r="K183" s="4"/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6" t="s">
        <v>224</v>
      </c>
      <c r="U183" s="1" t="s">
        <v>202</v>
      </c>
      <c r="V183" s="1"/>
      <c r="W183" s="1" t="s">
        <v>63</v>
      </c>
      <c r="X183" s="1" t="s">
        <v>204</v>
      </c>
      <c r="Y183" s="1">
        <v>44</v>
      </c>
      <c r="Z183" s="1"/>
    </row>
    <row r="184" spans="1:26">
      <c r="A184" s="332">
        <v>36462</v>
      </c>
      <c r="B184" s="332">
        <v>26557</v>
      </c>
      <c r="C184" s="38">
        <v>46080</v>
      </c>
      <c r="D184" s="4" t="s">
        <v>1355</v>
      </c>
      <c r="E184" s="4" t="s">
        <v>1356</v>
      </c>
      <c r="F184" s="4" t="s">
        <v>122</v>
      </c>
      <c r="G184" s="4" t="s">
        <v>271</v>
      </c>
      <c r="H184" s="4" t="s">
        <v>272</v>
      </c>
      <c r="I184" s="4" t="s">
        <v>273</v>
      </c>
      <c r="J184" s="4" t="s">
        <v>210</v>
      </c>
      <c r="K184" s="4"/>
      <c r="L184" s="5">
        <v>280000</v>
      </c>
      <c r="M184" s="5">
        <v>47600</v>
      </c>
      <c r="N184" s="5">
        <v>0</v>
      </c>
      <c r="O184" s="5">
        <v>0</v>
      </c>
      <c r="P184" s="5">
        <v>0</v>
      </c>
      <c r="Q184" s="5">
        <v>0</v>
      </c>
      <c r="R184" s="5">
        <v>232400</v>
      </c>
      <c r="S184" s="5">
        <v>232400</v>
      </c>
      <c r="T184" s="6" t="s">
        <v>224</v>
      </c>
      <c r="U184" s="1" t="s">
        <v>202</v>
      </c>
      <c r="V184" s="1"/>
      <c r="W184" s="1" t="s">
        <v>63</v>
      </c>
      <c r="X184" s="1" t="s">
        <v>213</v>
      </c>
      <c r="Y184" s="1">
        <v>21</v>
      </c>
      <c r="Z184" s="1"/>
    </row>
    <row r="185" spans="1:26">
      <c r="A185" s="331">
        <v>36469</v>
      </c>
      <c r="B185" s="331">
        <v>26571</v>
      </c>
      <c r="C185" s="305">
        <v>46081</v>
      </c>
      <c r="D185" s="1" t="s">
        <v>2121</v>
      </c>
      <c r="E185" s="1" t="s">
        <v>2122</v>
      </c>
      <c r="F185" s="1" t="s">
        <v>107</v>
      </c>
      <c r="G185" s="1">
        <v>890304</v>
      </c>
      <c r="H185" s="1" t="s">
        <v>913</v>
      </c>
      <c r="I185" s="1" t="s">
        <v>332</v>
      </c>
      <c r="J185" s="1" t="s">
        <v>223</v>
      </c>
      <c r="K185" s="1"/>
      <c r="L185" s="2">
        <v>240000</v>
      </c>
      <c r="M185" s="2">
        <v>120000</v>
      </c>
      <c r="N185" s="2">
        <v>0</v>
      </c>
      <c r="O185" s="2">
        <v>0</v>
      </c>
      <c r="P185" s="2">
        <v>0</v>
      </c>
      <c r="Q185" s="2">
        <v>0</v>
      </c>
      <c r="R185" s="2">
        <v>120000</v>
      </c>
      <c r="S185" s="2">
        <v>120000</v>
      </c>
      <c r="T185" s="3">
        <v>0.5</v>
      </c>
      <c r="U185" s="1" t="s">
        <v>202</v>
      </c>
      <c r="V185" s="1"/>
      <c r="W185" s="1" t="s">
        <v>63</v>
      </c>
      <c r="X185" s="1" t="s">
        <v>213</v>
      </c>
      <c r="Y185" s="1">
        <v>46</v>
      </c>
      <c r="Z185" s="1"/>
    </row>
    <row r="186" spans="1:26">
      <c r="A186" s="331">
        <v>36470</v>
      </c>
      <c r="B186" s="331">
        <v>26572</v>
      </c>
      <c r="C186" s="305">
        <v>46079</v>
      </c>
      <c r="D186" s="1" t="s">
        <v>2346</v>
      </c>
      <c r="E186" s="1" t="s">
        <v>2347</v>
      </c>
      <c r="F186" s="1" t="s">
        <v>3</v>
      </c>
      <c r="G186" s="1">
        <v>890302</v>
      </c>
      <c r="H186" s="1" t="s">
        <v>244</v>
      </c>
      <c r="I186" s="1" t="s">
        <v>222</v>
      </c>
      <c r="J186" s="1" t="s">
        <v>223</v>
      </c>
      <c r="K186" s="1"/>
      <c r="L186" s="2">
        <v>180000</v>
      </c>
      <c r="M186" s="2">
        <v>90000</v>
      </c>
      <c r="N186" s="2">
        <v>0</v>
      </c>
      <c r="O186" s="2">
        <v>0</v>
      </c>
      <c r="P186" s="2">
        <v>0</v>
      </c>
      <c r="Q186" s="2">
        <v>0</v>
      </c>
      <c r="R186" s="2">
        <v>90000</v>
      </c>
      <c r="S186" s="2">
        <v>90000</v>
      </c>
      <c r="T186" s="3">
        <v>0.5</v>
      </c>
      <c r="U186" s="1" t="s">
        <v>202</v>
      </c>
      <c r="V186" s="1"/>
      <c r="W186" s="1" t="s">
        <v>63</v>
      </c>
      <c r="X186" s="1" t="s">
        <v>213</v>
      </c>
      <c r="Y186" s="1">
        <v>34</v>
      </c>
      <c r="Z186" s="1"/>
    </row>
    <row r="187" spans="1:26">
      <c r="A187" s="331">
        <v>35668</v>
      </c>
      <c r="B187" s="331">
        <v>26615</v>
      </c>
      <c r="C187" s="305">
        <v>46080</v>
      </c>
      <c r="D187" s="1" t="s">
        <v>521</v>
      </c>
      <c r="E187" s="1" t="s">
        <v>522</v>
      </c>
      <c r="F187" s="1" t="s">
        <v>4</v>
      </c>
      <c r="G187" s="1" t="s">
        <v>324</v>
      </c>
      <c r="H187" s="1" t="s">
        <v>325</v>
      </c>
      <c r="I187" s="1" t="s">
        <v>2897</v>
      </c>
      <c r="J187" s="1" t="s">
        <v>210</v>
      </c>
      <c r="K187" s="1" t="s">
        <v>313</v>
      </c>
      <c r="L187" s="2">
        <v>650000</v>
      </c>
      <c r="M187" s="2">
        <v>325000</v>
      </c>
      <c r="N187" s="2">
        <v>0</v>
      </c>
      <c r="O187" s="2">
        <v>0</v>
      </c>
      <c r="P187" s="2">
        <v>0</v>
      </c>
      <c r="Q187" s="2">
        <v>0</v>
      </c>
      <c r="R187" s="2">
        <v>325000</v>
      </c>
      <c r="S187" s="2">
        <v>325000</v>
      </c>
      <c r="T187" s="3">
        <v>0.5</v>
      </c>
      <c r="U187" s="1" t="s">
        <v>202</v>
      </c>
      <c r="V187" s="1"/>
      <c r="W187" s="1" t="s">
        <v>63</v>
      </c>
      <c r="X187" s="1" t="s">
        <v>213</v>
      </c>
      <c r="Y187" s="1">
        <v>32</v>
      </c>
      <c r="Z187" s="1"/>
    </row>
    <row r="188" spans="1:26">
      <c r="A188" s="331">
        <v>36487</v>
      </c>
      <c r="B188" s="331">
        <v>26616</v>
      </c>
      <c r="C188" s="305">
        <v>46076</v>
      </c>
      <c r="D188" s="1" t="s">
        <v>2365</v>
      </c>
      <c r="E188" s="1" t="s">
        <v>2366</v>
      </c>
      <c r="F188" s="1" t="s">
        <v>2</v>
      </c>
      <c r="G188" s="1">
        <v>890242</v>
      </c>
      <c r="H188" s="1" t="s">
        <v>331</v>
      </c>
      <c r="I188" s="1" t="s">
        <v>332</v>
      </c>
      <c r="J188" s="1" t="s">
        <v>223</v>
      </c>
      <c r="K188" s="1"/>
      <c r="L188" s="2">
        <v>250000</v>
      </c>
      <c r="M188" s="2">
        <v>125000</v>
      </c>
      <c r="N188" s="2">
        <v>0</v>
      </c>
      <c r="O188" s="2">
        <v>0</v>
      </c>
      <c r="P188" s="2">
        <v>0</v>
      </c>
      <c r="Q188" s="2">
        <v>0</v>
      </c>
      <c r="R188" s="2">
        <v>125000</v>
      </c>
      <c r="S188" s="2">
        <v>125000</v>
      </c>
      <c r="T188" s="3">
        <v>0.5</v>
      </c>
      <c r="U188" s="1" t="s">
        <v>202</v>
      </c>
      <c r="V188" s="1"/>
      <c r="W188" s="1" t="s">
        <v>63</v>
      </c>
      <c r="X188" s="1" t="s">
        <v>213</v>
      </c>
      <c r="Y188" s="1">
        <v>0</v>
      </c>
      <c r="Z188" s="1"/>
    </row>
    <row r="189" spans="1:26">
      <c r="A189" s="331">
        <v>36491</v>
      </c>
      <c r="B189" s="331">
        <v>26620</v>
      </c>
      <c r="C189" s="305">
        <v>46076</v>
      </c>
      <c r="D189" s="1" t="s">
        <v>2367</v>
      </c>
      <c r="E189" s="1" t="s">
        <v>2368</v>
      </c>
      <c r="F189" s="1" t="s">
        <v>2</v>
      </c>
      <c r="G189" s="1">
        <v>890242</v>
      </c>
      <c r="H189" s="1" t="s">
        <v>331</v>
      </c>
      <c r="I189" s="1" t="s">
        <v>332</v>
      </c>
      <c r="J189" s="1" t="s">
        <v>223</v>
      </c>
      <c r="K189" s="1"/>
      <c r="L189" s="2">
        <v>250000</v>
      </c>
      <c r="M189" s="2">
        <v>125000</v>
      </c>
      <c r="N189" s="2">
        <v>0</v>
      </c>
      <c r="O189" s="2">
        <v>0</v>
      </c>
      <c r="P189" s="2">
        <v>0</v>
      </c>
      <c r="Q189" s="2">
        <v>0</v>
      </c>
      <c r="R189" s="2">
        <v>125000</v>
      </c>
      <c r="S189" s="2">
        <v>125000</v>
      </c>
      <c r="T189" s="3">
        <v>0.5</v>
      </c>
      <c r="U189" s="1" t="s">
        <v>202</v>
      </c>
      <c r="V189" s="1"/>
      <c r="W189" s="1" t="s">
        <v>63</v>
      </c>
      <c r="X189" s="1" t="s">
        <v>213</v>
      </c>
      <c r="Y189" s="1">
        <v>0</v>
      </c>
      <c r="Z189" s="1"/>
    </row>
    <row r="190" spans="1:26">
      <c r="A190" s="332">
        <v>36484</v>
      </c>
      <c r="B190" s="332">
        <v>26622</v>
      </c>
      <c r="C190" s="38">
        <v>46076</v>
      </c>
      <c r="D190" s="4" t="s">
        <v>777</v>
      </c>
      <c r="E190" s="4" t="s">
        <v>778</v>
      </c>
      <c r="F190" s="4" t="s">
        <v>122</v>
      </c>
      <c r="G190" s="4" t="s">
        <v>586</v>
      </c>
      <c r="H190" s="4" t="s">
        <v>587</v>
      </c>
      <c r="I190" s="4" t="s">
        <v>538</v>
      </c>
      <c r="J190" s="4" t="s">
        <v>200</v>
      </c>
      <c r="K190" s="4" t="s">
        <v>588</v>
      </c>
      <c r="L190" s="5">
        <v>750000</v>
      </c>
      <c r="M190" s="5">
        <v>127500</v>
      </c>
      <c r="N190" s="5">
        <v>0</v>
      </c>
      <c r="O190" s="5">
        <v>0</v>
      </c>
      <c r="P190" s="5">
        <v>0</v>
      </c>
      <c r="Q190" s="5">
        <v>0</v>
      </c>
      <c r="R190" s="5">
        <v>622500</v>
      </c>
      <c r="S190" s="5">
        <v>622500</v>
      </c>
      <c r="T190" s="6" t="s">
        <v>224</v>
      </c>
      <c r="U190" s="1" t="s">
        <v>202</v>
      </c>
      <c r="V190" s="1"/>
      <c r="W190" s="1" t="s">
        <v>63</v>
      </c>
      <c r="X190" s="1" t="s">
        <v>277</v>
      </c>
      <c r="Y190" s="1">
        <v>22</v>
      </c>
      <c r="Z190" s="1"/>
    </row>
    <row r="191" spans="1:26">
      <c r="A191" s="331">
        <v>36494</v>
      </c>
      <c r="B191" s="331">
        <v>26629</v>
      </c>
      <c r="C191" s="305">
        <v>46074</v>
      </c>
      <c r="D191" s="1" t="s">
        <v>2379</v>
      </c>
      <c r="E191" s="1" t="s">
        <v>2380</v>
      </c>
      <c r="F191" s="1" t="s">
        <v>4</v>
      </c>
      <c r="G191" s="1">
        <v>890242</v>
      </c>
      <c r="H191" s="1" t="s">
        <v>331</v>
      </c>
      <c r="I191" s="1" t="s">
        <v>332</v>
      </c>
      <c r="J191" s="1" t="s">
        <v>223</v>
      </c>
      <c r="K191" s="1"/>
      <c r="L191" s="2">
        <v>250000</v>
      </c>
      <c r="M191" s="2">
        <v>125000</v>
      </c>
      <c r="N191" s="2">
        <v>0</v>
      </c>
      <c r="O191" s="2">
        <v>0</v>
      </c>
      <c r="P191" s="2">
        <v>0</v>
      </c>
      <c r="Q191" s="2">
        <v>0</v>
      </c>
      <c r="R191" s="2">
        <v>125000</v>
      </c>
      <c r="S191" s="2">
        <v>125000</v>
      </c>
      <c r="T191" s="3">
        <v>0.5</v>
      </c>
      <c r="U191" s="1" t="s">
        <v>202</v>
      </c>
      <c r="V191" s="1"/>
      <c r="W191" s="1" t="s">
        <v>63</v>
      </c>
      <c r="X191" s="1" t="s">
        <v>213</v>
      </c>
      <c r="Y191" s="1">
        <v>34</v>
      </c>
      <c r="Z191" s="1"/>
    </row>
    <row r="192" spans="1:26">
      <c r="A192" s="331">
        <v>36502</v>
      </c>
      <c r="B192" s="331">
        <v>26644</v>
      </c>
      <c r="C192" s="305">
        <v>46078</v>
      </c>
      <c r="D192" s="1" t="s">
        <v>2910</v>
      </c>
      <c r="E192" s="1" t="s">
        <v>2911</v>
      </c>
      <c r="F192" s="1" t="s">
        <v>4</v>
      </c>
      <c r="G192" s="1">
        <v>890302</v>
      </c>
      <c r="H192" s="1" t="s">
        <v>244</v>
      </c>
      <c r="I192" s="1" t="s">
        <v>222</v>
      </c>
      <c r="J192" s="1" t="s">
        <v>223</v>
      </c>
      <c r="K192" s="1"/>
      <c r="L192" s="2">
        <v>180000</v>
      </c>
      <c r="M192" s="2">
        <v>90000</v>
      </c>
      <c r="N192" s="2">
        <v>0</v>
      </c>
      <c r="O192" s="2">
        <v>0</v>
      </c>
      <c r="P192" s="2">
        <v>0</v>
      </c>
      <c r="Q192" s="2">
        <v>0</v>
      </c>
      <c r="R192" s="2">
        <v>90000</v>
      </c>
      <c r="S192" s="2">
        <v>90000</v>
      </c>
      <c r="T192" s="3">
        <v>0.5</v>
      </c>
      <c r="U192" s="1" t="s">
        <v>202</v>
      </c>
      <c r="V192" s="1"/>
      <c r="W192" s="1" t="s">
        <v>63</v>
      </c>
      <c r="X192" s="1" t="s">
        <v>855</v>
      </c>
      <c r="Y192" s="1">
        <v>44</v>
      </c>
      <c r="Z192" s="1"/>
    </row>
    <row r="193" spans="1:26">
      <c r="A193" s="332">
        <v>36504</v>
      </c>
      <c r="B193" s="332">
        <v>26648</v>
      </c>
      <c r="C193" s="38">
        <v>46076</v>
      </c>
      <c r="D193" s="4" t="s">
        <v>2912</v>
      </c>
      <c r="E193" s="4" t="s">
        <v>2913</v>
      </c>
      <c r="F193" s="4" t="s">
        <v>4</v>
      </c>
      <c r="G193" s="4">
        <v>890303</v>
      </c>
      <c r="H193" s="4" t="s">
        <v>221</v>
      </c>
      <c r="I193" s="4" t="s">
        <v>222</v>
      </c>
      <c r="J193" s="4" t="s">
        <v>223</v>
      </c>
      <c r="K193" s="4"/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6" t="s">
        <v>224</v>
      </c>
      <c r="U193" s="1" t="s">
        <v>202</v>
      </c>
      <c r="V193" s="1"/>
      <c r="W193" s="1" t="s">
        <v>63</v>
      </c>
      <c r="X193" s="1" t="s">
        <v>319</v>
      </c>
      <c r="Y193" s="1">
        <v>68</v>
      </c>
      <c r="Z193" s="1"/>
    </row>
    <row r="194" spans="1:26">
      <c r="A194" s="331">
        <v>36509</v>
      </c>
      <c r="B194" s="331">
        <v>26653</v>
      </c>
      <c r="C194" s="305">
        <v>46073</v>
      </c>
      <c r="D194" s="1" t="s">
        <v>2914</v>
      </c>
      <c r="E194" s="1" t="s">
        <v>2915</v>
      </c>
      <c r="F194" s="1" t="s">
        <v>3</v>
      </c>
      <c r="G194" s="1">
        <v>890242</v>
      </c>
      <c r="H194" s="1" t="s">
        <v>331</v>
      </c>
      <c r="I194" s="1" t="s">
        <v>332</v>
      </c>
      <c r="J194" s="1" t="s">
        <v>223</v>
      </c>
      <c r="K194" s="1"/>
      <c r="L194" s="2">
        <v>250000</v>
      </c>
      <c r="M194" s="2">
        <v>125000</v>
      </c>
      <c r="N194" s="2">
        <v>0</v>
      </c>
      <c r="O194" s="2">
        <v>0</v>
      </c>
      <c r="P194" s="2">
        <v>0</v>
      </c>
      <c r="Q194" s="2">
        <v>0</v>
      </c>
      <c r="R194" s="2">
        <v>125000</v>
      </c>
      <c r="S194" s="2">
        <v>125000</v>
      </c>
      <c r="T194" s="3">
        <v>0.5</v>
      </c>
      <c r="U194" s="1" t="s">
        <v>202</v>
      </c>
      <c r="V194" s="1"/>
      <c r="W194" s="1" t="s">
        <v>63</v>
      </c>
      <c r="X194" s="1" t="s">
        <v>225</v>
      </c>
      <c r="Y194" s="1">
        <v>0</v>
      </c>
      <c r="Z194" s="1"/>
    </row>
    <row r="195" spans="1:26">
      <c r="A195" s="331">
        <v>36510</v>
      </c>
      <c r="B195" s="331">
        <v>26654</v>
      </c>
      <c r="C195" s="305">
        <v>46073</v>
      </c>
      <c r="D195" s="1" t="s">
        <v>2916</v>
      </c>
      <c r="E195" s="1" t="s">
        <v>2917</v>
      </c>
      <c r="F195" s="1" t="s">
        <v>3</v>
      </c>
      <c r="G195" s="1">
        <v>890242</v>
      </c>
      <c r="H195" s="1" t="s">
        <v>331</v>
      </c>
      <c r="I195" s="1" t="s">
        <v>332</v>
      </c>
      <c r="J195" s="1" t="s">
        <v>223</v>
      </c>
      <c r="K195" s="1"/>
      <c r="L195" s="2">
        <v>250000</v>
      </c>
      <c r="M195" s="2">
        <v>125000</v>
      </c>
      <c r="N195" s="2">
        <v>0</v>
      </c>
      <c r="O195" s="2">
        <v>0</v>
      </c>
      <c r="P195" s="2">
        <v>0</v>
      </c>
      <c r="Q195" s="2">
        <v>0</v>
      </c>
      <c r="R195" s="2">
        <v>125000</v>
      </c>
      <c r="S195" s="2">
        <v>125000</v>
      </c>
      <c r="T195" s="3">
        <v>0.5</v>
      </c>
      <c r="U195" s="1" t="s">
        <v>202</v>
      </c>
      <c r="V195" s="1"/>
      <c r="W195" s="1" t="s">
        <v>63</v>
      </c>
      <c r="X195" s="1" t="s">
        <v>277</v>
      </c>
      <c r="Y195" s="1">
        <v>0</v>
      </c>
      <c r="Z195" s="1"/>
    </row>
    <row r="196" spans="1:26">
      <c r="A196" s="331">
        <v>36517</v>
      </c>
      <c r="B196" s="331">
        <v>26671</v>
      </c>
      <c r="C196" s="305">
        <v>46073</v>
      </c>
      <c r="D196" s="1" t="s">
        <v>1424</v>
      </c>
      <c r="E196" s="1" t="s">
        <v>1425</v>
      </c>
      <c r="F196" s="1" t="s">
        <v>126</v>
      </c>
      <c r="G196" s="1">
        <v>890302</v>
      </c>
      <c r="H196" s="1" t="s">
        <v>244</v>
      </c>
      <c r="I196" s="1" t="s">
        <v>222</v>
      </c>
      <c r="J196" s="1" t="s">
        <v>223</v>
      </c>
      <c r="K196" s="1"/>
      <c r="L196" s="2">
        <v>180000</v>
      </c>
      <c r="M196" s="2">
        <v>90000</v>
      </c>
      <c r="N196" s="2">
        <v>0</v>
      </c>
      <c r="O196" s="2">
        <v>0</v>
      </c>
      <c r="P196" s="2">
        <v>0</v>
      </c>
      <c r="Q196" s="2">
        <v>0</v>
      </c>
      <c r="R196" s="2">
        <v>90000</v>
      </c>
      <c r="S196" s="2">
        <v>90000</v>
      </c>
      <c r="T196" s="3">
        <v>0.5</v>
      </c>
      <c r="U196" s="1" t="s">
        <v>202</v>
      </c>
      <c r="V196" s="1"/>
      <c r="W196" s="1" t="s">
        <v>63</v>
      </c>
      <c r="X196" s="1" t="s">
        <v>225</v>
      </c>
      <c r="Y196" s="1">
        <v>23</v>
      </c>
      <c r="Z196" s="1"/>
    </row>
    <row r="197" spans="1:26">
      <c r="A197" s="331">
        <v>36521</v>
      </c>
      <c r="B197" s="331">
        <v>26676</v>
      </c>
      <c r="C197" s="305">
        <v>46074</v>
      </c>
      <c r="D197" s="1" t="s">
        <v>2918</v>
      </c>
      <c r="E197" s="1" t="s">
        <v>2919</v>
      </c>
      <c r="F197" s="1" t="s">
        <v>3</v>
      </c>
      <c r="G197" s="1">
        <v>890302</v>
      </c>
      <c r="H197" s="1" t="s">
        <v>244</v>
      </c>
      <c r="I197" s="1" t="s">
        <v>222</v>
      </c>
      <c r="J197" s="1" t="s">
        <v>223</v>
      </c>
      <c r="K197" s="1"/>
      <c r="L197" s="2">
        <v>250000</v>
      </c>
      <c r="M197" s="2">
        <v>125000</v>
      </c>
      <c r="N197" s="2">
        <v>0</v>
      </c>
      <c r="O197" s="2">
        <v>0</v>
      </c>
      <c r="P197" s="2">
        <v>0</v>
      </c>
      <c r="Q197" s="2">
        <v>0</v>
      </c>
      <c r="R197" s="2">
        <v>125000</v>
      </c>
      <c r="S197" s="2">
        <v>125000</v>
      </c>
      <c r="T197" s="3">
        <v>0.5</v>
      </c>
      <c r="U197" s="1" t="s">
        <v>202</v>
      </c>
      <c r="V197" s="1"/>
      <c r="W197" s="1" t="s">
        <v>63</v>
      </c>
      <c r="X197" s="1" t="s">
        <v>225</v>
      </c>
      <c r="Y197" s="1">
        <v>25</v>
      </c>
      <c r="Z197" s="1"/>
    </row>
    <row r="198" spans="1:26">
      <c r="A198" s="332">
        <v>36523</v>
      </c>
      <c r="B198" s="332">
        <v>26682</v>
      </c>
      <c r="C198" s="38">
        <v>46074</v>
      </c>
      <c r="D198" s="4" t="s">
        <v>2920</v>
      </c>
      <c r="E198" s="4" t="s">
        <v>2921</v>
      </c>
      <c r="F198" s="4" t="s">
        <v>107</v>
      </c>
      <c r="G198" s="4">
        <v>861411</v>
      </c>
      <c r="H198" s="4" t="s">
        <v>406</v>
      </c>
      <c r="I198" s="4" t="s">
        <v>300</v>
      </c>
      <c r="J198" s="4" t="s">
        <v>210</v>
      </c>
      <c r="K198" s="4"/>
      <c r="L198" s="5">
        <v>1150000</v>
      </c>
      <c r="M198" s="5">
        <v>575000</v>
      </c>
      <c r="N198" s="5">
        <v>0</v>
      </c>
      <c r="O198" s="5">
        <v>0</v>
      </c>
      <c r="P198" s="5">
        <v>0</v>
      </c>
      <c r="Q198" s="5">
        <v>0</v>
      </c>
      <c r="R198" s="5">
        <v>575000</v>
      </c>
      <c r="S198" s="5">
        <v>575000</v>
      </c>
      <c r="T198" s="6" t="s">
        <v>224</v>
      </c>
      <c r="U198" s="1" t="s">
        <v>202</v>
      </c>
      <c r="V198" s="1"/>
      <c r="W198" s="1" t="s">
        <v>63</v>
      </c>
      <c r="X198" s="1" t="s">
        <v>204</v>
      </c>
      <c r="Y198" s="1">
        <v>0</v>
      </c>
      <c r="Z198" s="1"/>
    </row>
    <row r="199" spans="1:26">
      <c r="A199" s="332">
        <v>36524</v>
      </c>
      <c r="B199" s="332">
        <v>26683</v>
      </c>
      <c r="C199" s="38">
        <v>46074</v>
      </c>
      <c r="D199" s="4" t="s">
        <v>2922</v>
      </c>
      <c r="E199" s="4" t="s">
        <v>2923</v>
      </c>
      <c r="F199" s="4" t="s">
        <v>107</v>
      </c>
      <c r="G199" s="4">
        <v>861411</v>
      </c>
      <c r="H199" s="4" t="s">
        <v>406</v>
      </c>
      <c r="I199" s="4" t="s">
        <v>300</v>
      </c>
      <c r="J199" s="4" t="s">
        <v>210</v>
      </c>
      <c r="K199" s="4"/>
      <c r="L199" s="5">
        <v>1150000</v>
      </c>
      <c r="M199" s="5">
        <v>575000</v>
      </c>
      <c r="N199" s="5">
        <v>0</v>
      </c>
      <c r="O199" s="5">
        <v>0</v>
      </c>
      <c r="P199" s="5">
        <v>0</v>
      </c>
      <c r="Q199" s="5">
        <v>0</v>
      </c>
      <c r="R199" s="5">
        <v>575000</v>
      </c>
      <c r="S199" s="5">
        <v>575000</v>
      </c>
      <c r="T199" s="6" t="s">
        <v>224</v>
      </c>
      <c r="U199" s="1" t="s">
        <v>202</v>
      </c>
      <c r="V199" s="1"/>
      <c r="W199" s="1" t="s">
        <v>63</v>
      </c>
      <c r="X199" s="1" t="s">
        <v>204</v>
      </c>
      <c r="Y199" s="1">
        <v>0</v>
      </c>
      <c r="Z199" s="1"/>
    </row>
    <row r="200" spans="1:26">
      <c r="A200" s="331">
        <v>36527</v>
      </c>
      <c r="B200" s="331">
        <v>26688</v>
      </c>
      <c r="C200" s="305">
        <v>46077</v>
      </c>
      <c r="D200" s="1" t="s">
        <v>2924</v>
      </c>
      <c r="E200" s="1" t="s">
        <v>2925</v>
      </c>
      <c r="F200" s="1" t="s">
        <v>126</v>
      </c>
      <c r="G200" s="1">
        <v>890242</v>
      </c>
      <c r="H200" s="1" t="s">
        <v>331</v>
      </c>
      <c r="I200" s="1" t="s">
        <v>332</v>
      </c>
      <c r="J200" s="1" t="s">
        <v>223</v>
      </c>
      <c r="K200" s="1"/>
      <c r="L200" s="2">
        <v>250000</v>
      </c>
      <c r="M200" s="2">
        <v>125000</v>
      </c>
      <c r="N200" s="2">
        <v>0</v>
      </c>
      <c r="O200" s="2">
        <v>0</v>
      </c>
      <c r="P200" s="2">
        <v>0</v>
      </c>
      <c r="Q200" s="2">
        <v>0</v>
      </c>
      <c r="R200" s="2">
        <v>125000</v>
      </c>
      <c r="S200" s="2">
        <v>125000</v>
      </c>
      <c r="T200" s="3">
        <v>0.5</v>
      </c>
      <c r="U200" s="1" t="s">
        <v>202</v>
      </c>
      <c r="V200" s="1"/>
      <c r="W200" s="1" t="s">
        <v>63</v>
      </c>
      <c r="X200" s="1" t="s">
        <v>225</v>
      </c>
      <c r="Y200" s="1">
        <v>0</v>
      </c>
      <c r="Z200" s="1"/>
    </row>
    <row r="201" spans="1:26">
      <c r="A201" s="331">
        <v>36529</v>
      </c>
      <c r="B201" s="331">
        <v>26691</v>
      </c>
      <c r="C201" s="305">
        <v>46073</v>
      </c>
      <c r="D201" s="1" t="s">
        <v>2926</v>
      </c>
      <c r="E201" s="1" t="s">
        <v>2927</v>
      </c>
      <c r="F201" s="1" t="s">
        <v>126</v>
      </c>
      <c r="G201" s="1">
        <v>890242</v>
      </c>
      <c r="H201" s="1" t="s">
        <v>331</v>
      </c>
      <c r="I201" s="1" t="s">
        <v>332</v>
      </c>
      <c r="J201" s="1" t="s">
        <v>223</v>
      </c>
      <c r="K201" s="1"/>
      <c r="L201" s="2">
        <v>250000</v>
      </c>
      <c r="M201" s="2">
        <v>125000</v>
      </c>
      <c r="N201" s="2">
        <v>0</v>
      </c>
      <c r="O201" s="2">
        <v>0</v>
      </c>
      <c r="P201" s="2">
        <v>0</v>
      </c>
      <c r="Q201" s="2">
        <v>0</v>
      </c>
      <c r="R201" s="2">
        <v>125000</v>
      </c>
      <c r="S201" s="2">
        <v>125000</v>
      </c>
      <c r="T201" s="3">
        <v>0.5</v>
      </c>
      <c r="U201" s="1" t="s">
        <v>202</v>
      </c>
      <c r="V201" s="1"/>
      <c r="W201" s="1" t="s">
        <v>63</v>
      </c>
      <c r="X201" s="1" t="s">
        <v>213</v>
      </c>
      <c r="Y201" s="1">
        <v>0</v>
      </c>
      <c r="Z201" s="1"/>
    </row>
    <row r="202" spans="1:26">
      <c r="A202" s="331">
        <v>36530</v>
      </c>
      <c r="B202" s="331">
        <v>26692</v>
      </c>
      <c r="C202" s="305">
        <v>46076</v>
      </c>
      <c r="D202" s="1" t="s">
        <v>2928</v>
      </c>
      <c r="E202" s="1" t="s">
        <v>2929</v>
      </c>
      <c r="F202" s="1" t="s">
        <v>126</v>
      </c>
      <c r="G202" s="1">
        <v>890242</v>
      </c>
      <c r="H202" s="1" t="s">
        <v>331</v>
      </c>
      <c r="I202" s="1" t="s">
        <v>332</v>
      </c>
      <c r="J202" s="1" t="s">
        <v>223</v>
      </c>
      <c r="K202" s="1"/>
      <c r="L202" s="2">
        <v>250000</v>
      </c>
      <c r="M202" s="2">
        <v>125000</v>
      </c>
      <c r="N202" s="2">
        <v>0</v>
      </c>
      <c r="O202" s="2">
        <v>0</v>
      </c>
      <c r="P202" s="2">
        <v>0</v>
      </c>
      <c r="Q202" s="2">
        <v>0</v>
      </c>
      <c r="R202" s="2">
        <v>125000</v>
      </c>
      <c r="S202" s="2">
        <v>125000</v>
      </c>
      <c r="T202" s="3">
        <v>0.5</v>
      </c>
      <c r="U202" s="1" t="s">
        <v>202</v>
      </c>
      <c r="V202" s="1"/>
      <c r="W202" s="1" t="s">
        <v>63</v>
      </c>
      <c r="X202" s="1" t="s">
        <v>213</v>
      </c>
      <c r="Y202" s="1">
        <v>0</v>
      </c>
      <c r="Z202" s="1"/>
    </row>
    <row r="203" spans="1:26">
      <c r="A203" s="332">
        <v>36531</v>
      </c>
      <c r="B203" s="332">
        <v>26693</v>
      </c>
      <c r="C203" s="38">
        <v>46074</v>
      </c>
      <c r="D203" s="4" t="s">
        <v>2930</v>
      </c>
      <c r="E203" s="4" t="s">
        <v>2931</v>
      </c>
      <c r="F203" s="4" t="s">
        <v>3</v>
      </c>
      <c r="G203" s="4">
        <v>861411</v>
      </c>
      <c r="H203" s="4" t="s">
        <v>406</v>
      </c>
      <c r="I203" s="4" t="s">
        <v>300</v>
      </c>
      <c r="J203" s="4" t="s">
        <v>210</v>
      </c>
      <c r="K203" s="4"/>
      <c r="L203" s="5">
        <v>1150000</v>
      </c>
      <c r="M203" s="5">
        <v>575000</v>
      </c>
      <c r="N203" s="5">
        <v>0</v>
      </c>
      <c r="O203" s="5">
        <v>0</v>
      </c>
      <c r="P203" s="5">
        <v>0</v>
      </c>
      <c r="Q203" s="5">
        <v>0</v>
      </c>
      <c r="R203" s="5">
        <v>575000</v>
      </c>
      <c r="S203" s="5">
        <v>575000</v>
      </c>
      <c r="T203" s="6" t="s">
        <v>224</v>
      </c>
      <c r="U203" s="1" t="s">
        <v>202</v>
      </c>
      <c r="V203" s="1"/>
      <c r="W203" s="1" t="s">
        <v>63</v>
      </c>
      <c r="X203" s="1" t="s">
        <v>319</v>
      </c>
      <c r="Y203" s="1">
        <v>44</v>
      </c>
      <c r="Z203" s="1"/>
    </row>
    <row r="204" spans="1:26">
      <c r="A204" s="332">
        <v>36532</v>
      </c>
      <c r="B204" s="332">
        <v>26694</v>
      </c>
      <c r="C204" s="38">
        <v>46074</v>
      </c>
      <c r="D204" s="4" t="s">
        <v>2930</v>
      </c>
      <c r="E204" s="4" t="s">
        <v>2931</v>
      </c>
      <c r="F204" s="4" t="s">
        <v>122</v>
      </c>
      <c r="G204" s="4" t="s">
        <v>271</v>
      </c>
      <c r="H204" s="4" t="s">
        <v>272</v>
      </c>
      <c r="I204" s="4" t="s">
        <v>273</v>
      </c>
      <c r="J204" s="4" t="s">
        <v>210</v>
      </c>
      <c r="K204" s="4"/>
      <c r="L204" s="5">
        <v>280000</v>
      </c>
      <c r="M204" s="5">
        <v>47600</v>
      </c>
      <c r="N204" s="5">
        <v>0</v>
      </c>
      <c r="O204" s="5">
        <v>0</v>
      </c>
      <c r="P204" s="5">
        <v>0</v>
      </c>
      <c r="Q204" s="5">
        <v>0</v>
      </c>
      <c r="R204" s="5">
        <v>232400</v>
      </c>
      <c r="S204" s="5">
        <v>232400</v>
      </c>
      <c r="T204" s="6" t="s">
        <v>224</v>
      </c>
      <c r="U204" s="1" t="s">
        <v>202</v>
      </c>
      <c r="V204" s="1"/>
      <c r="W204" s="1" t="s">
        <v>63</v>
      </c>
      <c r="X204" s="1" t="s">
        <v>319</v>
      </c>
      <c r="Y204" s="1">
        <v>44</v>
      </c>
      <c r="Z204" s="1"/>
    </row>
    <row r="205" spans="1:26">
      <c r="A205" s="332">
        <v>25025</v>
      </c>
      <c r="B205" s="332">
        <v>26696</v>
      </c>
      <c r="C205" s="38">
        <v>46074</v>
      </c>
      <c r="D205" s="4" t="s">
        <v>2932</v>
      </c>
      <c r="E205" s="4" t="s">
        <v>2933</v>
      </c>
      <c r="F205" s="4" t="s">
        <v>3</v>
      </c>
      <c r="G205" s="4" t="s">
        <v>2934</v>
      </c>
      <c r="H205" s="4" t="s">
        <v>2935</v>
      </c>
      <c r="I205" s="4" t="s">
        <v>343</v>
      </c>
      <c r="J205" s="4" t="s">
        <v>210</v>
      </c>
      <c r="K205" s="4" t="s">
        <v>344</v>
      </c>
      <c r="L205" s="5">
        <v>700000</v>
      </c>
      <c r="M205" s="5">
        <v>350000</v>
      </c>
      <c r="N205" s="5">
        <v>0</v>
      </c>
      <c r="O205" s="5">
        <v>0</v>
      </c>
      <c r="P205" s="5">
        <v>0</v>
      </c>
      <c r="Q205" s="5">
        <v>0</v>
      </c>
      <c r="R205" s="5">
        <v>350000</v>
      </c>
      <c r="S205" s="5">
        <v>350000</v>
      </c>
      <c r="T205" s="6" t="s">
        <v>224</v>
      </c>
      <c r="U205" s="1" t="s">
        <v>202</v>
      </c>
      <c r="V205" s="1"/>
      <c r="W205" s="1" t="s">
        <v>63</v>
      </c>
      <c r="X205" s="1" t="s">
        <v>277</v>
      </c>
      <c r="Y205" s="1">
        <v>24</v>
      </c>
      <c r="Z205" s="1"/>
    </row>
    <row r="206" spans="1:26">
      <c r="A206" s="332">
        <v>34870</v>
      </c>
      <c r="B206" s="332">
        <v>26698</v>
      </c>
      <c r="C206" s="38">
        <v>46073</v>
      </c>
      <c r="D206" s="4" t="s">
        <v>2936</v>
      </c>
      <c r="E206" s="4" t="s">
        <v>2937</v>
      </c>
      <c r="F206" s="4" t="s">
        <v>3</v>
      </c>
      <c r="G206" s="4" t="s">
        <v>324</v>
      </c>
      <c r="H206" s="4" t="s">
        <v>325</v>
      </c>
      <c r="I206" s="4" t="s">
        <v>2897</v>
      </c>
      <c r="J206" s="4" t="s">
        <v>210</v>
      </c>
      <c r="K206" s="4" t="s">
        <v>313</v>
      </c>
      <c r="L206" s="5">
        <v>650000</v>
      </c>
      <c r="M206" s="5">
        <v>325000</v>
      </c>
      <c r="N206" s="5">
        <v>0</v>
      </c>
      <c r="O206" s="5">
        <v>0</v>
      </c>
      <c r="P206" s="5">
        <v>0</v>
      </c>
      <c r="Q206" s="5">
        <v>0</v>
      </c>
      <c r="R206" s="5">
        <v>325000</v>
      </c>
      <c r="S206" s="5">
        <v>325000</v>
      </c>
      <c r="T206" s="6" t="s">
        <v>224</v>
      </c>
      <c r="U206" s="1" t="s">
        <v>202</v>
      </c>
      <c r="V206" s="1"/>
      <c r="W206" s="1" t="s">
        <v>63</v>
      </c>
      <c r="X206" s="1" t="s">
        <v>225</v>
      </c>
      <c r="Y206" s="1">
        <v>37</v>
      </c>
      <c r="Z206" s="1"/>
    </row>
    <row r="207" spans="1:26">
      <c r="A207" s="332">
        <v>36538</v>
      </c>
      <c r="B207" s="332">
        <v>26704</v>
      </c>
      <c r="C207" s="38">
        <v>46074</v>
      </c>
      <c r="D207" s="4" t="s">
        <v>2938</v>
      </c>
      <c r="E207" s="4" t="s">
        <v>2939</v>
      </c>
      <c r="F207" s="4" t="s">
        <v>106</v>
      </c>
      <c r="G207" s="4" t="s">
        <v>215</v>
      </c>
      <c r="H207" s="4" t="s">
        <v>216</v>
      </c>
      <c r="I207" s="4" t="s">
        <v>199</v>
      </c>
      <c r="J207" s="4" t="s">
        <v>200</v>
      </c>
      <c r="K207" s="4"/>
      <c r="L207" s="5">
        <v>140000</v>
      </c>
      <c r="M207" s="5">
        <v>2800</v>
      </c>
      <c r="N207" s="5">
        <v>0</v>
      </c>
      <c r="O207" s="5">
        <v>0</v>
      </c>
      <c r="P207" s="5">
        <v>0</v>
      </c>
      <c r="Q207" s="5">
        <v>0</v>
      </c>
      <c r="R207" s="5">
        <v>137200</v>
      </c>
      <c r="S207" s="5">
        <v>137200</v>
      </c>
      <c r="T207" s="6" t="s">
        <v>224</v>
      </c>
      <c r="U207" s="1" t="s">
        <v>202</v>
      </c>
      <c r="V207" s="1"/>
      <c r="W207" s="1" t="s">
        <v>63</v>
      </c>
      <c r="X207" s="1" t="s">
        <v>213</v>
      </c>
      <c r="Y207" s="1">
        <v>0</v>
      </c>
      <c r="Z207" s="1"/>
    </row>
    <row r="208" spans="1:26">
      <c r="A208" s="332">
        <v>36541</v>
      </c>
      <c r="B208" s="332">
        <v>26708</v>
      </c>
      <c r="C208" s="38">
        <v>46076</v>
      </c>
      <c r="D208" s="4" t="s">
        <v>589</v>
      </c>
      <c r="E208" s="4" t="s">
        <v>590</v>
      </c>
      <c r="F208" s="4" t="s">
        <v>5</v>
      </c>
      <c r="G208" s="4">
        <v>890303</v>
      </c>
      <c r="H208" s="4" t="s">
        <v>221</v>
      </c>
      <c r="I208" s="4" t="s">
        <v>222</v>
      </c>
      <c r="J208" s="4" t="s">
        <v>223</v>
      </c>
      <c r="K208" s="4"/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6" t="s">
        <v>224</v>
      </c>
      <c r="U208" s="1" t="s">
        <v>202</v>
      </c>
      <c r="V208" s="1"/>
      <c r="W208" s="1" t="s">
        <v>63</v>
      </c>
      <c r="X208" s="1" t="s">
        <v>204</v>
      </c>
      <c r="Y208" s="1">
        <v>29</v>
      </c>
      <c r="Z208" s="1"/>
    </row>
    <row r="209" spans="1:26">
      <c r="A209" s="332">
        <v>36543</v>
      </c>
      <c r="B209" s="332">
        <v>26713</v>
      </c>
      <c r="C209" s="38">
        <v>46076</v>
      </c>
      <c r="D209" s="4" t="s">
        <v>2940</v>
      </c>
      <c r="E209" s="4" t="s">
        <v>2941</v>
      </c>
      <c r="F209" s="4" t="s">
        <v>3</v>
      </c>
      <c r="G209" s="4">
        <v>890303</v>
      </c>
      <c r="H209" s="4" t="s">
        <v>221</v>
      </c>
      <c r="I209" s="4" t="s">
        <v>222</v>
      </c>
      <c r="J209" s="4" t="s">
        <v>223</v>
      </c>
      <c r="K209" s="4"/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6" t="s">
        <v>224</v>
      </c>
      <c r="U209" s="1" t="s">
        <v>202</v>
      </c>
      <c r="V209" s="1"/>
      <c r="W209" s="1" t="s">
        <v>63</v>
      </c>
      <c r="X209" s="1" t="s">
        <v>213</v>
      </c>
      <c r="Y209" s="1">
        <v>24</v>
      </c>
      <c r="Z209" s="1"/>
    </row>
    <row r="210" spans="1:26">
      <c r="A210" s="331">
        <v>36544</v>
      </c>
      <c r="B210" s="331">
        <v>26714</v>
      </c>
      <c r="C210" s="305">
        <v>46073</v>
      </c>
      <c r="D210" s="1" t="s">
        <v>2942</v>
      </c>
      <c r="E210" s="1" t="s">
        <v>2943</v>
      </c>
      <c r="F210" s="1" t="s">
        <v>3</v>
      </c>
      <c r="G210" s="1">
        <v>890242</v>
      </c>
      <c r="H210" s="1" t="s">
        <v>331</v>
      </c>
      <c r="I210" s="1" t="s">
        <v>332</v>
      </c>
      <c r="J210" s="1" t="s">
        <v>223</v>
      </c>
      <c r="K210" s="1"/>
      <c r="L210" s="2">
        <v>250000</v>
      </c>
      <c r="M210" s="2">
        <v>125000</v>
      </c>
      <c r="N210" s="2">
        <v>0</v>
      </c>
      <c r="O210" s="2">
        <v>0</v>
      </c>
      <c r="P210" s="2">
        <v>0</v>
      </c>
      <c r="Q210" s="2">
        <v>0</v>
      </c>
      <c r="R210" s="2">
        <v>125000</v>
      </c>
      <c r="S210" s="2">
        <v>125000</v>
      </c>
      <c r="T210" s="3">
        <v>0.5</v>
      </c>
      <c r="U210" s="1" t="s">
        <v>202</v>
      </c>
      <c r="V210" s="1"/>
      <c r="W210" s="1" t="s">
        <v>63</v>
      </c>
      <c r="X210" s="1" t="s">
        <v>225</v>
      </c>
      <c r="Y210" s="1">
        <v>0</v>
      </c>
      <c r="Z210" s="1"/>
    </row>
    <row r="211" spans="1:26">
      <c r="A211" s="331">
        <v>36546</v>
      </c>
      <c r="B211" s="331">
        <v>26718</v>
      </c>
      <c r="C211" s="305">
        <v>46080</v>
      </c>
      <c r="D211" s="1" t="s">
        <v>2944</v>
      </c>
      <c r="E211" s="1" t="s">
        <v>2945</v>
      </c>
      <c r="F211" s="1" t="s">
        <v>3</v>
      </c>
      <c r="G211" s="1">
        <v>890242</v>
      </c>
      <c r="H211" s="1" t="s">
        <v>331</v>
      </c>
      <c r="I211" s="1" t="s">
        <v>332</v>
      </c>
      <c r="J211" s="1" t="s">
        <v>223</v>
      </c>
      <c r="K211" s="1"/>
      <c r="L211" s="2">
        <v>250000</v>
      </c>
      <c r="M211" s="2">
        <v>125000</v>
      </c>
      <c r="N211" s="2">
        <v>0</v>
      </c>
      <c r="O211" s="2">
        <v>0</v>
      </c>
      <c r="P211" s="2">
        <v>0</v>
      </c>
      <c r="Q211" s="2">
        <v>0</v>
      </c>
      <c r="R211" s="2">
        <v>125000</v>
      </c>
      <c r="S211" s="2">
        <v>125000</v>
      </c>
      <c r="T211" s="3">
        <v>0.5</v>
      </c>
      <c r="U211" s="1" t="s">
        <v>202</v>
      </c>
      <c r="V211" s="1"/>
      <c r="W211" s="1" t="s">
        <v>63</v>
      </c>
      <c r="X211" s="1" t="s">
        <v>213</v>
      </c>
      <c r="Y211" s="1">
        <v>0</v>
      </c>
      <c r="Z211" s="1"/>
    </row>
    <row r="212" spans="1:26">
      <c r="A212" s="331">
        <v>36547</v>
      </c>
      <c r="B212" s="331">
        <v>26720</v>
      </c>
      <c r="C212" s="305">
        <v>46074</v>
      </c>
      <c r="D212" s="1" t="s">
        <v>2946</v>
      </c>
      <c r="E212" s="1" t="s">
        <v>2947</v>
      </c>
      <c r="F212" s="1" t="s">
        <v>4</v>
      </c>
      <c r="G212" s="1">
        <v>890242</v>
      </c>
      <c r="H212" s="1" t="s">
        <v>331</v>
      </c>
      <c r="I212" s="1" t="s">
        <v>332</v>
      </c>
      <c r="J212" s="1" t="s">
        <v>223</v>
      </c>
      <c r="K212" s="1"/>
      <c r="L212" s="2">
        <v>250000</v>
      </c>
      <c r="M212" s="2">
        <v>125000</v>
      </c>
      <c r="N212" s="2">
        <v>0</v>
      </c>
      <c r="O212" s="2">
        <v>0</v>
      </c>
      <c r="P212" s="2">
        <v>0</v>
      </c>
      <c r="Q212" s="2">
        <v>0</v>
      </c>
      <c r="R212" s="2">
        <v>125000</v>
      </c>
      <c r="S212" s="2">
        <v>125000</v>
      </c>
      <c r="T212" s="3">
        <v>0.5</v>
      </c>
      <c r="U212" s="1" t="s">
        <v>202</v>
      </c>
      <c r="V212" s="1"/>
      <c r="W212" s="1" t="s">
        <v>63</v>
      </c>
      <c r="X212" s="1" t="s">
        <v>213</v>
      </c>
      <c r="Y212" s="1">
        <v>0</v>
      </c>
      <c r="Z212" s="1"/>
    </row>
    <row r="213" spans="1:26">
      <c r="A213" s="331">
        <v>36551</v>
      </c>
      <c r="B213" s="331">
        <v>26729</v>
      </c>
      <c r="C213" s="305">
        <v>46073</v>
      </c>
      <c r="D213" s="1" t="s">
        <v>2948</v>
      </c>
      <c r="E213" s="1" t="s">
        <v>2949</v>
      </c>
      <c r="F213" s="1" t="s">
        <v>4</v>
      </c>
      <c r="G213" s="1">
        <v>890242</v>
      </c>
      <c r="H213" s="1" t="s">
        <v>331</v>
      </c>
      <c r="I213" s="1" t="s">
        <v>332</v>
      </c>
      <c r="J213" s="1" t="s">
        <v>223</v>
      </c>
      <c r="K213" s="1"/>
      <c r="L213" s="2">
        <v>250000</v>
      </c>
      <c r="M213" s="2">
        <v>125000</v>
      </c>
      <c r="N213" s="2">
        <v>0</v>
      </c>
      <c r="O213" s="2">
        <v>0</v>
      </c>
      <c r="P213" s="2">
        <v>0</v>
      </c>
      <c r="Q213" s="2">
        <v>0</v>
      </c>
      <c r="R213" s="2">
        <v>125000</v>
      </c>
      <c r="S213" s="2">
        <v>125000</v>
      </c>
      <c r="T213" s="3">
        <v>0.5</v>
      </c>
      <c r="U213" s="1" t="s">
        <v>202</v>
      </c>
      <c r="V213" s="1"/>
      <c r="W213" s="1" t="s">
        <v>63</v>
      </c>
      <c r="X213" s="1" t="s">
        <v>213</v>
      </c>
      <c r="Y213" s="1">
        <v>0</v>
      </c>
      <c r="Z213" s="1"/>
    </row>
    <row r="214" spans="1:26">
      <c r="A214" s="332">
        <v>24227</v>
      </c>
      <c r="B214" s="332">
        <v>26734</v>
      </c>
      <c r="C214" s="38">
        <v>46074</v>
      </c>
      <c r="D214" s="4" t="s">
        <v>2950</v>
      </c>
      <c r="E214" s="4" t="s">
        <v>2951</v>
      </c>
      <c r="F214" s="4" t="s">
        <v>3</v>
      </c>
      <c r="G214" s="4">
        <v>861411</v>
      </c>
      <c r="H214" s="4" t="s">
        <v>406</v>
      </c>
      <c r="I214" s="4" t="s">
        <v>300</v>
      </c>
      <c r="J214" s="4" t="s">
        <v>210</v>
      </c>
      <c r="K214" s="4"/>
      <c r="L214" s="5">
        <v>1150000</v>
      </c>
      <c r="M214" s="5">
        <v>575000</v>
      </c>
      <c r="N214" s="5">
        <v>0</v>
      </c>
      <c r="O214" s="5">
        <v>0</v>
      </c>
      <c r="P214" s="5">
        <v>0</v>
      </c>
      <c r="Q214" s="5">
        <v>0</v>
      </c>
      <c r="R214" s="5">
        <v>575000</v>
      </c>
      <c r="S214" s="5">
        <v>575000</v>
      </c>
      <c r="T214" s="6" t="s">
        <v>224</v>
      </c>
      <c r="U214" s="1" t="s">
        <v>202</v>
      </c>
      <c r="V214" s="1"/>
      <c r="W214" s="1" t="s">
        <v>63</v>
      </c>
      <c r="X214" s="1" t="s">
        <v>248</v>
      </c>
      <c r="Y214" s="1">
        <v>51</v>
      </c>
      <c r="Z214" s="1"/>
    </row>
    <row r="215" spans="1:26">
      <c r="A215" s="332">
        <v>36560</v>
      </c>
      <c r="B215" s="332">
        <v>26741</v>
      </c>
      <c r="C215" s="38">
        <v>46078</v>
      </c>
      <c r="D215" s="4" t="s">
        <v>2952</v>
      </c>
      <c r="E215" s="4" t="s">
        <v>2953</v>
      </c>
      <c r="F215" s="4" t="s">
        <v>122</v>
      </c>
      <c r="G215" s="4" t="s">
        <v>1961</v>
      </c>
      <c r="H215" s="4" t="s">
        <v>1962</v>
      </c>
      <c r="I215" s="4" t="s">
        <v>538</v>
      </c>
      <c r="J215" s="4" t="s">
        <v>200</v>
      </c>
      <c r="K215" s="4"/>
      <c r="L215" s="5">
        <v>1176000</v>
      </c>
      <c r="M215" s="5">
        <v>199920</v>
      </c>
      <c r="N215" s="5">
        <v>0</v>
      </c>
      <c r="O215" s="5">
        <v>0</v>
      </c>
      <c r="P215" s="5">
        <v>0</v>
      </c>
      <c r="Q215" s="5">
        <v>0</v>
      </c>
      <c r="R215" s="5">
        <v>976080</v>
      </c>
      <c r="S215" s="5">
        <v>976080</v>
      </c>
      <c r="T215" s="6" t="s">
        <v>224</v>
      </c>
      <c r="U215" s="1" t="s">
        <v>202</v>
      </c>
      <c r="V215" s="1"/>
      <c r="W215" s="1" t="s">
        <v>63</v>
      </c>
      <c r="X215" s="1" t="s">
        <v>213</v>
      </c>
      <c r="Y215" s="1">
        <v>0</v>
      </c>
      <c r="Z215" s="1"/>
    </row>
    <row r="216" spans="1:26">
      <c r="A216" s="332">
        <v>33996</v>
      </c>
      <c r="B216" s="332">
        <v>26742</v>
      </c>
      <c r="C216" s="38">
        <v>46077</v>
      </c>
      <c r="D216" s="4" t="s">
        <v>756</v>
      </c>
      <c r="E216" s="4" t="s">
        <v>757</v>
      </c>
      <c r="F216" s="4" t="s">
        <v>2</v>
      </c>
      <c r="G216" s="4" t="s">
        <v>391</v>
      </c>
      <c r="H216" s="4" t="s">
        <v>392</v>
      </c>
      <c r="I216" s="4" t="s">
        <v>257</v>
      </c>
      <c r="J216" s="4" t="s">
        <v>210</v>
      </c>
      <c r="K216" s="4"/>
      <c r="L216" s="5">
        <v>500000</v>
      </c>
      <c r="M216" s="5">
        <v>250000</v>
      </c>
      <c r="N216" s="5">
        <v>0</v>
      </c>
      <c r="O216" s="5">
        <v>0</v>
      </c>
      <c r="P216" s="5">
        <v>0</v>
      </c>
      <c r="Q216" s="5">
        <v>0</v>
      </c>
      <c r="R216" s="5">
        <v>250000</v>
      </c>
      <c r="S216" s="5">
        <v>250000</v>
      </c>
      <c r="T216" s="6" t="s">
        <v>224</v>
      </c>
      <c r="U216" s="1" t="s">
        <v>202</v>
      </c>
      <c r="V216" s="1"/>
      <c r="W216" s="1" t="s">
        <v>63</v>
      </c>
      <c r="X216" s="1" t="s">
        <v>277</v>
      </c>
      <c r="Y216" s="1">
        <v>33</v>
      </c>
      <c r="Z216" s="1"/>
    </row>
    <row r="217" spans="1:26">
      <c r="A217" s="331">
        <v>36561</v>
      </c>
      <c r="B217" s="331">
        <v>26743</v>
      </c>
      <c r="C217" s="305">
        <v>46077</v>
      </c>
      <c r="D217" s="1" t="s">
        <v>2954</v>
      </c>
      <c r="E217" s="1" t="s">
        <v>2955</v>
      </c>
      <c r="F217" s="1" t="s">
        <v>3</v>
      </c>
      <c r="G217" s="1">
        <v>890242</v>
      </c>
      <c r="H217" s="1" t="s">
        <v>331</v>
      </c>
      <c r="I217" s="1" t="s">
        <v>332</v>
      </c>
      <c r="J217" s="1" t="s">
        <v>223</v>
      </c>
      <c r="K217" s="1"/>
      <c r="L217" s="2">
        <v>250000</v>
      </c>
      <c r="M217" s="2">
        <v>125000</v>
      </c>
      <c r="N217" s="2">
        <v>0</v>
      </c>
      <c r="O217" s="2">
        <v>0</v>
      </c>
      <c r="P217" s="2">
        <v>0</v>
      </c>
      <c r="Q217" s="2">
        <v>0</v>
      </c>
      <c r="R217" s="2">
        <v>125000</v>
      </c>
      <c r="S217" s="2">
        <v>125000</v>
      </c>
      <c r="T217" s="3">
        <v>0.5</v>
      </c>
      <c r="U217" s="1" t="s">
        <v>202</v>
      </c>
      <c r="V217" s="1"/>
      <c r="W217" s="1" t="s">
        <v>63</v>
      </c>
      <c r="X217" s="1" t="s">
        <v>213</v>
      </c>
      <c r="Y217" s="1">
        <v>0</v>
      </c>
      <c r="Z217" s="1"/>
    </row>
    <row r="218" spans="1:26">
      <c r="A218" s="332">
        <v>36563</v>
      </c>
      <c r="B218" s="332">
        <v>26747</v>
      </c>
      <c r="C218" s="38">
        <v>46076</v>
      </c>
      <c r="D218" s="4" t="s">
        <v>2344</v>
      </c>
      <c r="E218" s="4" t="s">
        <v>2345</v>
      </c>
      <c r="F218" s="4" t="s">
        <v>2</v>
      </c>
      <c r="G218" s="4" t="s">
        <v>2956</v>
      </c>
      <c r="H218" s="4" t="s">
        <v>2957</v>
      </c>
      <c r="I218" s="4" t="s">
        <v>349</v>
      </c>
      <c r="J218" s="4" t="s">
        <v>210</v>
      </c>
      <c r="K218" s="4"/>
      <c r="L218" s="5">
        <v>1500000</v>
      </c>
      <c r="M218" s="5">
        <v>750000</v>
      </c>
      <c r="N218" s="5">
        <v>0</v>
      </c>
      <c r="O218" s="5">
        <v>0</v>
      </c>
      <c r="P218" s="5">
        <v>0</v>
      </c>
      <c r="Q218" s="5">
        <v>0</v>
      </c>
      <c r="R218" s="5">
        <v>750000</v>
      </c>
      <c r="S218" s="5">
        <v>750000</v>
      </c>
      <c r="T218" s="6" t="s">
        <v>224</v>
      </c>
      <c r="U218" s="1" t="s">
        <v>202</v>
      </c>
      <c r="V218" s="1"/>
      <c r="W218" s="1" t="s">
        <v>63</v>
      </c>
      <c r="X218" s="1" t="s">
        <v>213</v>
      </c>
      <c r="Y218" s="1">
        <v>38</v>
      </c>
      <c r="Z218" s="1"/>
    </row>
    <row r="219" spans="1:26">
      <c r="A219" s="332">
        <v>36566</v>
      </c>
      <c r="B219" s="332">
        <v>26754</v>
      </c>
      <c r="C219" s="38">
        <v>46079</v>
      </c>
      <c r="D219" s="4" t="s">
        <v>2107</v>
      </c>
      <c r="E219" s="4" t="s">
        <v>2108</v>
      </c>
      <c r="F219" s="4" t="s">
        <v>4</v>
      </c>
      <c r="G219" s="4" t="s">
        <v>326</v>
      </c>
      <c r="H219" s="4" t="s">
        <v>327</v>
      </c>
      <c r="I219" s="4" t="s">
        <v>297</v>
      </c>
      <c r="J219" s="4" t="s">
        <v>210</v>
      </c>
      <c r="K219" s="4"/>
      <c r="L219" s="5">
        <v>1200000</v>
      </c>
      <c r="M219" s="5">
        <v>600000</v>
      </c>
      <c r="N219" s="5">
        <v>0</v>
      </c>
      <c r="O219" s="5">
        <v>0</v>
      </c>
      <c r="P219" s="5">
        <v>0</v>
      </c>
      <c r="Q219" s="5">
        <v>0</v>
      </c>
      <c r="R219" s="5">
        <v>600000</v>
      </c>
      <c r="S219" s="5">
        <v>600000</v>
      </c>
      <c r="T219" s="6" t="s">
        <v>224</v>
      </c>
      <c r="U219" s="1" t="s">
        <v>202</v>
      </c>
      <c r="V219" s="1"/>
      <c r="W219" s="1" t="s">
        <v>63</v>
      </c>
      <c r="X219" s="1" t="s">
        <v>225</v>
      </c>
      <c r="Y219" s="1">
        <v>47</v>
      </c>
      <c r="Z219" s="1"/>
    </row>
    <row r="220" spans="1:26">
      <c r="A220" s="331">
        <v>36567</v>
      </c>
      <c r="B220" s="331">
        <v>26755</v>
      </c>
      <c r="C220" s="305">
        <v>46073</v>
      </c>
      <c r="D220" s="1" t="s">
        <v>1274</v>
      </c>
      <c r="E220" s="1" t="s">
        <v>1275</v>
      </c>
      <c r="F220" s="1" t="s">
        <v>5</v>
      </c>
      <c r="G220" s="1">
        <v>890304</v>
      </c>
      <c r="H220" s="1" t="s">
        <v>913</v>
      </c>
      <c r="I220" s="1" t="s">
        <v>332</v>
      </c>
      <c r="J220" s="1" t="s">
        <v>223</v>
      </c>
      <c r="K220" s="1"/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3">
        <v>0</v>
      </c>
      <c r="U220" s="1" t="s">
        <v>202</v>
      </c>
      <c r="V220" s="1"/>
      <c r="W220" s="1" t="s">
        <v>63</v>
      </c>
      <c r="X220" s="1" t="s">
        <v>225</v>
      </c>
      <c r="Y220" s="1">
        <v>23</v>
      </c>
      <c r="Z220" s="1"/>
    </row>
    <row r="221" spans="1:26">
      <c r="A221" s="331">
        <v>36568</v>
      </c>
      <c r="B221" s="331">
        <v>26756</v>
      </c>
      <c r="C221" s="305">
        <v>46077</v>
      </c>
      <c r="D221" s="1" t="s">
        <v>2958</v>
      </c>
      <c r="E221" s="1" t="s">
        <v>2959</v>
      </c>
      <c r="F221" s="1" t="s">
        <v>2</v>
      </c>
      <c r="G221" s="1">
        <v>890242</v>
      </c>
      <c r="H221" s="1" t="s">
        <v>331</v>
      </c>
      <c r="I221" s="1" t="s">
        <v>332</v>
      </c>
      <c r="J221" s="1" t="s">
        <v>223</v>
      </c>
      <c r="K221" s="1"/>
      <c r="L221" s="2">
        <v>250000</v>
      </c>
      <c r="M221" s="2">
        <v>125000</v>
      </c>
      <c r="N221" s="2">
        <v>0</v>
      </c>
      <c r="O221" s="2">
        <v>0</v>
      </c>
      <c r="P221" s="2">
        <v>0</v>
      </c>
      <c r="Q221" s="2">
        <v>0</v>
      </c>
      <c r="R221" s="2">
        <v>125000</v>
      </c>
      <c r="S221" s="2">
        <v>125000</v>
      </c>
      <c r="T221" s="3">
        <v>0.5</v>
      </c>
      <c r="U221" s="1" t="s">
        <v>202</v>
      </c>
      <c r="V221" s="1"/>
      <c r="W221" s="1" t="s">
        <v>63</v>
      </c>
      <c r="X221" s="1" t="s">
        <v>213</v>
      </c>
      <c r="Y221" s="1">
        <v>0</v>
      </c>
      <c r="Z221" s="1"/>
    </row>
    <row r="222" spans="1:26">
      <c r="A222" s="331">
        <v>36571</v>
      </c>
      <c r="B222" s="331">
        <v>26759</v>
      </c>
      <c r="C222" s="305">
        <v>46073</v>
      </c>
      <c r="D222" s="1" t="s">
        <v>2960</v>
      </c>
      <c r="E222" s="1" t="s">
        <v>2961</v>
      </c>
      <c r="F222" s="1" t="s">
        <v>3</v>
      </c>
      <c r="G222" s="1">
        <v>890242</v>
      </c>
      <c r="H222" s="1" t="s">
        <v>331</v>
      </c>
      <c r="I222" s="1" t="s">
        <v>332</v>
      </c>
      <c r="J222" s="1" t="s">
        <v>223</v>
      </c>
      <c r="K222" s="1"/>
      <c r="L222" s="2">
        <v>250000</v>
      </c>
      <c r="M222" s="2">
        <v>125000</v>
      </c>
      <c r="N222" s="2">
        <v>0</v>
      </c>
      <c r="O222" s="2">
        <v>0</v>
      </c>
      <c r="P222" s="2">
        <v>0</v>
      </c>
      <c r="Q222" s="2">
        <v>0</v>
      </c>
      <c r="R222" s="2">
        <v>125000</v>
      </c>
      <c r="S222" s="2">
        <v>125000</v>
      </c>
      <c r="T222" s="3">
        <v>0.5</v>
      </c>
      <c r="U222" s="1" t="s">
        <v>202</v>
      </c>
      <c r="V222" s="1"/>
      <c r="W222" s="1" t="s">
        <v>63</v>
      </c>
      <c r="X222" s="1" t="s">
        <v>277</v>
      </c>
      <c r="Y222" s="1">
        <v>0</v>
      </c>
      <c r="Z222" s="1"/>
    </row>
    <row r="223" spans="1:26">
      <c r="A223" s="332">
        <v>35824</v>
      </c>
      <c r="B223" s="332">
        <v>26762</v>
      </c>
      <c r="C223" s="38">
        <v>46078</v>
      </c>
      <c r="D223" s="4" t="s">
        <v>1430</v>
      </c>
      <c r="E223" s="4" t="s">
        <v>1431</v>
      </c>
      <c r="F223" s="4" t="s">
        <v>107</v>
      </c>
      <c r="G223" s="4">
        <v>861427</v>
      </c>
      <c r="H223" s="4" t="s">
        <v>2962</v>
      </c>
      <c r="I223" s="4" t="s">
        <v>300</v>
      </c>
      <c r="J223" s="4" t="s">
        <v>210</v>
      </c>
      <c r="K223" s="4"/>
      <c r="L223" s="5">
        <v>1100000</v>
      </c>
      <c r="M223" s="5">
        <v>550000</v>
      </c>
      <c r="N223" s="5">
        <v>0</v>
      </c>
      <c r="O223" s="5">
        <v>0</v>
      </c>
      <c r="P223" s="5">
        <v>0</v>
      </c>
      <c r="Q223" s="5">
        <v>0</v>
      </c>
      <c r="R223" s="5">
        <v>550000</v>
      </c>
      <c r="S223" s="5">
        <v>550000</v>
      </c>
      <c r="T223" s="6" t="s">
        <v>224</v>
      </c>
      <c r="U223" s="1" t="s">
        <v>202</v>
      </c>
      <c r="V223" s="1"/>
      <c r="W223" s="1" t="s">
        <v>63</v>
      </c>
      <c r="X223" s="1" t="s">
        <v>204</v>
      </c>
      <c r="Y223" s="1">
        <v>84</v>
      </c>
      <c r="Z223" s="1"/>
    </row>
    <row r="224" spans="1:26">
      <c r="A224" s="331">
        <v>36575</v>
      </c>
      <c r="B224" s="331">
        <v>26766</v>
      </c>
      <c r="C224" s="305">
        <v>46074</v>
      </c>
      <c r="D224" s="1" t="s">
        <v>2963</v>
      </c>
      <c r="E224" s="1" t="s">
        <v>2964</v>
      </c>
      <c r="F224" s="1" t="s">
        <v>4</v>
      </c>
      <c r="G224" s="1">
        <v>890242</v>
      </c>
      <c r="H224" s="1" t="s">
        <v>331</v>
      </c>
      <c r="I224" s="1" t="s">
        <v>332</v>
      </c>
      <c r="J224" s="1" t="s">
        <v>223</v>
      </c>
      <c r="K224" s="1"/>
      <c r="L224" s="2">
        <v>250000</v>
      </c>
      <c r="M224" s="2">
        <v>125000</v>
      </c>
      <c r="N224" s="2">
        <v>0</v>
      </c>
      <c r="O224" s="2">
        <v>0</v>
      </c>
      <c r="P224" s="2">
        <v>0</v>
      </c>
      <c r="Q224" s="2">
        <v>0</v>
      </c>
      <c r="R224" s="2">
        <v>125000</v>
      </c>
      <c r="S224" s="2">
        <v>125000</v>
      </c>
      <c r="T224" s="3">
        <v>0.5</v>
      </c>
      <c r="U224" s="1" t="s">
        <v>202</v>
      </c>
      <c r="V224" s="1"/>
      <c r="W224" s="1" t="s">
        <v>63</v>
      </c>
      <c r="X224" s="1" t="s">
        <v>225</v>
      </c>
      <c r="Y224" s="1">
        <v>0</v>
      </c>
      <c r="Z224" s="1"/>
    </row>
    <row r="225" spans="1:26">
      <c r="A225" s="331">
        <v>36583</v>
      </c>
      <c r="B225" s="331">
        <v>26777</v>
      </c>
      <c r="C225" s="305">
        <v>46077</v>
      </c>
      <c r="D225" s="1" t="s">
        <v>2965</v>
      </c>
      <c r="E225" s="1" t="s">
        <v>2966</v>
      </c>
      <c r="F225" s="1" t="s">
        <v>126</v>
      </c>
      <c r="G225" s="1">
        <v>890242</v>
      </c>
      <c r="H225" s="1" t="s">
        <v>331</v>
      </c>
      <c r="I225" s="1" t="s">
        <v>332</v>
      </c>
      <c r="J225" s="1" t="s">
        <v>223</v>
      </c>
      <c r="K225" s="1"/>
      <c r="L225" s="2">
        <v>250000</v>
      </c>
      <c r="M225" s="2">
        <v>125000</v>
      </c>
      <c r="N225" s="2">
        <v>0</v>
      </c>
      <c r="O225" s="2">
        <v>0</v>
      </c>
      <c r="P225" s="2">
        <v>0</v>
      </c>
      <c r="Q225" s="2">
        <v>0</v>
      </c>
      <c r="R225" s="2">
        <v>125000</v>
      </c>
      <c r="S225" s="2">
        <v>125000</v>
      </c>
      <c r="T225" s="3">
        <v>0.5</v>
      </c>
      <c r="U225" s="1" t="s">
        <v>202</v>
      </c>
      <c r="V225" s="1"/>
      <c r="W225" s="1" t="s">
        <v>63</v>
      </c>
      <c r="X225" s="1" t="s">
        <v>213</v>
      </c>
      <c r="Y225" s="1">
        <v>0</v>
      </c>
      <c r="Z225" s="1"/>
    </row>
    <row r="226" spans="1:26">
      <c r="A226" s="332">
        <v>36584</v>
      </c>
      <c r="B226" s="332">
        <v>26778</v>
      </c>
      <c r="C226" s="38">
        <v>46073</v>
      </c>
      <c r="D226" s="4" t="s">
        <v>2113</v>
      </c>
      <c r="E226" s="4" t="s">
        <v>2114</v>
      </c>
      <c r="F226" s="4" t="s">
        <v>4</v>
      </c>
      <c r="G226" s="4" t="s">
        <v>654</v>
      </c>
      <c r="H226" s="4" t="s">
        <v>655</v>
      </c>
      <c r="I226" s="4" t="s">
        <v>246</v>
      </c>
      <c r="J226" s="4" t="s">
        <v>210</v>
      </c>
      <c r="K226" s="4"/>
      <c r="L226" s="5">
        <v>540000</v>
      </c>
      <c r="M226" s="5">
        <v>264600</v>
      </c>
      <c r="N226" s="5">
        <v>0</v>
      </c>
      <c r="O226" s="5">
        <v>0</v>
      </c>
      <c r="P226" s="5">
        <v>0</v>
      </c>
      <c r="Q226" s="5">
        <v>0</v>
      </c>
      <c r="R226" s="5">
        <v>275400</v>
      </c>
      <c r="S226" s="5">
        <v>264600</v>
      </c>
      <c r="T226" s="6" t="s">
        <v>224</v>
      </c>
      <c r="U226" s="1" t="s">
        <v>202</v>
      </c>
      <c r="V226" s="1" t="s">
        <v>2967</v>
      </c>
      <c r="W226" s="1" t="s">
        <v>202</v>
      </c>
      <c r="X226" s="1" t="s">
        <v>225</v>
      </c>
      <c r="Y226" s="1">
        <v>39</v>
      </c>
      <c r="Z226" s="1" t="s">
        <v>2968</v>
      </c>
    </row>
    <row r="227" spans="1:26">
      <c r="A227" s="331">
        <v>36586</v>
      </c>
      <c r="B227" s="331">
        <v>26783</v>
      </c>
      <c r="C227" s="305">
        <v>46073</v>
      </c>
      <c r="D227" s="1" t="s">
        <v>2969</v>
      </c>
      <c r="E227" s="1" t="s">
        <v>2970</v>
      </c>
      <c r="F227" s="1" t="s">
        <v>3</v>
      </c>
      <c r="G227" s="1">
        <v>890242</v>
      </c>
      <c r="H227" s="1" t="s">
        <v>331</v>
      </c>
      <c r="I227" s="1" t="s">
        <v>332</v>
      </c>
      <c r="J227" s="1" t="s">
        <v>223</v>
      </c>
      <c r="K227" s="1"/>
      <c r="L227" s="2">
        <v>250000</v>
      </c>
      <c r="M227" s="2">
        <v>125000</v>
      </c>
      <c r="N227" s="2">
        <v>0</v>
      </c>
      <c r="O227" s="2">
        <v>0</v>
      </c>
      <c r="P227" s="2">
        <v>0</v>
      </c>
      <c r="Q227" s="2">
        <v>0</v>
      </c>
      <c r="R227" s="2">
        <v>125000</v>
      </c>
      <c r="S227" s="2">
        <v>125000</v>
      </c>
      <c r="T227" s="3">
        <v>0.5</v>
      </c>
      <c r="U227" s="1" t="s">
        <v>202</v>
      </c>
      <c r="V227" s="1"/>
      <c r="W227" s="1" t="s">
        <v>63</v>
      </c>
      <c r="X227" s="1" t="s">
        <v>277</v>
      </c>
      <c r="Y227" s="1">
        <v>0</v>
      </c>
      <c r="Z227" s="1"/>
    </row>
    <row r="228" spans="1:26">
      <c r="A228" s="331">
        <v>36590</v>
      </c>
      <c r="B228" s="331">
        <v>26790</v>
      </c>
      <c r="C228" s="305">
        <v>46077</v>
      </c>
      <c r="D228" s="1" t="s">
        <v>2971</v>
      </c>
      <c r="E228" s="1" t="s">
        <v>2972</v>
      </c>
      <c r="F228" s="1" t="s">
        <v>2</v>
      </c>
      <c r="G228" s="1">
        <v>890242</v>
      </c>
      <c r="H228" s="1" t="s">
        <v>331</v>
      </c>
      <c r="I228" s="1" t="s">
        <v>332</v>
      </c>
      <c r="J228" s="1" t="s">
        <v>223</v>
      </c>
      <c r="K228" s="1"/>
      <c r="L228" s="2">
        <v>250000</v>
      </c>
      <c r="M228" s="2">
        <v>125000</v>
      </c>
      <c r="N228" s="2">
        <v>0</v>
      </c>
      <c r="O228" s="2">
        <v>0</v>
      </c>
      <c r="P228" s="2">
        <v>0</v>
      </c>
      <c r="Q228" s="2">
        <v>0</v>
      </c>
      <c r="R228" s="2">
        <v>125000</v>
      </c>
      <c r="S228" s="2">
        <v>125000</v>
      </c>
      <c r="T228" s="3">
        <v>0.5</v>
      </c>
      <c r="U228" s="1" t="s">
        <v>202</v>
      </c>
      <c r="V228" s="1"/>
      <c r="W228" s="1" t="s">
        <v>63</v>
      </c>
      <c r="X228" s="1" t="s">
        <v>213</v>
      </c>
      <c r="Y228" s="1">
        <v>26</v>
      </c>
      <c r="Z228" s="1"/>
    </row>
    <row r="229" spans="1:26">
      <c r="A229" s="331">
        <v>36592</v>
      </c>
      <c r="B229" s="331">
        <v>26793</v>
      </c>
      <c r="C229" s="305">
        <v>46076</v>
      </c>
      <c r="D229" s="1" t="s">
        <v>2973</v>
      </c>
      <c r="E229" s="1" t="s">
        <v>2974</v>
      </c>
      <c r="F229" s="1" t="s">
        <v>4</v>
      </c>
      <c r="G229" s="1">
        <v>890242</v>
      </c>
      <c r="H229" s="1" t="s">
        <v>331</v>
      </c>
      <c r="I229" s="1" t="s">
        <v>332</v>
      </c>
      <c r="J229" s="1" t="s">
        <v>223</v>
      </c>
      <c r="K229" s="1"/>
      <c r="L229" s="2">
        <v>250000</v>
      </c>
      <c r="M229" s="2">
        <v>125000</v>
      </c>
      <c r="N229" s="2">
        <v>0</v>
      </c>
      <c r="O229" s="2">
        <v>0</v>
      </c>
      <c r="P229" s="2">
        <v>0</v>
      </c>
      <c r="Q229" s="2">
        <v>0</v>
      </c>
      <c r="R229" s="2">
        <v>125000</v>
      </c>
      <c r="S229" s="2">
        <v>125000</v>
      </c>
      <c r="T229" s="3">
        <v>0.5</v>
      </c>
      <c r="U229" s="1" t="s">
        <v>202</v>
      </c>
      <c r="V229" s="1"/>
      <c r="W229" s="1" t="s">
        <v>63</v>
      </c>
      <c r="X229" s="1" t="s">
        <v>248</v>
      </c>
      <c r="Y229" s="1">
        <v>0</v>
      </c>
      <c r="Z229" s="1"/>
    </row>
    <row r="230" spans="1:26">
      <c r="A230" s="332">
        <v>26644</v>
      </c>
      <c r="B230" s="332">
        <v>26794</v>
      </c>
      <c r="C230" s="38">
        <v>46076</v>
      </c>
      <c r="D230" s="4" t="s">
        <v>1303</v>
      </c>
      <c r="E230" s="4" t="s">
        <v>1304</v>
      </c>
      <c r="F230" s="4" t="s">
        <v>122</v>
      </c>
      <c r="G230" s="4" t="s">
        <v>215</v>
      </c>
      <c r="H230" s="4" t="s">
        <v>216</v>
      </c>
      <c r="I230" s="4" t="s">
        <v>199</v>
      </c>
      <c r="J230" s="4" t="s">
        <v>200</v>
      </c>
      <c r="K230" s="4"/>
      <c r="L230" s="5">
        <v>75000</v>
      </c>
      <c r="M230" s="5">
        <v>1500</v>
      </c>
      <c r="N230" s="5">
        <v>0</v>
      </c>
      <c r="O230" s="5">
        <v>0</v>
      </c>
      <c r="P230" s="5">
        <v>0</v>
      </c>
      <c r="Q230" s="5">
        <v>0</v>
      </c>
      <c r="R230" s="5">
        <v>73500</v>
      </c>
      <c r="S230" s="5">
        <v>73500</v>
      </c>
      <c r="T230" s="6" t="s">
        <v>224</v>
      </c>
      <c r="U230" s="1" t="s">
        <v>202</v>
      </c>
      <c r="V230" s="1"/>
      <c r="W230" s="1" t="s">
        <v>63</v>
      </c>
      <c r="X230" s="1" t="s">
        <v>225</v>
      </c>
      <c r="Y230" s="1">
        <v>26</v>
      </c>
      <c r="Z230" s="1"/>
    </row>
    <row r="231" spans="1:26">
      <c r="A231" s="331">
        <v>36596</v>
      </c>
      <c r="B231" s="331">
        <v>26800</v>
      </c>
      <c r="C231" s="305">
        <v>46080</v>
      </c>
      <c r="D231" s="1" t="s">
        <v>2975</v>
      </c>
      <c r="E231" s="1" t="s">
        <v>2976</v>
      </c>
      <c r="F231" s="1" t="s">
        <v>126</v>
      </c>
      <c r="G231" s="1">
        <v>890242</v>
      </c>
      <c r="H231" s="1" t="s">
        <v>331</v>
      </c>
      <c r="I231" s="1" t="s">
        <v>332</v>
      </c>
      <c r="J231" s="1" t="s">
        <v>223</v>
      </c>
      <c r="K231" s="1"/>
      <c r="L231" s="2">
        <v>250000</v>
      </c>
      <c r="M231" s="2">
        <v>125000</v>
      </c>
      <c r="N231" s="2">
        <v>0</v>
      </c>
      <c r="O231" s="2">
        <v>0</v>
      </c>
      <c r="P231" s="2">
        <v>0</v>
      </c>
      <c r="Q231" s="2">
        <v>0</v>
      </c>
      <c r="R231" s="2">
        <v>125000</v>
      </c>
      <c r="S231" s="2">
        <v>125000</v>
      </c>
      <c r="T231" s="3">
        <v>0.5</v>
      </c>
      <c r="U231" s="1" t="s">
        <v>202</v>
      </c>
      <c r="V231" s="1"/>
      <c r="W231" s="1" t="s">
        <v>63</v>
      </c>
      <c r="X231" s="1" t="s">
        <v>319</v>
      </c>
      <c r="Y231" s="1">
        <v>18</v>
      </c>
      <c r="Z231" s="1"/>
    </row>
    <row r="232" spans="1:26">
      <c r="A232" s="331">
        <v>36598</v>
      </c>
      <c r="B232" s="331">
        <v>26802</v>
      </c>
      <c r="C232" s="305">
        <v>46077</v>
      </c>
      <c r="D232" s="1" t="s">
        <v>2977</v>
      </c>
      <c r="E232" s="1" t="s">
        <v>2978</v>
      </c>
      <c r="F232" s="1" t="s">
        <v>126</v>
      </c>
      <c r="G232" s="1">
        <v>890242</v>
      </c>
      <c r="H232" s="1" t="s">
        <v>331</v>
      </c>
      <c r="I232" s="1" t="s">
        <v>332</v>
      </c>
      <c r="J232" s="1" t="s">
        <v>223</v>
      </c>
      <c r="K232" s="1"/>
      <c r="L232" s="2">
        <v>250000</v>
      </c>
      <c r="M232" s="2">
        <v>125000</v>
      </c>
      <c r="N232" s="2">
        <v>0</v>
      </c>
      <c r="O232" s="2">
        <v>0</v>
      </c>
      <c r="P232" s="2">
        <v>0</v>
      </c>
      <c r="Q232" s="2">
        <v>0</v>
      </c>
      <c r="R232" s="2">
        <v>125000</v>
      </c>
      <c r="S232" s="2">
        <v>125000</v>
      </c>
      <c r="T232" s="3">
        <v>0.5</v>
      </c>
      <c r="U232" s="1" t="s">
        <v>202</v>
      </c>
      <c r="V232" s="1"/>
      <c r="W232" s="1" t="s">
        <v>63</v>
      </c>
      <c r="X232" s="1" t="s">
        <v>213</v>
      </c>
      <c r="Y232" s="1">
        <v>0</v>
      </c>
      <c r="Z232" s="1"/>
    </row>
    <row r="233" spans="1:26">
      <c r="A233" s="332">
        <v>25941</v>
      </c>
      <c r="B233" s="332">
        <v>26805</v>
      </c>
      <c r="C233" s="38">
        <v>46077</v>
      </c>
      <c r="D233" s="4" t="s">
        <v>1349</v>
      </c>
      <c r="E233" s="4" t="s">
        <v>1350</v>
      </c>
      <c r="F233" s="4" t="s">
        <v>2</v>
      </c>
      <c r="G233" s="4" t="s">
        <v>451</v>
      </c>
      <c r="H233" s="4" t="s">
        <v>452</v>
      </c>
      <c r="I233" s="4" t="s">
        <v>2901</v>
      </c>
      <c r="J233" s="4" t="s">
        <v>210</v>
      </c>
      <c r="K233" s="4" t="s">
        <v>328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6" t="s">
        <v>224</v>
      </c>
      <c r="U233" s="1" t="s">
        <v>202</v>
      </c>
      <c r="V233" s="1"/>
      <c r="W233" s="1" t="s">
        <v>63</v>
      </c>
      <c r="X233" s="1" t="s">
        <v>319</v>
      </c>
      <c r="Y233" s="1">
        <v>44</v>
      </c>
      <c r="Z233" s="1"/>
    </row>
    <row r="234" spans="1:26">
      <c r="A234" s="332">
        <v>36173</v>
      </c>
      <c r="B234" s="332">
        <v>26806</v>
      </c>
      <c r="C234" s="38">
        <v>46077</v>
      </c>
      <c r="D234" s="4" t="s">
        <v>1524</v>
      </c>
      <c r="E234" s="4" t="s">
        <v>1525</v>
      </c>
      <c r="F234" s="4" t="s">
        <v>2</v>
      </c>
      <c r="G234" s="4" t="s">
        <v>499</v>
      </c>
      <c r="H234" s="4" t="s">
        <v>500</v>
      </c>
      <c r="I234" s="4" t="s">
        <v>343</v>
      </c>
      <c r="J234" s="4" t="s">
        <v>210</v>
      </c>
      <c r="K234" s="4" t="s">
        <v>344</v>
      </c>
      <c r="L234" s="5">
        <v>650000</v>
      </c>
      <c r="M234" s="5">
        <v>325000</v>
      </c>
      <c r="N234" s="5">
        <v>0</v>
      </c>
      <c r="O234" s="5">
        <v>0</v>
      </c>
      <c r="P234" s="5">
        <v>0</v>
      </c>
      <c r="Q234" s="5">
        <v>0</v>
      </c>
      <c r="R234" s="5">
        <v>325000</v>
      </c>
      <c r="S234" s="5">
        <v>325000</v>
      </c>
      <c r="T234" s="6" t="s">
        <v>224</v>
      </c>
      <c r="U234" s="1" t="s">
        <v>202</v>
      </c>
      <c r="V234" s="1"/>
      <c r="W234" s="1" t="s">
        <v>63</v>
      </c>
      <c r="X234" s="1" t="s">
        <v>225</v>
      </c>
      <c r="Y234" s="1">
        <v>73</v>
      </c>
      <c r="Z234" s="1"/>
    </row>
    <row r="235" spans="1:26">
      <c r="A235" s="332">
        <v>23271</v>
      </c>
      <c r="B235" s="332">
        <v>26807</v>
      </c>
      <c r="C235" s="38">
        <v>46075</v>
      </c>
      <c r="D235" s="4" t="s">
        <v>2979</v>
      </c>
      <c r="E235" s="4" t="s">
        <v>2980</v>
      </c>
      <c r="F235" s="4" t="s">
        <v>122</v>
      </c>
      <c r="G235" s="4" t="s">
        <v>215</v>
      </c>
      <c r="H235" s="4" t="s">
        <v>216</v>
      </c>
      <c r="I235" s="4" t="s">
        <v>199</v>
      </c>
      <c r="J235" s="4" t="s">
        <v>200</v>
      </c>
      <c r="K235" s="4"/>
      <c r="L235" s="5">
        <v>140000</v>
      </c>
      <c r="M235" s="5">
        <v>2800</v>
      </c>
      <c r="N235" s="5">
        <v>0</v>
      </c>
      <c r="O235" s="5">
        <v>0</v>
      </c>
      <c r="P235" s="5">
        <v>0</v>
      </c>
      <c r="Q235" s="5">
        <v>0</v>
      </c>
      <c r="R235" s="5">
        <v>137200</v>
      </c>
      <c r="S235" s="5">
        <v>137200</v>
      </c>
      <c r="T235" s="6" t="s">
        <v>224</v>
      </c>
      <c r="U235" s="1" t="s">
        <v>202</v>
      </c>
      <c r="V235" s="1"/>
      <c r="W235" s="1" t="s">
        <v>63</v>
      </c>
      <c r="X235" s="1" t="s">
        <v>225</v>
      </c>
      <c r="Y235" s="1">
        <v>32</v>
      </c>
      <c r="Z235" s="1"/>
    </row>
    <row r="236" spans="1:26">
      <c r="A236" s="332">
        <v>23271</v>
      </c>
      <c r="B236" s="332">
        <v>26809</v>
      </c>
      <c r="C236" s="38">
        <v>46075</v>
      </c>
      <c r="D236" s="4" t="s">
        <v>2979</v>
      </c>
      <c r="E236" s="4" t="s">
        <v>2980</v>
      </c>
      <c r="F236" s="4" t="s">
        <v>122</v>
      </c>
      <c r="G236" s="4" t="s">
        <v>242</v>
      </c>
      <c r="H236" s="4" t="s">
        <v>243</v>
      </c>
      <c r="I236" s="4" t="s">
        <v>199</v>
      </c>
      <c r="J236" s="4" t="s">
        <v>200</v>
      </c>
      <c r="K236" s="4" t="s">
        <v>201</v>
      </c>
      <c r="L236" s="5">
        <v>140000</v>
      </c>
      <c r="M236" s="5">
        <v>23800</v>
      </c>
      <c r="N236" s="5">
        <v>0</v>
      </c>
      <c r="O236" s="5">
        <v>0</v>
      </c>
      <c r="P236" s="5">
        <v>0</v>
      </c>
      <c r="Q236" s="5">
        <v>0</v>
      </c>
      <c r="R236" s="5">
        <v>116200</v>
      </c>
      <c r="S236" s="5">
        <v>116200</v>
      </c>
      <c r="T236" s="6" t="s">
        <v>224</v>
      </c>
      <c r="U236" s="1" t="s">
        <v>202</v>
      </c>
      <c r="V236" s="1"/>
      <c r="W236" s="1" t="s">
        <v>63</v>
      </c>
      <c r="X236" s="1" t="s">
        <v>225</v>
      </c>
      <c r="Y236" s="1">
        <v>32</v>
      </c>
      <c r="Z236" s="1"/>
    </row>
    <row r="237" spans="1:26">
      <c r="A237" s="331">
        <v>20151</v>
      </c>
      <c r="B237" s="331">
        <v>26810</v>
      </c>
      <c r="C237" s="305">
        <v>46078</v>
      </c>
      <c r="D237" s="1" t="s">
        <v>812</v>
      </c>
      <c r="E237" s="1" t="s">
        <v>813</v>
      </c>
      <c r="F237" s="1" t="s">
        <v>122</v>
      </c>
      <c r="G237" s="1" t="s">
        <v>242</v>
      </c>
      <c r="H237" s="1" t="s">
        <v>243</v>
      </c>
      <c r="I237" s="1" t="s">
        <v>199</v>
      </c>
      <c r="J237" s="1" t="s">
        <v>200</v>
      </c>
      <c r="K237" s="1" t="s">
        <v>201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3">
        <v>0</v>
      </c>
      <c r="U237" s="1" t="s">
        <v>202</v>
      </c>
      <c r="V237" s="1"/>
      <c r="W237" s="1" t="s">
        <v>63</v>
      </c>
      <c r="X237" s="1" t="s">
        <v>225</v>
      </c>
      <c r="Y237" s="1">
        <v>25</v>
      </c>
      <c r="Z237" s="1"/>
    </row>
    <row r="238" spans="1:26">
      <c r="A238" s="331">
        <v>20151</v>
      </c>
      <c r="B238" s="331">
        <v>26814</v>
      </c>
      <c r="C238" s="305">
        <v>46078</v>
      </c>
      <c r="D238" s="1" t="s">
        <v>812</v>
      </c>
      <c r="E238" s="1" t="s">
        <v>813</v>
      </c>
      <c r="F238" s="1" t="s">
        <v>122</v>
      </c>
      <c r="G238" s="1" t="s">
        <v>935</v>
      </c>
      <c r="H238" s="1" t="s">
        <v>936</v>
      </c>
      <c r="I238" s="1" t="s">
        <v>937</v>
      </c>
      <c r="J238" s="1" t="s">
        <v>200</v>
      </c>
      <c r="K238" s="1" t="s">
        <v>938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3">
        <v>0</v>
      </c>
      <c r="U238" s="1" t="s">
        <v>202</v>
      </c>
      <c r="V238" s="1"/>
      <c r="W238" s="1" t="s">
        <v>63</v>
      </c>
      <c r="X238" s="1" t="s">
        <v>225</v>
      </c>
      <c r="Y238" s="1">
        <v>25</v>
      </c>
      <c r="Z238" s="1"/>
    </row>
    <row r="239" spans="1:26">
      <c r="A239" s="332">
        <v>36604</v>
      </c>
      <c r="B239" s="332">
        <v>26817</v>
      </c>
      <c r="C239" s="38">
        <v>46073</v>
      </c>
      <c r="D239" s="4" t="s">
        <v>1314</v>
      </c>
      <c r="E239" s="4" t="s">
        <v>1941</v>
      </c>
      <c r="F239" s="4" t="s">
        <v>2</v>
      </c>
      <c r="G239" s="4">
        <v>868118</v>
      </c>
      <c r="H239" s="4" t="s">
        <v>618</v>
      </c>
      <c r="I239" s="4" t="s">
        <v>282</v>
      </c>
      <c r="J239" s="4" t="s">
        <v>210</v>
      </c>
      <c r="K239" s="4"/>
      <c r="L239" s="5">
        <v>2500000</v>
      </c>
      <c r="M239" s="5">
        <v>1250000</v>
      </c>
      <c r="N239" s="5">
        <v>0</v>
      </c>
      <c r="O239" s="5">
        <v>0</v>
      </c>
      <c r="P239" s="5">
        <v>0</v>
      </c>
      <c r="Q239" s="5">
        <v>0</v>
      </c>
      <c r="R239" s="5">
        <v>1250000</v>
      </c>
      <c r="S239" s="5">
        <v>1250000</v>
      </c>
      <c r="T239" s="6" t="s">
        <v>224</v>
      </c>
      <c r="U239" s="1" t="s">
        <v>202</v>
      </c>
      <c r="V239" s="1"/>
      <c r="W239" s="1" t="s">
        <v>63</v>
      </c>
      <c r="X239" s="1" t="s">
        <v>225</v>
      </c>
      <c r="Y239" s="1">
        <v>39</v>
      </c>
      <c r="Z239" s="1"/>
    </row>
    <row r="240" spans="1:26">
      <c r="A240" s="331">
        <v>36607</v>
      </c>
      <c r="B240" s="331">
        <v>26822</v>
      </c>
      <c r="C240" s="305">
        <v>46077</v>
      </c>
      <c r="D240" s="1" t="s">
        <v>2981</v>
      </c>
      <c r="E240" s="1" t="s">
        <v>2982</v>
      </c>
      <c r="F240" s="1" t="s">
        <v>3</v>
      </c>
      <c r="G240" s="1">
        <v>890242</v>
      </c>
      <c r="H240" s="1" t="s">
        <v>331</v>
      </c>
      <c r="I240" s="1" t="s">
        <v>332</v>
      </c>
      <c r="J240" s="1" t="s">
        <v>223</v>
      </c>
      <c r="K240" s="1"/>
      <c r="L240" s="2">
        <v>250000</v>
      </c>
      <c r="M240" s="2">
        <v>125000</v>
      </c>
      <c r="N240" s="2">
        <v>0</v>
      </c>
      <c r="O240" s="2">
        <v>0</v>
      </c>
      <c r="P240" s="2">
        <v>0</v>
      </c>
      <c r="Q240" s="2">
        <v>0</v>
      </c>
      <c r="R240" s="2">
        <v>125000</v>
      </c>
      <c r="S240" s="2">
        <v>125000</v>
      </c>
      <c r="T240" s="3">
        <v>0.5</v>
      </c>
      <c r="U240" s="1" t="s">
        <v>202</v>
      </c>
      <c r="V240" s="1"/>
      <c r="W240" s="1" t="s">
        <v>63</v>
      </c>
      <c r="X240" s="1" t="s">
        <v>213</v>
      </c>
      <c r="Y240" s="1">
        <v>0</v>
      </c>
      <c r="Z240" s="1"/>
    </row>
    <row r="241" spans="1:26">
      <c r="A241" s="331">
        <v>36609</v>
      </c>
      <c r="B241" s="331">
        <v>26825</v>
      </c>
      <c r="C241" s="305">
        <v>46076</v>
      </c>
      <c r="D241" s="1" t="s">
        <v>2983</v>
      </c>
      <c r="E241" s="1" t="s">
        <v>2984</v>
      </c>
      <c r="F241" s="1" t="s">
        <v>3</v>
      </c>
      <c r="G241" s="1">
        <v>890242</v>
      </c>
      <c r="H241" s="1" t="s">
        <v>331</v>
      </c>
      <c r="I241" s="1" t="s">
        <v>332</v>
      </c>
      <c r="J241" s="1" t="s">
        <v>223</v>
      </c>
      <c r="K241" s="1"/>
      <c r="L241" s="2">
        <v>250000</v>
      </c>
      <c r="M241" s="2">
        <v>125000</v>
      </c>
      <c r="N241" s="2">
        <v>0</v>
      </c>
      <c r="O241" s="2">
        <v>0</v>
      </c>
      <c r="P241" s="2">
        <v>0</v>
      </c>
      <c r="Q241" s="2">
        <v>0</v>
      </c>
      <c r="R241" s="2">
        <v>125000</v>
      </c>
      <c r="S241" s="2">
        <v>125000</v>
      </c>
      <c r="T241" s="3">
        <v>0.5</v>
      </c>
      <c r="U241" s="1" t="s">
        <v>202</v>
      </c>
      <c r="V241" s="1"/>
      <c r="W241" s="1" t="s">
        <v>63</v>
      </c>
      <c r="X241" s="1" t="s">
        <v>213</v>
      </c>
      <c r="Y241" s="1">
        <v>0</v>
      </c>
      <c r="Z241" s="1"/>
    </row>
    <row r="242" spans="1:26">
      <c r="A242" s="331">
        <v>36611</v>
      </c>
      <c r="B242" s="331">
        <v>26827</v>
      </c>
      <c r="C242" s="305">
        <v>46076</v>
      </c>
      <c r="D242" s="1" t="s">
        <v>2985</v>
      </c>
      <c r="E242" s="1" t="s">
        <v>2986</v>
      </c>
      <c r="F242" s="1" t="s">
        <v>4</v>
      </c>
      <c r="G242" s="1">
        <v>890242</v>
      </c>
      <c r="H242" s="1" t="s">
        <v>331</v>
      </c>
      <c r="I242" s="1" t="s">
        <v>332</v>
      </c>
      <c r="J242" s="1" t="s">
        <v>223</v>
      </c>
      <c r="K242" s="1"/>
      <c r="L242" s="2">
        <v>250000</v>
      </c>
      <c r="M242" s="2">
        <v>125000</v>
      </c>
      <c r="N242" s="2">
        <v>0</v>
      </c>
      <c r="O242" s="2">
        <v>0</v>
      </c>
      <c r="P242" s="2">
        <v>0</v>
      </c>
      <c r="Q242" s="2">
        <v>0</v>
      </c>
      <c r="R242" s="2">
        <v>125000</v>
      </c>
      <c r="S242" s="2">
        <v>125000</v>
      </c>
      <c r="T242" s="3">
        <v>0.5</v>
      </c>
      <c r="U242" s="1" t="s">
        <v>202</v>
      </c>
      <c r="V242" s="1"/>
      <c r="W242" s="1" t="s">
        <v>63</v>
      </c>
      <c r="X242" s="1" t="s">
        <v>213</v>
      </c>
      <c r="Y242" s="1">
        <v>0</v>
      </c>
      <c r="Z242" s="1"/>
    </row>
    <row r="243" spans="1:26">
      <c r="A243" s="332">
        <v>36612</v>
      </c>
      <c r="B243" s="332">
        <v>26828</v>
      </c>
      <c r="C243" s="38">
        <v>46078</v>
      </c>
      <c r="D243" s="4" t="s">
        <v>897</v>
      </c>
      <c r="E243" s="4" t="s">
        <v>2776</v>
      </c>
      <c r="F243" s="4" t="s">
        <v>2</v>
      </c>
      <c r="G243" s="4" t="s">
        <v>301</v>
      </c>
      <c r="H243" s="4" t="s">
        <v>302</v>
      </c>
      <c r="I243" s="4" t="s">
        <v>267</v>
      </c>
      <c r="J243" s="4" t="s">
        <v>210</v>
      </c>
      <c r="K243" s="4"/>
      <c r="L243" s="5">
        <v>2100000</v>
      </c>
      <c r="M243" s="5">
        <v>1050000</v>
      </c>
      <c r="N243" s="5">
        <v>0</v>
      </c>
      <c r="O243" s="5">
        <v>0</v>
      </c>
      <c r="P243" s="5">
        <v>0</v>
      </c>
      <c r="Q243" s="5">
        <v>0</v>
      </c>
      <c r="R243" s="5">
        <v>1050000</v>
      </c>
      <c r="S243" s="5">
        <v>1050000</v>
      </c>
      <c r="T243" s="6" t="s">
        <v>224</v>
      </c>
      <c r="U243" s="1" t="s">
        <v>202</v>
      </c>
      <c r="V243" s="1"/>
      <c r="W243" s="1" t="s">
        <v>63</v>
      </c>
      <c r="X243" s="1" t="s">
        <v>213</v>
      </c>
      <c r="Y243" s="1">
        <v>31</v>
      </c>
      <c r="Z243" s="1"/>
    </row>
    <row r="244" spans="1:26">
      <c r="A244" s="332">
        <v>36612</v>
      </c>
      <c r="B244" s="332">
        <v>26829</v>
      </c>
      <c r="C244" s="38">
        <v>46078</v>
      </c>
      <c r="D244" s="4" t="s">
        <v>897</v>
      </c>
      <c r="E244" s="4" t="s">
        <v>2776</v>
      </c>
      <c r="F244" s="4" t="s">
        <v>2</v>
      </c>
      <c r="G244" s="4" t="s">
        <v>326</v>
      </c>
      <c r="H244" s="4" t="s">
        <v>327</v>
      </c>
      <c r="I244" s="4" t="s">
        <v>297</v>
      </c>
      <c r="J244" s="4" t="s">
        <v>210</v>
      </c>
      <c r="K244" s="4" t="s">
        <v>328</v>
      </c>
      <c r="L244" s="5">
        <v>1200000</v>
      </c>
      <c r="M244" s="5">
        <v>600000</v>
      </c>
      <c r="N244" s="5">
        <v>0</v>
      </c>
      <c r="O244" s="5">
        <v>0</v>
      </c>
      <c r="P244" s="5">
        <v>0</v>
      </c>
      <c r="Q244" s="5">
        <v>0</v>
      </c>
      <c r="R244" s="5">
        <v>600000</v>
      </c>
      <c r="S244" s="5">
        <v>600000</v>
      </c>
      <c r="T244" s="6" t="s">
        <v>224</v>
      </c>
      <c r="U244" s="1" t="s">
        <v>202</v>
      </c>
      <c r="V244" s="1"/>
      <c r="W244" s="1" t="s">
        <v>63</v>
      </c>
      <c r="X244" s="1" t="s">
        <v>213</v>
      </c>
      <c r="Y244" s="1">
        <v>31</v>
      </c>
      <c r="Z244" s="1"/>
    </row>
    <row r="245" spans="1:26">
      <c r="A245" s="332">
        <v>25977</v>
      </c>
      <c r="B245" s="332">
        <v>26830</v>
      </c>
      <c r="C245" s="38">
        <v>46076</v>
      </c>
      <c r="D245" s="4" t="s">
        <v>2987</v>
      </c>
      <c r="E245" s="4" t="s">
        <v>2988</v>
      </c>
      <c r="F245" s="4" t="s">
        <v>2</v>
      </c>
      <c r="G245" s="4" t="s">
        <v>301</v>
      </c>
      <c r="H245" s="4" t="s">
        <v>302</v>
      </c>
      <c r="I245" s="4" t="s">
        <v>267</v>
      </c>
      <c r="J245" s="4" t="s">
        <v>210</v>
      </c>
      <c r="K245" s="4" t="s">
        <v>268</v>
      </c>
      <c r="L245" s="5">
        <v>2100000</v>
      </c>
      <c r="M245" s="5">
        <v>1050000</v>
      </c>
      <c r="N245" s="5">
        <v>0</v>
      </c>
      <c r="O245" s="5">
        <v>0</v>
      </c>
      <c r="P245" s="5">
        <v>0</v>
      </c>
      <c r="Q245" s="5">
        <v>0</v>
      </c>
      <c r="R245" s="5">
        <v>1050000</v>
      </c>
      <c r="S245" s="5">
        <v>1050000</v>
      </c>
      <c r="T245" s="6" t="s">
        <v>224</v>
      </c>
      <c r="U245" s="1" t="s">
        <v>202</v>
      </c>
      <c r="V245" s="1"/>
      <c r="W245" s="1" t="s">
        <v>63</v>
      </c>
      <c r="X245" s="1" t="s">
        <v>213</v>
      </c>
      <c r="Y245" s="1">
        <v>28</v>
      </c>
      <c r="Z245" s="1"/>
    </row>
    <row r="246" spans="1:26">
      <c r="A246" s="332">
        <v>36351</v>
      </c>
      <c r="B246" s="332">
        <v>26831</v>
      </c>
      <c r="C246" s="38">
        <v>46074</v>
      </c>
      <c r="D246" s="4" t="s">
        <v>2059</v>
      </c>
      <c r="E246" s="4" t="s">
        <v>2060</v>
      </c>
      <c r="F246" s="4" t="s">
        <v>122</v>
      </c>
      <c r="G246" s="4" t="s">
        <v>1286</v>
      </c>
      <c r="H246" s="4" t="s">
        <v>1287</v>
      </c>
      <c r="I246" s="4" t="s">
        <v>937</v>
      </c>
      <c r="J246" s="4" t="s">
        <v>200</v>
      </c>
      <c r="K246" s="4" t="s">
        <v>938</v>
      </c>
      <c r="L246" s="5">
        <v>150000</v>
      </c>
      <c r="M246" s="5">
        <v>25500</v>
      </c>
      <c r="N246" s="5">
        <v>0</v>
      </c>
      <c r="O246" s="5">
        <v>0</v>
      </c>
      <c r="P246" s="5">
        <v>0</v>
      </c>
      <c r="Q246" s="5">
        <v>0</v>
      </c>
      <c r="R246" s="5">
        <v>124500</v>
      </c>
      <c r="S246" s="5">
        <v>124500</v>
      </c>
      <c r="T246" s="6" t="s">
        <v>224</v>
      </c>
      <c r="U246" s="1" t="s">
        <v>202</v>
      </c>
      <c r="V246" s="1"/>
      <c r="W246" s="1" t="s">
        <v>63</v>
      </c>
      <c r="X246" s="1" t="s">
        <v>213</v>
      </c>
      <c r="Y246" s="1">
        <v>35</v>
      </c>
      <c r="Z246" s="1"/>
    </row>
    <row r="247" spans="1:26">
      <c r="A247" s="331">
        <v>36613</v>
      </c>
      <c r="B247" s="331">
        <v>26832</v>
      </c>
      <c r="C247" s="305">
        <v>46073</v>
      </c>
      <c r="D247" s="1" t="s">
        <v>2989</v>
      </c>
      <c r="E247" s="1" t="s">
        <v>2990</v>
      </c>
      <c r="F247" s="1" t="s">
        <v>3</v>
      </c>
      <c r="G247" s="1">
        <v>890242</v>
      </c>
      <c r="H247" s="1" t="s">
        <v>331</v>
      </c>
      <c r="I247" s="1" t="s">
        <v>332</v>
      </c>
      <c r="J247" s="1" t="s">
        <v>223</v>
      </c>
      <c r="K247" s="1"/>
      <c r="L247" s="2">
        <v>250000</v>
      </c>
      <c r="M247" s="2">
        <v>125000</v>
      </c>
      <c r="N247" s="2">
        <v>0</v>
      </c>
      <c r="O247" s="2">
        <v>0</v>
      </c>
      <c r="P247" s="2">
        <v>0</v>
      </c>
      <c r="Q247" s="2">
        <v>0</v>
      </c>
      <c r="R247" s="2">
        <v>125000</v>
      </c>
      <c r="S247" s="2">
        <v>125000</v>
      </c>
      <c r="T247" s="3">
        <v>0.5</v>
      </c>
      <c r="U247" s="1" t="s">
        <v>202</v>
      </c>
      <c r="V247" s="1"/>
      <c r="W247" s="1" t="s">
        <v>63</v>
      </c>
      <c r="X247" s="1" t="s">
        <v>204</v>
      </c>
      <c r="Y247" s="1">
        <v>0</v>
      </c>
      <c r="Z247" s="1"/>
    </row>
    <row r="248" spans="1:26">
      <c r="A248" s="331">
        <v>36614</v>
      </c>
      <c r="B248" s="331">
        <v>26833</v>
      </c>
      <c r="C248" s="305">
        <v>46077</v>
      </c>
      <c r="D248" s="1" t="s">
        <v>2991</v>
      </c>
      <c r="E248" s="1" t="s">
        <v>2992</v>
      </c>
      <c r="F248" s="1" t="s">
        <v>126</v>
      </c>
      <c r="G248" s="1">
        <v>890242</v>
      </c>
      <c r="H248" s="1" t="s">
        <v>331</v>
      </c>
      <c r="I248" s="1" t="s">
        <v>332</v>
      </c>
      <c r="J248" s="1" t="s">
        <v>223</v>
      </c>
      <c r="K248" s="1"/>
      <c r="L248" s="2">
        <v>250000</v>
      </c>
      <c r="M248" s="2">
        <v>125000</v>
      </c>
      <c r="N248" s="2">
        <v>0</v>
      </c>
      <c r="O248" s="2">
        <v>0</v>
      </c>
      <c r="P248" s="2">
        <v>0</v>
      </c>
      <c r="Q248" s="2">
        <v>0</v>
      </c>
      <c r="R248" s="2">
        <v>125000</v>
      </c>
      <c r="S248" s="2">
        <v>125000</v>
      </c>
      <c r="T248" s="3">
        <v>0.5</v>
      </c>
      <c r="U248" s="1" t="s">
        <v>202</v>
      </c>
      <c r="V248" s="1"/>
      <c r="W248" s="1" t="s">
        <v>63</v>
      </c>
      <c r="X248" s="1" t="s">
        <v>213</v>
      </c>
      <c r="Y248" s="1">
        <v>0</v>
      </c>
      <c r="Z248" s="1"/>
    </row>
    <row r="249" spans="1:26">
      <c r="A249" s="332">
        <v>36615</v>
      </c>
      <c r="B249" s="332">
        <v>26835</v>
      </c>
      <c r="C249" s="38">
        <v>46073</v>
      </c>
      <c r="D249" s="4" t="s">
        <v>1561</v>
      </c>
      <c r="E249" s="4" t="s">
        <v>1562</v>
      </c>
      <c r="F249" s="4" t="s">
        <v>126</v>
      </c>
      <c r="G249" s="4">
        <v>890303</v>
      </c>
      <c r="H249" s="4" t="s">
        <v>221</v>
      </c>
      <c r="I249" s="4" t="s">
        <v>222</v>
      </c>
      <c r="J249" s="4" t="s">
        <v>223</v>
      </c>
      <c r="K249" s="4"/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6" t="s">
        <v>224</v>
      </c>
      <c r="U249" s="1" t="s">
        <v>202</v>
      </c>
      <c r="V249" s="1"/>
      <c r="W249" s="1" t="s">
        <v>63</v>
      </c>
      <c r="X249" s="1" t="s">
        <v>277</v>
      </c>
      <c r="Y249" s="1">
        <v>42</v>
      </c>
      <c r="Z249" s="1"/>
    </row>
    <row r="250" spans="1:26">
      <c r="A250" s="332">
        <v>36617</v>
      </c>
      <c r="B250" s="332">
        <v>26837</v>
      </c>
      <c r="C250" s="38">
        <v>46078</v>
      </c>
      <c r="D250" s="4" t="s">
        <v>2993</v>
      </c>
      <c r="E250" s="4" t="s">
        <v>2994</v>
      </c>
      <c r="F250" s="4" t="s">
        <v>4</v>
      </c>
      <c r="G250" s="4" t="s">
        <v>1308</v>
      </c>
      <c r="H250" s="4" t="s">
        <v>1309</v>
      </c>
      <c r="I250" s="4" t="s">
        <v>349</v>
      </c>
      <c r="J250" s="4" t="s">
        <v>210</v>
      </c>
      <c r="K250" s="4"/>
      <c r="L250" s="5">
        <v>800000</v>
      </c>
      <c r="M250" s="5">
        <v>400000</v>
      </c>
      <c r="N250" s="5">
        <v>0</v>
      </c>
      <c r="O250" s="5">
        <v>0</v>
      </c>
      <c r="P250" s="5">
        <v>0</v>
      </c>
      <c r="Q250" s="5">
        <v>0</v>
      </c>
      <c r="R250" s="5">
        <v>400000</v>
      </c>
      <c r="S250" s="5">
        <v>400000</v>
      </c>
      <c r="T250" s="6" t="s">
        <v>224</v>
      </c>
      <c r="U250" s="1" t="s">
        <v>202</v>
      </c>
      <c r="V250" s="1"/>
      <c r="W250" s="1" t="s">
        <v>63</v>
      </c>
      <c r="X250" s="1" t="s">
        <v>213</v>
      </c>
      <c r="Y250" s="1">
        <v>32</v>
      </c>
      <c r="Z250" s="1"/>
    </row>
    <row r="251" spans="1:26">
      <c r="A251" s="332">
        <v>36617</v>
      </c>
      <c r="B251" s="332">
        <v>26838</v>
      </c>
      <c r="C251" s="38">
        <v>46078</v>
      </c>
      <c r="D251" s="4" t="s">
        <v>2993</v>
      </c>
      <c r="E251" s="4" t="s">
        <v>2994</v>
      </c>
      <c r="F251" s="4" t="s">
        <v>4</v>
      </c>
      <c r="G251" s="4" t="s">
        <v>341</v>
      </c>
      <c r="H251" s="4" t="s">
        <v>342</v>
      </c>
      <c r="I251" s="4" t="s">
        <v>343</v>
      </c>
      <c r="J251" s="4" t="s">
        <v>210</v>
      </c>
      <c r="K251" s="4" t="s">
        <v>344</v>
      </c>
      <c r="L251" s="5">
        <v>200000</v>
      </c>
      <c r="M251" s="5">
        <v>100000</v>
      </c>
      <c r="N251" s="5">
        <v>0</v>
      </c>
      <c r="O251" s="5">
        <v>0</v>
      </c>
      <c r="P251" s="5">
        <v>0</v>
      </c>
      <c r="Q251" s="5">
        <v>0</v>
      </c>
      <c r="R251" s="5">
        <v>100000</v>
      </c>
      <c r="S251" s="5">
        <v>100000</v>
      </c>
      <c r="T251" s="6" t="s">
        <v>224</v>
      </c>
      <c r="U251" s="1" t="s">
        <v>202</v>
      </c>
      <c r="V251" s="1"/>
      <c r="W251" s="1" t="s">
        <v>63</v>
      </c>
      <c r="X251" s="1" t="s">
        <v>213</v>
      </c>
      <c r="Y251" s="1">
        <v>32</v>
      </c>
      <c r="Z251" s="1"/>
    </row>
    <row r="252" spans="1:26">
      <c r="A252" s="332">
        <v>35060</v>
      </c>
      <c r="B252" s="332">
        <v>26839</v>
      </c>
      <c r="C252" s="38">
        <v>46077</v>
      </c>
      <c r="D252" s="4" t="s">
        <v>933</v>
      </c>
      <c r="E252" s="4" t="s">
        <v>934</v>
      </c>
      <c r="F252" s="4" t="s">
        <v>106</v>
      </c>
      <c r="G252" s="4" t="s">
        <v>935</v>
      </c>
      <c r="H252" s="4" t="s">
        <v>936</v>
      </c>
      <c r="I252" s="4" t="s">
        <v>937</v>
      </c>
      <c r="J252" s="4" t="s">
        <v>200</v>
      </c>
      <c r="K252" s="4" t="s">
        <v>938</v>
      </c>
      <c r="L252" s="5">
        <v>190000</v>
      </c>
      <c r="M252" s="5">
        <v>32300</v>
      </c>
      <c r="N252" s="5">
        <v>0</v>
      </c>
      <c r="O252" s="5">
        <v>0</v>
      </c>
      <c r="P252" s="5">
        <v>0</v>
      </c>
      <c r="Q252" s="5">
        <v>0</v>
      </c>
      <c r="R252" s="5">
        <v>157700</v>
      </c>
      <c r="S252" s="5">
        <v>157700</v>
      </c>
      <c r="T252" s="6" t="s">
        <v>224</v>
      </c>
      <c r="U252" s="1" t="s">
        <v>202</v>
      </c>
      <c r="V252" s="1"/>
      <c r="W252" s="1" t="s">
        <v>63</v>
      </c>
      <c r="X252" s="1" t="s">
        <v>204</v>
      </c>
      <c r="Y252" s="1">
        <v>64</v>
      </c>
      <c r="Z252" s="1"/>
    </row>
    <row r="253" spans="1:26">
      <c r="A253" s="332">
        <v>36621</v>
      </c>
      <c r="B253" s="332">
        <v>26846</v>
      </c>
      <c r="C253" s="38">
        <v>46079</v>
      </c>
      <c r="D253" s="4" t="s">
        <v>2995</v>
      </c>
      <c r="E253" s="4" t="s">
        <v>2996</v>
      </c>
      <c r="F253" s="4" t="s">
        <v>2</v>
      </c>
      <c r="G253" s="4" t="s">
        <v>451</v>
      </c>
      <c r="H253" s="4" t="s">
        <v>452</v>
      </c>
      <c r="I253" s="4" t="s">
        <v>2901</v>
      </c>
      <c r="J253" s="4" t="s">
        <v>210</v>
      </c>
      <c r="K253" s="4" t="s">
        <v>328</v>
      </c>
      <c r="L253" s="5">
        <v>600000</v>
      </c>
      <c r="M253" s="5">
        <v>300000</v>
      </c>
      <c r="N253" s="5">
        <v>0</v>
      </c>
      <c r="O253" s="5">
        <v>0</v>
      </c>
      <c r="P253" s="5">
        <v>0</v>
      </c>
      <c r="Q253" s="5">
        <v>0</v>
      </c>
      <c r="R253" s="5">
        <v>300000</v>
      </c>
      <c r="S253" s="5">
        <v>300000</v>
      </c>
      <c r="T253" s="6" t="s">
        <v>224</v>
      </c>
      <c r="U253" s="1" t="s">
        <v>202</v>
      </c>
      <c r="V253" s="1"/>
      <c r="W253" s="1" t="s">
        <v>63</v>
      </c>
      <c r="X253" s="1" t="s">
        <v>277</v>
      </c>
      <c r="Y253" s="1">
        <v>37</v>
      </c>
      <c r="Z253" s="1"/>
    </row>
    <row r="254" spans="1:26">
      <c r="A254" s="331">
        <v>36622</v>
      </c>
      <c r="B254" s="331">
        <v>26848</v>
      </c>
      <c r="C254" s="305">
        <v>46073</v>
      </c>
      <c r="D254" s="1" t="s">
        <v>2997</v>
      </c>
      <c r="E254" s="1" t="s">
        <v>2998</v>
      </c>
      <c r="F254" s="1" t="s">
        <v>2</v>
      </c>
      <c r="G254" s="1">
        <v>890242</v>
      </c>
      <c r="H254" s="1" t="s">
        <v>331</v>
      </c>
      <c r="I254" s="1" t="s">
        <v>332</v>
      </c>
      <c r="J254" s="1" t="s">
        <v>223</v>
      </c>
      <c r="K254" s="1"/>
      <c r="L254" s="2">
        <v>250000</v>
      </c>
      <c r="M254" s="2">
        <v>125000</v>
      </c>
      <c r="N254" s="2">
        <v>0</v>
      </c>
      <c r="O254" s="2">
        <v>0</v>
      </c>
      <c r="P254" s="2">
        <v>0</v>
      </c>
      <c r="Q254" s="2">
        <v>0</v>
      </c>
      <c r="R254" s="2">
        <v>125000</v>
      </c>
      <c r="S254" s="2">
        <v>125000</v>
      </c>
      <c r="T254" s="3">
        <v>0.5</v>
      </c>
      <c r="U254" s="1" t="s">
        <v>202</v>
      </c>
      <c r="V254" s="1"/>
      <c r="W254" s="1" t="s">
        <v>63</v>
      </c>
      <c r="X254" s="1" t="s">
        <v>213</v>
      </c>
      <c r="Y254" s="1">
        <v>0</v>
      </c>
      <c r="Z254" s="1"/>
    </row>
    <row r="255" spans="1:26">
      <c r="A255" s="332">
        <v>36625</v>
      </c>
      <c r="B255" s="332">
        <v>26851</v>
      </c>
      <c r="C255" s="38">
        <v>46075</v>
      </c>
      <c r="D255" s="4" t="s">
        <v>2820</v>
      </c>
      <c r="E255" s="4" t="s">
        <v>2821</v>
      </c>
      <c r="F255" s="4" t="s">
        <v>122</v>
      </c>
      <c r="G255" s="4" t="s">
        <v>197</v>
      </c>
      <c r="H255" s="4" t="s">
        <v>198</v>
      </c>
      <c r="I255" s="4" t="s">
        <v>199</v>
      </c>
      <c r="J255" s="4" t="s">
        <v>200</v>
      </c>
      <c r="K255" s="4"/>
      <c r="L255" s="5">
        <v>90000</v>
      </c>
      <c r="M255" s="5">
        <v>15300</v>
      </c>
      <c r="N255" s="5">
        <v>0</v>
      </c>
      <c r="O255" s="5">
        <v>0</v>
      </c>
      <c r="P255" s="5">
        <v>0</v>
      </c>
      <c r="Q255" s="5">
        <v>0</v>
      </c>
      <c r="R255" s="5">
        <v>74700</v>
      </c>
      <c r="S255" s="5">
        <v>74700</v>
      </c>
      <c r="T255" s="6" t="s">
        <v>224</v>
      </c>
      <c r="U255" s="1" t="s">
        <v>202</v>
      </c>
      <c r="V255" s="1"/>
      <c r="W255" s="1" t="s">
        <v>63</v>
      </c>
      <c r="X255" s="1" t="s">
        <v>225</v>
      </c>
      <c r="Y255" s="1">
        <v>17</v>
      </c>
      <c r="Z255" s="1"/>
    </row>
    <row r="256" spans="1:26">
      <c r="A256" s="331">
        <v>36626</v>
      </c>
      <c r="B256" s="331">
        <v>26852</v>
      </c>
      <c r="C256" s="305">
        <v>46076</v>
      </c>
      <c r="D256" s="1" t="s">
        <v>2999</v>
      </c>
      <c r="E256" s="1" t="s">
        <v>3000</v>
      </c>
      <c r="F256" s="1" t="s">
        <v>126</v>
      </c>
      <c r="G256" s="1">
        <v>890242</v>
      </c>
      <c r="H256" s="1" t="s">
        <v>331</v>
      </c>
      <c r="I256" s="1" t="s">
        <v>332</v>
      </c>
      <c r="J256" s="1" t="s">
        <v>223</v>
      </c>
      <c r="K256" s="1"/>
      <c r="L256" s="2">
        <v>250000</v>
      </c>
      <c r="M256" s="2">
        <v>125000</v>
      </c>
      <c r="N256" s="2">
        <v>0</v>
      </c>
      <c r="O256" s="2">
        <v>0</v>
      </c>
      <c r="P256" s="2">
        <v>0</v>
      </c>
      <c r="Q256" s="2">
        <v>0</v>
      </c>
      <c r="R256" s="2">
        <v>125000</v>
      </c>
      <c r="S256" s="2">
        <v>125000</v>
      </c>
      <c r="T256" s="3">
        <v>0.5</v>
      </c>
      <c r="U256" s="1" t="s">
        <v>202</v>
      </c>
      <c r="V256" s="1"/>
      <c r="W256" s="1" t="s">
        <v>63</v>
      </c>
      <c r="X256" s="1" t="s">
        <v>277</v>
      </c>
      <c r="Y256" s="1">
        <v>0</v>
      </c>
      <c r="Z256" s="1"/>
    </row>
    <row r="257" spans="1:26">
      <c r="A257" s="332">
        <v>36628</v>
      </c>
      <c r="B257" s="332">
        <v>26855</v>
      </c>
      <c r="C257" s="38">
        <v>46079</v>
      </c>
      <c r="D257" s="4" t="s">
        <v>2804</v>
      </c>
      <c r="E257" s="4" t="s">
        <v>2805</v>
      </c>
      <c r="F257" s="4" t="s">
        <v>122</v>
      </c>
      <c r="G257" s="4" t="s">
        <v>3001</v>
      </c>
      <c r="H257" s="4" t="s">
        <v>3002</v>
      </c>
      <c r="I257" s="4" t="s">
        <v>538</v>
      </c>
      <c r="J257" s="4" t="s">
        <v>200</v>
      </c>
      <c r="K257" s="4"/>
      <c r="L257" s="5">
        <v>880000</v>
      </c>
      <c r="M257" s="5">
        <v>146608</v>
      </c>
      <c r="N257" s="5">
        <v>0</v>
      </c>
      <c r="O257" s="5">
        <v>0</v>
      </c>
      <c r="P257" s="5">
        <v>0</v>
      </c>
      <c r="Q257" s="5">
        <v>0</v>
      </c>
      <c r="R257" s="5">
        <v>733392</v>
      </c>
      <c r="S257" s="5">
        <v>715792</v>
      </c>
      <c r="T257" s="6" t="s">
        <v>224</v>
      </c>
      <c r="U257" s="1" t="s">
        <v>202</v>
      </c>
      <c r="V257" s="1" t="s">
        <v>3003</v>
      </c>
      <c r="W257" s="1" t="s">
        <v>202</v>
      </c>
      <c r="X257" s="1" t="s">
        <v>319</v>
      </c>
      <c r="Y257" s="1">
        <v>46</v>
      </c>
      <c r="Z257" s="1" t="s">
        <v>3004</v>
      </c>
    </row>
    <row r="258" spans="1:26">
      <c r="A258" s="331">
        <v>36629</v>
      </c>
      <c r="B258" s="331">
        <v>26857</v>
      </c>
      <c r="C258" s="305">
        <v>46073</v>
      </c>
      <c r="D258" s="1" t="s">
        <v>3005</v>
      </c>
      <c r="E258" s="1" t="s">
        <v>3006</v>
      </c>
      <c r="F258" s="1" t="s">
        <v>3</v>
      </c>
      <c r="G258" s="1">
        <v>890303</v>
      </c>
      <c r="H258" s="1" t="s">
        <v>281</v>
      </c>
      <c r="I258" s="1" t="s">
        <v>282</v>
      </c>
      <c r="J258" s="1" t="s">
        <v>210</v>
      </c>
      <c r="K258" s="1"/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3">
        <v>0</v>
      </c>
      <c r="U258" s="1" t="s">
        <v>202</v>
      </c>
      <c r="V258" s="1"/>
      <c r="W258" s="1" t="s">
        <v>63</v>
      </c>
      <c r="X258" s="1" t="s">
        <v>225</v>
      </c>
      <c r="Y258" s="1">
        <v>60</v>
      </c>
      <c r="Z258" s="1"/>
    </row>
    <row r="259" spans="1:26">
      <c r="A259" s="331">
        <v>36632</v>
      </c>
      <c r="B259" s="331">
        <v>26861</v>
      </c>
      <c r="C259" s="305">
        <v>46073</v>
      </c>
      <c r="D259" s="1" t="s">
        <v>3007</v>
      </c>
      <c r="E259" s="1" t="s">
        <v>3008</v>
      </c>
      <c r="F259" s="1" t="s">
        <v>3</v>
      </c>
      <c r="G259" s="1">
        <v>890242</v>
      </c>
      <c r="H259" s="1" t="s">
        <v>331</v>
      </c>
      <c r="I259" s="1" t="s">
        <v>332</v>
      </c>
      <c r="J259" s="1" t="s">
        <v>223</v>
      </c>
      <c r="K259" s="1"/>
      <c r="L259" s="2">
        <v>250000</v>
      </c>
      <c r="M259" s="2">
        <v>125000</v>
      </c>
      <c r="N259" s="2">
        <v>0</v>
      </c>
      <c r="O259" s="2">
        <v>0</v>
      </c>
      <c r="P259" s="2">
        <v>0</v>
      </c>
      <c r="Q259" s="2">
        <v>0</v>
      </c>
      <c r="R259" s="2">
        <v>125000</v>
      </c>
      <c r="S259" s="2">
        <v>125000</v>
      </c>
      <c r="T259" s="3">
        <v>0.5</v>
      </c>
      <c r="U259" s="1" t="s">
        <v>202</v>
      </c>
      <c r="V259" s="1"/>
      <c r="W259" s="1" t="s">
        <v>63</v>
      </c>
      <c r="X259" s="1" t="s">
        <v>225</v>
      </c>
      <c r="Y259" s="1">
        <v>0</v>
      </c>
      <c r="Z259" s="1"/>
    </row>
    <row r="260" spans="1:26">
      <c r="A260" s="331">
        <v>36633</v>
      </c>
      <c r="B260" s="331">
        <v>26862</v>
      </c>
      <c r="C260" s="305">
        <v>46073</v>
      </c>
      <c r="D260" s="1" t="s">
        <v>3009</v>
      </c>
      <c r="E260" s="1" t="s">
        <v>3010</v>
      </c>
      <c r="F260" s="1" t="s">
        <v>4</v>
      </c>
      <c r="G260" s="1">
        <v>890242</v>
      </c>
      <c r="H260" s="1" t="s">
        <v>331</v>
      </c>
      <c r="I260" s="1" t="s">
        <v>332</v>
      </c>
      <c r="J260" s="1" t="s">
        <v>223</v>
      </c>
      <c r="K260" s="1"/>
      <c r="L260" s="2">
        <v>250000</v>
      </c>
      <c r="M260" s="2">
        <v>125000</v>
      </c>
      <c r="N260" s="2">
        <v>0</v>
      </c>
      <c r="O260" s="2">
        <v>0</v>
      </c>
      <c r="P260" s="2">
        <v>0</v>
      </c>
      <c r="Q260" s="2">
        <v>0</v>
      </c>
      <c r="R260" s="2">
        <v>125000</v>
      </c>
      <c r="S260" s="2">
        <v>125000</v>
      </c>
      <c r="T260" s="3">
        <v>0.5</v>
      </c>
      <c r="U260" s="1" t="s">
        <v>202</v>
      </c>
      <c r="V260" s="1"/>
      <c r="W260" s="1" t="s">
        <v>63</v>
      </c>
      <c r="X260" s="1" t="s">
        <v>213</v>
      </c>
      <c r="Y260" s="1">
        <v>0</v>
      </c>
      <c r="Z260" s="1"/>
    </row>
    <row r="261" spans="1:26">
      <c r="A261" s="332">
        <v>36628</v>
      </c>
      <c r="B261" s="332">
        <v>26863</v>
      </c>
      <c r="C261" s="38">
        <v>46079</v>
      </c>
      <c r="D261" s="4" t="s">
        <v>2804</v>
      </c>
      <c r="E261" s="4" t="s">
        <v>2805</v>
      </c>
      <c r="F261" s="4" t="s">
        <v>122</v>
      </c>
      <c r="G261" s="4">
        <v>389319</v>
      </c>
      <c r="H261" s="4" t="s">
        <v>1774</v>
      </c>
      <c r="I261" s="4" t="s">
        <v>3011</v>
      </c>
      <c r="J261" s="4" t="s">
        <v>1749</v>
      </c>
      <c r="K261" s="4"/>
      <c r="L261" s="5">
        <v>300000</v>
      </c>
      <c r="M261" s="5">
        <v>51000</v>
      </c>
      <c r="N261" s="5">
        <v>0</v>
      </c>
      <c r="O261" s="5">
        <v>0</v>
      </c>
      <c r="P261" s="5">
        <v>0</v>
      </c>
      <c r="Q261" s="5">
        <v>0</v>
      </c>
      <c r="R261" s="5">
        <v>249000</v>
      </c>
      <c r="S261" s="5">
        <v>249000</v>
      </c>
      <c r="T261" s="6" t="s">
        <v>224</v>
      </c>
      <c r="U261" s="1" t="s">
        <v>202</v>
      </c>
      <c r="V261" s="1"/>
      <c r="W261" s="1" t="s">
        <v>63</v>
      </c>
      <c r="X261" s="1" t="s">
        <v>319</v>
      </c>
      <c r="Y261" s="1">
        <v>46</v>
      </c>
      <c r="Z261" s="1"/>
    </row>
    <row r="262" spans="1:26">
      <c r="A262" s="332">
        <v>36634</v>
      </c>
      <c r="B262" s="332">
        <v>26865</v>
      </c>
      <c r="C262" s="38">
        <v>46074</v>
      </c>
      <c r="D262" s="4" t="s">
        <v>2824</v>
      </c>
      <c r="E262" s="4" t="s">
        <v>2825</v>
      </c>
      <c r="F262" s="4" t="s">
        <v>122</v>
      </c>
      <c r="G262" s="4" t="s">
        <v>3001</v>
      </c>
      <c r="H262" s="4" t="s">
        <v>3002</v>
      </c>
      <c r="I262" s="4" t="s">
        <v>538</v>
      </c>
      <c r="J262" s="4" t="s">
        <v>200</v>
      </c>
      <c r="K262" s="4"/>
      <c r="L262" s="5">
        <v>1056000</v>
      </c>
      <c r="M262" s="5">
        <v>179520</v>
      </c>
      <c r="N262" s="5">
        <v>0</v>
      </c>
      <c r="O262" s="5">
        <v>0</v>
      </c>
      <c r="P262" s="5">
        <v>0</v>
      </c>
      <c r="Q262" s="5">
        <v>0</v>
      </c>
      <c r="R262" s="5">
        <v>876480</v>
      </c>
      <c r="S262" s="5">
        <v>876480</v>
      </c>
      <c r="T262" s="6" t="s">
        <v>224</v>
      </c>
      <c r="U262" s="1" t="s">
        <v>202</v>
      </c>
      <c r="V262" s="1"/>
      <c r="W262" s="1" t="s">
        <v>63</v>
      </c>
      <c r="X262" s="1" t="s">
        <v>204</v>
      </c>
      <c r="Y262" s="1">
        <v>42</v>
      </c>
      <c r="Z262" s="1"/>
    </row>
    <row r="263" spans="1:26">
      <c r="A263" s="332">
        <v>36635</v>
      </c>
      <c r="B263" s="332">
        <v>26866</v>
      </c>
      <c r="C263" s="38">
        <v>46076</v>
      </c>
      <c r="D263" s="4" t="s">
        <v>2824</v>
      </c>
      <c r="E263" s="4" t="s">
        <v>2825</v>
      </c>
      <c r="F263" s="4" t="s">
        <v>107</v>
      </c>
      <c r="G263" s="4" t="s">
        <v>2956</v>
      </c>
      <c r="H263" s="4" t="s">
        <v>2957</v>
      </c>
      <c r="I263" s="4" t="s">
        <v>349</v>
      </c>
      <c r="J263" s="4" t="s">
        <v>210</v>
      </c>
      <c r="K263" s="4"/>
      <c r="L263" s="5">
        <v>2200000</v>
      </c>
      <c r="M263" s="5">
        <v>1100000</v>
      </c>
      <c r="N263" s="5">
        <v>0</v>
      </c>
      <c r="O263" s="5">
        <v>0</v>
      </c>
      <c r="P263" s="5">
        <v>0</v>
      </c>
      <c r="Q263" s="5">
        <v>0</v>
      </c>
      <c r="R263" s="5">
        <v>1100000</v>
      </c>
      <c r="S263" s="5">
        <v>1100000</v>
      </c>
      <c r="T263" s="6" t="s">
        <v>224</v>
      </c>
      <c r="U263" s="1" t="s">
        <v>202</v>
      </c>
      <c r="V263" s="1"/>
      <c r="W263" s="1" t="s">
        <v>63</v>
      </c>
      <c r="X263" s="1" t="s">
        <v>204</v>
      </c>
      <c r="Y263" s="1">
        <v>42</v>
      </c>
      <c r="Z263" s="1"/>
    </row>
    <row r="264" spans="1:26">
      <c r="A264" s="332">
        <v>36636</v>
      </c>
      <c r="B264" s="332">
        <v>26869</v>
      </c>
      <c r="C264" s="38">
        <v>46077</v>
      </c>
      <c r="D264" s="4" t="s">
        <v>3012</v>
      </c>
      <c r="E264" s="4" t="s">
        <v>3013</v>
      </c>
      <c r="F264" s="4" t="s">
        <v>122</v>
      </c>
      <c r="G264" s="4" t="s">
        <v>385</v>
      </c>
      <c r="H264" s="4" t="s">
        <v>386</v>
      </c>
      <c r="I264" s="4" t="s">
        <v>199</v>
      </c>
      <c r="J264" s="4" t="s">
        <v>200</v>
      </c>
      <c r="K264" s="4"/>
      <c r="L264" s="5">
        <v>130000</v>
      </c>
      <c r="M264" s="5">
        <v>22100</v>
      </c>
      <c r="N264" s="5">
        <v>0</v>
      </c>
      <c r="O264" s="5">
        <v>0</v>
      </c>
      <c r="P264" s="5">
        <v>0</v>
      </c>
      <c r="Q264" s="5">
        <v>0</v>
      </c>
      <c r="R264" s="5">
        <v>107900</v>
      </c>
      <c r="S264" s="5">
        <v>107900</v>
      </c>
      <c r="T264" s="6" t="s">
        <v>224</v>
      </c>
      <c r="U264" s="1" t="s">
        <v>202</v>
      </c>
      <c r="V264" s="1"/>
      <c r="W264" s="1" t="s">
        <v>63</v>
      </c>
      <c r="X264" s="1" t="s">
        <v>213</v>
      </c>
      <c r="Y264" s="1">
        <v>0</v>
      </c>
      <c r="Z264" s="1"/>
    </row>
    <row r="265" spans="1:26">
      <c r="A265" s="332">
        <v>36636</v>
      </c>
      <c r="B265" s="332">
        <v>26870</v>
      </c>
      <c r="C265" s="38">
        <v>46077</v>
      </c>
      <c r="D265" s="4" t="s">
        <v>3012</v>
      </c>
      <c r="E265" s="4" t="s">
        <v>3013</v>
      </c>
      <c r="F265" s="4" t="s">
        <v>122</v>
      </c>
      <c r="G265" s="4" t="s">
        <v>233</v>
      </c>
      <c r="H265" s="4" t="s">
        <v>234</v>
      </c>
      <c r="I265" s="4" t="s">
        <v>199</v>
      </c>
      <c r="J265" s="4" t="s">
        <v>200</v>
      </c>
      <c r="K265" s="4" t="s">
        <v>201</v>
      </c>
      <c r="L265" s="5">
        <v>60000</v>
      </c>
      <c r="M265" s="5">
        <v>10200</v>
      </c>
      <c r="N265" s="5">
        <v>0</v>
      </c>
      <c r="O265" s="5">
        <v>0</v>
      </c>
      <c r="P265" s="5">
        <v>0</v>
      </c>
      <c r="Q265" s="5">
        <v>0</v>
      </c>
      <c r="R265" s="5">
        <v>49800</v>
      </c>
      <c r="S265" s="5">
        <v>49800</v>
      </c>
      <c r="T265" s="6" t="s">
        <v>224</v>
      </c>
      <c r="U265" s="1" t="s">
        <v>202</v>
      </c>
      <c r="V265" s="1"/>
      <c r="W265" s="1" t="s">
        <v>63</v>
      </c>
      <c r="X265" s="1" t="s">
        <v>213</v>
      </c>
      <c r="Y265" s="1">
        <v>0</v>
      </c>
      <c r="Z265" s="1"/>
    </row>
    <row r="266" spans="1:26">
      <c r="A266" s="332">
        <v>36635</v>
      </c>
      <c r="B266" s="332">
        <v>26871</v>
      </c>
      <c r="C266" s="38">
        <v>46076</v>
      </c>
      <c r="D266" s="4" t="s">
        <v>2824</v>
      </c>
      <c r="E266" s="4" t="s">
        <v>2825</v>
      </c>
      <c r="F266" s="4" t="s">
        <v>107</v>
      </c>
      <c r="G266" s="4">
        <v>861426</v>
      </c>
      <c r="H266" s="4" t="s">
        <v>517</v>
      </c>
      <c r="I266" s="4" t="s">
        <v>300</v>
      </c>
      <c r="J266" s="4" t="s">
        <v>210</v>
      </c>
      <c r="K266" s="4"/>
      <c r="L266" s="5">
        <v>900000</v>
      </c>
      <c r="M266" s="5">
        <v>450000</v>
      </c>
      <c r="N266" s="5">
        <v>0</v>
      </c>
      <c r="O266" s="5">
        <v>0</v>
      </c>
      <c r="P266" s="5">
        <v>0</v>
      </c>
      <c r="Q266" s="5">
        <v>0</v>
      </c>
      <c r="R266" s="5">
        <v>450000</v>
      </c>
      <c r="S266" s="5">
        <v>450000</v>
      </c>
      <c r="T266" s="6" t="s">
        <v>224</v>
      </c>
      <c r="U266" s="1" t="s">
        <v>202</v>
      </c>
      <c r="V266" s="1"/>
      <c r="W266" s="1" t="s">
        <v>63</v>
      </c>
      <c r="X266" s="1" t="s">
        <v>204</v>
      </c>
      <c r="Y266" s="1">
        <v>42</v>
      </c>
      <c r="Z266" s="1"/>
    </row>
    <row r="267" spans="1:26">
      <c r="A267" s="332">
        <v>36637</v>
      </c>
      <c r="B267" s="332">
        <v>26873</v>
      </c>
      <c r="C267" s="38">
        <v>46075</v>
      </c>
      <c r="D267" s="4" t="s">
        <v>3014</v>
      </c>
      <c r="E267" s="4" t="s">
        <v>3015</v>
      </c>
      <c r="F267" s="4" t="s">
        <v>122</v>
      </c>
      <c r="G267" s="4" t="s">
        <v>271</v>
      </c>
      <c r="H267" s="4" t="s">
        <v>272</v>
      </c>
      <c r="I267" s="4" t="s">
        <v>273</v>
      </c>
      <c r="J267" s="4" t="s">
        <v>210</v>
      </c>
      <c r="K267" s="4"/>
      <c r="L267" s="5">
        <v>280000</v>
      </c>
      <c r="M267" s="5">
        <v>47600</v>
      </c>
      <c r="N267" s="5">
        <v>0</v>
      </c>
      <c r="O267" s="5">
        <v>0</v>
      </c>
      <c r="P267" s="5">
        <v>0</v>
      </c>
      <c r="Q267" s="5">
        <v>0</v>
      </c>
      <c r="R267" s="5">
        <v>232400</v>
      </c>
      <c r="S267" s="5">
        <v>232400</v>
      </c>
      <c r="T267" s="6" t="s">
        <v>224</v>
      </c>
      <c r="U267" s="1" t="s">
        <v>202</v>
      </c>
      <c r="V267" s="1"/>
      <c r="W267" s="1" t="s">
        <v>63</v>
      </c>
      <c r="X267" s="1" t="s">
        <v>248</v>
      </c>
      <c r="Y267" s="1">
        <v>0</v>
      </c>
      <c r="Z267" s="1"/>
    </row>
    <row r="268" spans="1:26">
      <c r="A268" s="331">
        <v>36639</v>
      </c>
      <c r="B268" s="331">
        <v>26875</v>
      </c>
      <c r="C268" s="305">
        <v>46078</v>
      </c>
      <c r="D268" s="1" t="s">
        <v>3016</v>
      </c>
      <c r="E268" s="1" t="s">
        <v>3017</v>
      </c>
      <c r="F268" s="1" t="s">
        <v>126</v>
      </c>
      <c r="G268" s="1">
        <v>890242</v>
      </c>
      <c r="H268" s="1" t="s">
        <v>331</v>
      </c>
      <c r="I268" s="1" t="s">
        <v>332</v>
      </c>
      <c r="J268" s="1" t="s">
        <v>223</v>
      </c>
      <c r="K268" s="1"/>
      <c r="L268" s="2">
        <v>250000</v>
      </c>
      <c r="M268" s="2">
        <v>125000</v>
      </c>
      <c r="N268" s="2">
        <v>0</v>
      </c>
      <c r="O268" s="2">
        <v>0</v>
      </c>
      <c r="P268" s="2">
        <v>0</v>
      </c>
      <c r="Q268" s="2">
        <v>0</v>
      </c>
      <c r="R268" s="2">
        <v>125000</v>
      </c>
      <c r="S268" s="2">
        <v>125000</v>
      </c>
      <c r="T268" s="3">
        <v>0.5</v>
      </c>
      <c r="U268" s="1" t="s">
        <v>202</v>
      </c>
      <c r="V268" s="1"/>
      <c r="W268" s="1" t="s">
        <v>63</v>
      </c>
      <c r="X268" s="1" t="s">
        <v>213</v>
      </c>
      <c r="Y268" s="1">
        <v>0</v>
      </c>
      <c r="Z268" s="1"/>
    </row>
    <row r="269" spans="1:26">
      <c r="A269" s="331">
        <v>36641</v>
      </c>
      <c r="B269" s="331">
        <v>26878</v>
      </c>
      <c r="C269" s="305">
        <v>46078</v>
      </c>
      <c r="D269" s="1" t="s">
        <v>3018</v>
      </c>
      <c r="E269" s="1" t="s">
        <v>3019</v>
      </c>
      <c r="F269" s="1" t="s">
        <v>126</v>
      </c>
      <c r="G269" s="1">
        <v>890242</v>
      </c>
      <c r="H269" s="1" t="s">
        <v>331</v>
      </c>
      <c r="I269" s="1" t="s">
        <v>332</v>
      </c>
      <c r="J269" s="1" t="s">
        <v>223</v>
      </c>
      <c r="K269" s="1"/>
      <c r="L269" s="2">
        <v>250000</v>
      </c>
      <c r="M269" s="2">
        <v>125000</v>
      </c>
      <c r="N269" s="2">
        <v>0</v>
      </c>
      <c r="O269" s="2">
        <v>0</v>
      </c>
      <c r="P269" s="2">
        <v>0</v>
      </c>
      <c r="Q269" s="2">
        <v>0</v>
      </c>
      <c r="R269" s="2">
        <v>125000</v>
      </c>
      <c r="S269" s="2">
        <v>125000</v>
      </c>
      <c r="T269" s="3">
        <v>0.5</v>
      </c>
      <c r="U269" s="1" t="s">
        <v>202</v>
      </c>
      <c r="V269" s="1"/>
      <c r="W269" s="1" t="s">
        <v>63</v>
      </c>
      <c r="X269" s="1" t="s">
        <v>213</v>
      </c>
      <c r="Y269" s="1">
        <v>0</v>
      </c>
      <c r="Z269" s="1"/>
    </row>
    <row r="270" spans="1:26">
      <c r="A270" s="331">
        <v>36642</v>
      </c>
      <c r="B270" s="331">
        <v>26879</v>
      </c>
      <c r="C270" s="305">
        <v>46078</v>
      </c>
      <c r="D270" s="1" t="s">
        <v>3020</v>
      </c>
      <c r="E270" s="1" t="s">
        <v>3021</v>
      </c>
      <c r="F270" s="1" t="s">
        <v>107</v>
      </c>
      <c r="G270" s="1">
        <v>890304</v>
      </c>
      <c r="H270" s="1" t="s">
        <v>913</v>
      </c>
      <c r="I270" s="1" t="s">
        <v>332</v>
      </c>
      <c r="J270" s="1" t="s">
        <v>223</v>
      </c>
      <c r="K270" s="1"/>
      <c r="L270" s="2">
        <v>240000</v>
      </c>
      <c r="M270" s="2">
        <v>120000</v>
      </c>
      <c r="N270" s="2">
        <v>0</v>
      </c>
      <c r="O270" s="2">
        <v>0</v>
      </c>
      <c r="P270" s="2">
        <v>0</v>
      </c>
      <c r="Q270" s="2">
        <v>0</v>
      </c>
      <c r="R270" s="2">
        <v>120000</v>
      </c>
      <c r="S270" s="2">
        <v>120000</v>
      </c>
      <c r="T270" s="3">
        <v>0.5</v>
      </c>
      <c r="U270" s="1" t="s">
        <v>202</v>
      </c>
      <c r="V270" s="1"/>
      <c r="W270" s="1" t="s">
        <v>63</v>
      </c>
      <c r="X270" s="1" t="s">
        <v>213</v>
      </c>
      <c r="Y270" s="1">
        <v>0</v>
      </c>
      <c r="Z270" s="1"/>
    </row>
    <row r="271" spans="1:26">
      <c r="A271" s="331">
        <v>36643</v>
      </c>
      <c r="B271" s="331">
        <v>26880</v>
      </c>
      <c r="C271" s="305">
        <v>46076</v>
      </c>
      <c r="D271" s="1" t="s">
        <v>3022</v>
      </c>
      <c r="E271" s="1" t="s">
        <v>3023</v>
      </c>
      <c r="F271" s="1" t="s">
        <v>126</v>
      </c>
      <c r="G271" s="1">
        <v>890242</v>
      </c>
      <c r="H271" s="1" t="s">
        <v>331</v>
      </c>
      <c r="I271" s="1" t="s">
        <v>332</v>
      </c>
      <c r="J271" s="1" t="s">
        <v>223</v>
      </c>
      <c r="K271" s="1"/>
      <c r="L271" s="2">
        <v>250000</v>
      </c>
      <c r="M271" s="2">
        <v>125000</v>
      </c>
      <c r="N271" s="2">
        <v>0</v>
      </c>
      <c r="O271" s="2">
        <v>0</v>
      </c>
      <c r="P271" s="2">
        <v>0</v>
      </c>
      <c r="Q271" s="2">
        <v>0</v>
      </c>
      <c r="R271" s="2">
        <v>125000</v>
      </c>
      <c r="S271" s="2">
        <v>125000</v>
      </c>
      <c r="T271" s="3">
        <v>0.5</v>
      </c>
      <c r="U271" s="1" t="s">
        <v>202</v>
      </c>
      <c r="V271" s="1"/>
      <c r="W271" s="1" t="s">
        <v>63</v>
      </c>
      <c r="X271" s="1" t="s">
        <v>213</v>
      </c>
      <c r="Y271" s="1">
        <v>0</v>
      </c>
      <c r="Z271" s="1"/>
    </row>
    <row r="272" spans="1:26">
      <c r="A272" s="331">
        <v>36644</v>
      </c>
      <c r="B272" s="331">
        <v>26881</v>
      </c>
      <c r="C272" s="305">
        <v>46077</v>
      </c>
      <c r="D272" s="1" t="s">
        <v>3024</v>
      </c>
      <c r="E272" s="1" t="s">
        <v>3025</v>
      </c>
      <c r="F272" s="1" t="s">
        <v>3</v>
      </c>
      <c r="G272" s="1">
        <v>890242</v>
      </c>
      <c r="H272" s="1" t="s">
        <v>331</v>
      </c>
      <c r="I272" s="1" t="s">
        <v>332</v>
      </c>
      <c r="J272" s="1" t="s">
        <v>223</v>
      </c>
      <c r="K272" s="1"/>
      <c r="L272" s="2">
        <v>250000</v>
      </c>
      <c r="M272" s="2">
        <v>125000</v>
      </c>
      <c r="N272" s="2">
        <v>0</v>
      </c>
      <c r="O272" s="2">
        <v>0</v>
      </c>
      <c r="P272" s="2">
        <v>0</v>
      </c>
      <c r="Q272" s="2">
        <v>0</v>
      </c>
      <c r="R272" s="2">
        <v>125000</v>
      </c>
      <c r="S272" s="2">
        <v>125000</v>
      </c>
      <c r="T272" s="3">
        <v>0.5</v>
      </c>
      <c r="U272" s="1" t="s">
        <v>202</v>
      </c>
      <c r="V272" s="1"/>
      <c r="W272" s="1" t="s">
        <v>63</v>
      </c>
      <c r="X272" s="1" t="s">
        <v>213</v>
      </c>
      <c r="Y272" s="1">
        <v>0</v>
      </c>
      <c r="Z272" s="1"/>
    </row>
    <row r="273" spans="1:26">
      <c r="A273" s="331"/>
      <c r="B273" s="331"/>
      <c r="C273" s="305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2"/>
      <c r="O273" s="2"/>
      <c r="P273" s="2"/>
      <c r="Q273" s="2"/>
      <c r="R273" s="2"/>
      <c r="S273" s="2"/>
      <c r="T273" s="3"/>
      <c r="U273" s="1"/>
      <c r="V273" s="1"/>
      <c r="W273" s="1"/>
      <c r="X273" s="1"/>
      <c r="Y273" s="1"/>
      <c r="Z273" s="1"/>
    </row>
    <row r="274" spans="1:26">
      <c r="A274" s="331"/>
      <c r="B274" s="331"/>
      <c r="C274" s="305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2"/>
      <c r="O274" s="2"/>
      <c r="P274" s="2"/>
      <c r="Q274" s="2"/>
      <c r="R274" s="2"/>
      <c r="S274" s="2"/>
      <c r="T274" s="3"/>
      <c r="U274" s="1"/>
      <c r="V274" s="1"/>
      <c r="W274" s="1"/>
      <c r="X274" s="1"/>
      <c r="Y274" s="1"/>
      <c r="Z274" s="1"/>
    </row>
    <row r="275" spans="1:26">
      <c r="A275" s="332"/>
      <c r="B275" s="332"/>
      <c r="C275" s="38"/>
      <c r="D275" s="4"/>
      <c r="E275" s="4"/>
      <c r="F275" s="4"/>
      <c r="G275" s="4"/>
      <c r="H275" s="4"/>
      <c r="I275" s="4"/>
      <c r="J275" s="4"/>
      <c r="K275" s="4"/>
      <c r="L275" s="5"/>
      <c r="M275" s="5"/>
      <c r="N275" s="5"/>
      <c r="O275" s="5"/>
      <c r="P275" s="5"/>
      <c r="Q275" s="5"/>
      <c r="R275" s="5"/>
      <c r="S275" s="5"/>
      <c r="T275" s="6"/>
      <c r="U275" s="1"/>
      <c r="V275" s="1"/>
      <c r="W275" s="1"/>
      <c r="X275" s="1"/>
      <c r="Y275" s="1"/>
      <c r="Z275" s="1"/>
    </row>
    <row r="276" spans="1:26">
      <c r="A276" s="332"/>
      <c r="B276" s="332"/>
      <c r="C276" s="38"/>
      <c r="D276" s="4"/>
      <c r="E276" s="4"/>
      <c r="F276" s="4"/>
      <c r="G276" s="4"/>
      <c r="H276" s="4"/>
      <c r="I276" s="4"/>
      <c r="J276" s="4"/>
      <c r="K276" s="4"/>
      <c r="L276" s="5"/>
      <c r="M276" s="5"/>
      <c r="N276" s="5"/>
      <c r="O276" s="5"/>
      <c r="P276" s="5"/>
      <c r="Q276" s="5"/>
      <c r="R276" s="5"/>
      <c r="S276" s="5"/>
      <c r="T276" s="6"/>
      <c r="U276" s="1"/>
      <c r="V276" s="1"/>
      <c r="W276" s="1"/>
      <c r="X276" s="1"/>
      <c r="Y276" s="1"/>
      <c r="Z276" s="1"/>
    </row>
    <row r="277" spans="1:26">
      <c r="A277" s="332"/>
      <c r="B277" s="332"/>
      <c r="C277" s="38"/>
      <c r="D277" s="4"/>
      <c r="E277" s="4"/>
      <c r="F277" s="4"/>
      <c r="G277" s="4"/>
      <c r="H277" s="4"/>
      <c r="I277" s="4"/>
      <c r="J277" s="4"/>
      <c r="K277" s="4"/>
      <c r="L277" s="5"/>
      <c r="M277" s="5"/>
      <c r="N277" s="5"/>
      <c r="O277" s="5"/>
      <c r="P277" s="5"/>
      <c r="Q277" s="5"/>
      <c r="R277" s="5"/>
      <c r="S277" s="5"/>
      <c r="T277" s="6"/>
      <c r="U277" s="1"/>
      <c r="V277" s="1"/>
      <c r="W277" s="1"/>
      <c r="X277" s="1"/>
      <c r="Y277" s="1"/>
      <c r="Z277" s="1"/>
    </row>
    <row r="278" spans="1:26">
      <c r="A278" s="332"/>
      <c r="B278" s="332"/>
      <c r="C278" s="38"/>
      <c r="D278" s="4"/>
      <c r="E278" s="4"/>
      <c r="F278" s="4"/>
      <c r="G278" s="4"/>
      <c r="H278" s="4"/>
      <c r="I278" s="4"/>
      <c r="J278" s="4"/>
      <c r="K278" s="4"/>
      <c r="L278" s="5"/>
      <c r="M278" s="5"/>
      <c r="N278" s="5"/>
      <c r="O278" s="5"/>
      <c r="P278" s="5"/>
      <c r="Q278" s="5"/>
      <c r="R278" s="5"/>
      <c r="S278" s="5"/>
      <c r="T278" s="6"/>
      <c r="U278" s="1"/>
      <c r="V278" s="1"/>
      <c r="W278" s="1"/>
      <c r="X278" s="1"/>
      <c r="Y278" s="1"/>
      <c r="Z278" s="1"/>
    </row>
    <row r="279" spans="1:26">
      <c r="A279" s="331"/>
      <c r="B279" s="331"/>
      <c r="C279" s="305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2"/>
      <c r="O279" s="2"/>
      <c r="P279" s="2"/>
      <c r="Q279" s="2"/>
      <c r="R279" s="2"/>
      <c r="S279" s="2"/>
      <c r="T279" s="3"/>
      <c r="U279" s="1"/>
      <c r="V279" s="1"/>
      <c r="W279" s="1"/>
      <c r="X279" s="1"/>
      <c r="Y279" s="1"/>
      <c r="Z279" s="1"/>
    </row>
    <row r="280" spans="1:26">
      <c r="A280" s="332"/>
      <c r="B280" s="332"/>
      <c r="C280" s="38"/>
      <c r="D280" s="4"/>
      <c r="E280" s="4"/>
      <c r="F280" s="4"/>
      <c r="G280" s="4"/>
      <c r="H280" s="4"/>
      <c r="I280" s="4"/>
      <c r="J280" s="4"/>
      <c r="K280" s="4"/>
      <c r="L280" s="5"/>
      <c r="M280" s="5"/>
      <c r="N280" s="5"/>
      <c r="O280" s="5"/>
      <c r="P280" s="5"/>
      <c r="Q280" s="5"/>
      <c r="R280" s="5"/>
      <c r="S280" s="5"/>
      <c r="T280" s="6"/>
      <c r="U280" s="1"/>
      <c r="V280" s="1"/>
      <c r="W280" s="1"/>
      <c r="X280" s="1"/>
      <c r="Y280" s="1"/>
      <c r="Z280" s="1"/>
    </row>
    <row r="281" spans="1:26">
      <c r="A281" s="331"/>
      <c r="B281" s="331"/>
      <c r="C281" s="305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2"/>
      <c r="O281" s="2"/>
      <c r="P281" s="2"/>
      <c r="Q281" s="2"/>
      <c r="R281" s="2"/>
      <c r="S281" s="2"/>
      <c r="T281" s="3"/>
      <c r="U281" s="1"/>
      <c r="V281" s="1"/>
      <c r="W281" s="1"/>
      <c r="X281" s="1"/>
      <c r="Y281" s="1"/>
      <c r="Z281" s="1"/>
    </row>
    <row r="282" spans="1:26">
      <c r="A282" s="331"/>
      <c r="B282" s="331"/>
      <c r="C282" s="305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2"/>
      <c r="O282" s="2"/>
      <c r="P282" s="2"/>
      <c r="Q282" s="2"/>
      <c r="R282" s="2"/>
      <c r="S282" s="2"/>
      <c r="T282" s="3"/>
      <c r="U282" s="1"/>
      <c r="V282" s="1"/>
      <c r="W282" s="1"/>
      <c r="X282" s="1"/>
      <c r="Y282" s="1"/>
      <c r="Z282" s="1"/>
    </row>
    <row r="283" spans="1:26">
      <c r="A283" s="332"/>
      <c r="B283" s="332"/>
      <c r="C283" s="38"/>
      <c r="D283" s="4"/>
      <c r="E283" s="4"/>
      <c r="F283" s="4"/>
      <c r="G283" s="4"/>
      <c r="H283" s="4"/>
      <c r="I283" s="4"/>
      <c r="J283" s="4"/>
      <c r="K283" s="4"/>
      <c r="L283" s="5"/>
      <c r="M283" s="5"/>
      <c r="N283" s="5"/>
      <c r="O283" s="5"/>
      <c r="P283" s="5"/>
      <c r="Q283" s="5"/>
      <c r="R283" s="5"/>
      <c r="S283" s="5"/>
      <c r="T283" s="6"/>
      <c r="U283" s="1"/>
      <c r="V283" s="1"/>
      <c r="W283" s="1"/>
      <c r="X283" s="1"/>
      <c r="Y283" s="1"/>
      <c r="Z283" s="1"/>
    </row>
    <row r="284" spans="1:26">
      <c r="A284" s="331"/>
      <c r="B284" s="331"/>
      <c r="C284" s="305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2"/>
      <c r="O284" s="2"/>
      <c r="P284" s="2"/>
      <c r="Q284" s="2"/>
      <c r="R284" s="2"/>
      <c r="S284" s="2"/>
      <c r="T284" s="3"/>
      <c r="U284" s="1"/>
      <c r="V284" s="1"/>
      <c r="W284" s="1"/>
      <c r="X284" s="1"/>
      <c r="Y284" s="1"/>
      <c r="Z284" s="1"/>
    </row>
    <row r="285" spans="1:26">
      <c r="A285" s="331"/>
      <c r="B285" s="331"/>
      <c r="C285" s="305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2"/>
      <c r="O285" s="2"/>
      <c r="P285" s="2"/>
      <c r="Q285" s="2"/>
      <c r="R285" s="2"/>
      <c r="S285" s="2"/>
      <c r="T285" s="3"/>
      <c r="U285" s="1"/>
      <c r="V285" s="1"/>
      <c r="W285" s="1"/>
      <c r="X285" s="1"/>
      <c r="Y285" s="1"/>
      <c r="Z285" s="1"/>
    </row>
    <row r="286" spans="1:26">
      <c r="A286" s="331"/>
      <c r="B286" s="331"/>
      <c r="C286" s="305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2"/>
      <c r="O286" s="2"/>
      <c r="P286" s="2"/>
      <c r="Q286" s="2"/>
      <c r="R286" s="2"/>
      <c r="S286" s="2"/>
      <c r="T286" s="3"/>
      <c r="U286" s="1"/>
      <c r="V286" s="1"/>
      <c r="W286" s="1"/>
      <c r="X286" s="1"/>
      <c r="Y286" s="1"/>
      <c r="Z286" s="1"/>
    </row>
    <row r="287" spans="1:26">
      <c r="A287" s="332"/>
      <c r="B287" s="332"/>
      <c r="C287" s="38"/>
      <c r="D287" s="4"/>
      <c r="E287" s="4"/>
      <c r="F287" s="4"/>
      <c r="G287" s="4"/>
      <c r="H287" s="4"/>
      <c r="I287" s="4"/>
      <c r="J287" s="4"/>
      <c r="K287" s="4"/>
      <c r="L287" s="5"/>
      <c r="M287" s="5"/>
      <c r="N287" s="5"/>
      <c r="O287" s="5"/>
      <c r="P287" s="5"/>
      <c r="Q287" s="5"/>
      <c r="R287" s="5"/>
      <c r="S287" s="5"/>
      <c r="T287" s="6"/>
      <c r="U287" s="1"/>
      <c r="V287" s="1"/>
      <c r="W287" s="1"/>
      <c r="X287" s="1"/>
      <c r="Y287" s="1"/>
      <c r="Z287" s="1"/>
    </row>
    <row r="288" spans="1:26">
      <c r="A288" s="331"/>
      <c r="B288" s="331"/>
      <c r="C288" s="305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2"/>
      <c r="O288" s="2"/>
      <c r="P288" s="2"/>
      <c r="Q288" s="2"/>
      <c r="R288" s="2"/>
      <c r="S288" s="2"/>
      <c r="T288" s="3"/>
      <c r="U288" s="1"/>
      <c r="V288" s="1"/>
      <c r="W288" s="1"/>
      <c r="X288" s="1"/>
      <c r="Y288" s="1"/>
      <c r="Z288" s="1"/>
    </row>
    <row r="289" spans="1:26">
      <c r="A289" s="331"/>
      <c r="B289" s="331"/>
      <c r="C289" s="305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2"/>
      <c r="O289" s="2"/>
      <c r="P289" s="2"/>
      <c r="Q289" s="2"/>
      <c r="R289" s="2"/>
      <c r="S289" s="2"/>
      <c r="T289" s="3"/>
      <c r="U289" s="1"/>
      <c r="V289" s="1"/>
      <c r="W289" s="1"/>
      <c r="X289" s="1"/>
      <c r="Y289" s="1"/>
      <c r="Z289" s="1"/>
    </row>
    <row r="290" spans="1:26">
      <c r="A290" s="331"/>
      <c r="B290" s="331"/>
      <c r="C290" s="115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2"/>
      <c r="O290" s="2"/>
      <c r="P290" s="2"/>
      <c r="Q290" s="2"/>
      <c r="R290" s="2"/>
      <c r="S290" s="2"/>
      <c r="T290" s="3"/>
      <c r="U290" s="1"/>
      <c r="V290" s="1"/>
      <c r="W290" s="1"/>
      <c r="X290" s="1"/>
      <c r="Y290" s="1"/>
      <c r="Z290" s="1"/>
    </row>
    <row r="291" spans="1:26">
      <c r="A291" s="331"/>
      <c r="B291" s="331"/>
      <c r="C291" s="115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2"/>
      <c r="O291" s="2"/>
      <c r="P291" s="2"/>
      <c r="Q291" s="2"/>
      <c r="R291" s="2"/>
      <c r="S291" s="2"/>
      <c r="T291" s="3"/>
      <c r="U291" s="1"/>
      <c r="V291" s="1"/>
      <c r="W291" s="1"/>
      <c r="X291" s="1"/>
      <c r="Y291" s="1"/>
      <c r="Z291" s="1"/>
    </row>
    <row r="292" spans="1:26">
      <c r="A292" s="331"/>
      <c r="B292" s="331"/>
      <c r="C292" s="305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2"/>
      <c r="O292" s="2"/>
      <c r="P292" s="2"/>
      <c r="Q292" s="2"/>
      <c r="R292" s="2"/>
      <c r="S292" s="2"/>
      <c r="T292" s="3"/>
      <c r="U292" s="1"/>
      <c r="V292" s="1"/>
      <c r="W292" s="1"/>
      <c r="X292" s="1"/>
      <c r="Y292" s="1"/>
      <c r="Z292" s="1"/>
    </row>
    <row r="293" spans="1:26">
      <c r="A293" s="331"/>
      <c r="B293" s="331"/>
      <c r="C293" s="305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2"/>
      <c r="O293" s="2"/>
      <c r="P293" s="2"/>
      <c r="Q293" s="2"/>
      <c r="R293" s="2"/>
      <c r="S293" s="2"/>
      <c r="T293" s="3"/>
      <c r="U293" s="1"/>
      <c r="V293" s="1"/>
      <c r="W293" s="1"/>
      <c r="X293" s="1"/>
      <c r="Y293" s="1"/>
      <c r="Z293" s="1"/>
    </row>
    <row r="294" spans="1:26">
      <c r="A294" s="331"/>
      <c r="B294" s="331"/>
      <c r="C294" s="305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2"/>
      <c r="O294" s="2"/>
      <c r="P294" s="2"/>
      <c r="Q294" s="2"/>
      <c r="R294" s="2"/>
      <c r="S294" s="2"/>
      <c r="T294" s="3"/>
      <c r="U294" s="1"/>
      <c r="V294" s="1"/>
      <c r="W294" s="1"/>
      <c r="X294" s="1"/>
      <c r="Y294" s="1"/>
      <c r="Z294" s="1"/>
    </row>
    <row r="295" spans="1:26">
      <c r="A295" s="332"/>
      <c r="B295" s="332"/>
      <c r="C295" s="38"/>
      <c r="D295" s="4"/>
      <c r="E295" s="4"/>
      <c r="F295" s="4"/>
      <c r="G295" s="4"/>
      <c r="H295" s="4"/>
      <c r="I295" s="4"/>
      <c r="J295" s="4"/>
      <c r="K295" s="4"/>
      <c r="L295" s="5"/>
      <c r="M295" s="5"/>
      <c r="N295" s="5"/>
      <c r="O295" s="5"/>
      <c r="P295" s="5"/>
      <c r="Q295" s="5"/>
      <c r="R295" s="5"/>
      <c r="S295" s="5"/>
      <c r="T295" s="6"/>
      <c r="U295" s="1"/>
      <c r="V295" s="1"/>
      <c r="W295" s="1"/>
      <c r="X295" s="1"/>
      <c r="Y295" s="1"/>
      <c r="Z295" s="1"/>
    </row>
    <row r="296" spans="1:26">
      <c r="A296" s="331"/>
      <c r="B296" s="331"/>
      <c r="C296" s="305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2"/>
      <c r="O296" s="2"/>
      <c r="P296" s="2"/>
      <c r="Q296" s="2"/>
      <c r="R296" s="2"/>
      <c r="S296" s="2"/>
      <c r="T296" s="3"/>
      <c r="U296" s="1"/>
      <c r="V296" s="1"/>
      <c r="W296" s="1"/>
      <c r="X296" s="1"/>
      <c r="Y296" s="1"/>
      <c r="Z296" s="1"/>
    </row>
    <row r="297" spans="1:26">
      <c r="A297" s="332"/>
      <c r="B297" s="332"/>
      <c r="C297" s="38"/>
      <c r="D297" s="4"/>
      <c r="E297" s="4"/>
      <c r="F297" s="4"/>
      <c r="G297" s="4"/>
      <c r="H297" s="4"/>
      <c r="I297" s="4"/>
      <c r="J297" s="4"/>
      <c r="K297" s="4"/>
      <c r="L297" s="5"/>
      <c r="M297" s="5"/>
      <c r="N297" s="5"/>
      <c r="O297" s="5"/>
      <c r="P297" s="5"/>
      <c r="Q297" s="5"/>
      <c r="R297" s="5"/>
      <c r="S297" s="5"/>
      <c r="T297" s="6"/>
      <c r="U297" s="1"/>
      <c r="V297" s="1"/>
      <c r="W297" s="1"/>
      <c r="X297" s="1"/>
      <c r="Y297" s="1"/>
      <c r="Z297" s="1"/>
    </row>
    <row r="298" spans="1:26">
      <c r="A298" s="331"/>
      <c r="B298" s="331"/>
      <c r="C298" s="305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2"/>
      <c r="O298" s="2"/>
      <c r="P298" s="2"/>
      <c r="Q298" s="2"/>
      <c r="R298" s="2"/>
      <c r="S298" s="2"/>
      <c r="T298" s="3"/>
      <c r="U298" s="1"/>
      <c r="V298" s="1"/>
      <c r="W298" s="1"/>
      <c r="X298" s="1"/>
      <c r="Y298" s="1"/>
      <c r="Z298" s="1"/>
    </row>
    <row r="299" spans="1:26">
      <c r="A299" s="331"/>
      <c r="B299" s="331"/>
      <c r="C299" s="305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2"/>
      <c r="O299" s="2"/>
      <c r="P299" s="2"/>
      <c r="Q299" s="2"/>
      <c r="R299" s="2"/>
      <c r="S299" s="2"/>
      <c r="T299" s="3"/>
      <c r="U299" s="1"/>
      <c r="V299" s="1"/>
      <c r="W299" s="1"/>
      <c r="X299" s="1"/>
      <c r="Y299" s="1"/>
      <c r="Z299" s="1"/>
    </row>
    <row r="300" spans="1:26">
      <c r="A300" s="332"/>
      <c r="B300" s="332"/>
      <c r="C300" s="38"/>
      <c r="D300" s="4"/>
      <c r="E300" s="4"/>
      <c r="F300" s="4"/>
      <c r="G300" s="4"/>
      <c r="H300" s="4"/>
      <c r="I300" s="4"/>
      <c r="J300" s="4"/>
      <c r="K300" s="4"/>
      <c r="L300" s="5"/>
      <c r="M300" s="5"/>
      <c r="N300" s="5"/>
      <c r="O300" s="5"/>
      <c r="P300" s="5"/>
      <c r="Q300" s="5"/>
      <c r="R300" s="5"/>
      <c r="S300" s="5"/>
      <c r="T300" s="6"/>
      <c r="U300" s="1"/>
      <c r="V300" s="1"/>
      <c r="W300" s="1"/>
      <c r="X300" s="1"/>
      <c r="Y300" s="1"/>
      <c r="Z300" s="1"/>
    </row>
    <row r="301" spans="1:26">
      <c r="A301" s="332"/>
      <c r="B301" s="332"/>
      <c r="C301" s="38"/>
      <c r="D301" s="4"/>
      <c r="E301" s="4"/>
      <c r="F301" s="4"/>
      <c r="G301" s="4"/>
      <c r="H301" s="4"/>
      <c r="I301" s="4"/>
      <c r="J301" s="4"/>
      <c r="K301" s="4"/>
      <c r="L301" s="5"/>
      <c r="M301" s="5"/>
      <c r="N301" s="5"/>
      <c r="O301" s="5"/>
      <c r="P301" s="5"/>
      <c r="Q301" s="5"/>
      <c r="R301" s="5"/>
      <c r="S301" s="5"/>
      <c r="T301" s="6"/>
      <c r="U301" s="1"/>
      <c r="V301" s="1"/>
      <c r="W301" s="1"/>
      <c r="X301" s="1"/>
      <c r="Y301" s="1"/>
      <c r="Z301" s="1"/>
    </row>
    <row r="302" spans="1:26">
      <c r="A302" s="331"/>
      <c r="B302" s="331"/>
      <c r="C302" s="305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2"/>
      <c r="O302" s="2"/>
      <c r="P302" s="2"/>
      <c r="Q302" s="2"/>
      <c r="R302" s="2"/>
      <c r="S302" s="2"/>
      <c r="T302" s="3"/>
      <c r="U302" s="1"/>
      <c r="V302" s="1"/>
      <c r="W302" s="1"/>
      <c r="X302" s="1"/>
      <c r="Y302" s="1"/>
      <c r="Z302" s="1"/>
    </row>
    <row r="303" spans="1:26">
      <c r="A303" s="332"/>
      <c r="B303" s="332"/>
      <c r="C303" s="38"/>
      <c r="D303" s="4"/>
      <c r="E303" s="4"/>
      <c r="F303" s="4"/>
      <c r="G303" s="4"/>
      <c r="H303" s="4"/>
      <c r="I303" s="4"/>
      <c r="J303" s="4"/>
      <c r="K303" s="4"/>
      <c r="L303" s="5"/>
      <c r="M303" s="5"/>
      <c r="N303" s="5"/>
      <c r="O303" s="5"/>
      <c r="P303" s="5"/>
      <c r="Q303" s="5"/>
      <c r="R303" s="5"/>
      <c r="S303" s="5"/>
      <c r="T303" s="6"/>
      <c r="U303" s="1"/>
      <c r="V303" s="1"/>
      <c r="W303" s="1"/>
      <c r="X303" s="1"/>
      <c r="Y303" s="1"/>
      <c r="Z303" s="1"/>
    </row>
    <row r="304" spans="1:26">
      <c r="A304" s="332"/>
      <c r="B304" s="332"/>
      <c r="C304" s="38"/>
      <c r="D304" s="4"/>
      <c r="E304" s="4"/>
      <c r="F304" s="4"/>
      <c r="G304" s="4"/>
      <c r="H304" s="4"/>
      <c r="I304" s="4"/>
      <c r="J304" s="4"/>
      <c r="K304" s="4"/>
      <c r="L304" s="5"/>
      <c r="M304" s="5"/>
      <c r="N304" s="5"/>
      <c r="O304" s="5"/>
      <c r="P304" s="5"/>
      <c r="Q304" s="5"/>
      <c r="R304" s="5"/>
      <c r="S304" s="5"/>
      <c r="T304" s="6"/>
      <c r="U304" s="1"/>
      <c r="V304" s="1"/>
      <c r="W304" s="1"/>
      <c r="X304" s="1"/>
      <c r="Y304" s="1"/>
      <c r="Z304" s="1"/>
    </row>
    <row r="305" spans="1:26">
      <c r="A305" s="332"/>
      <c r="B305" s="332"/>
      <c r="C305" s="38"/>
      <c r="D305" s="4"/>
      <c r="E305" s="4"/>
      <c r="F305" s="4"/>
      <c r="G305" s="4"/>
      <c r="H305" s="4"/>
      <c r="I305" s="4"/>
      <c r="J305" s="4"/>
      <c r="K305" s="4"/>
      <c r="L305" s="5"/>
      <c r="M305" s="5"/>
      <c r="N305" s="5"/>
      <c r="O305" s="5"/>
      <c r="P305" s="5"/>
      <c r="Q305" s="5"/>
      <c r="R305" s="5"/>
      <c r="S305" s="5"/>
      <c r="T305" s="6"/>
      <c r="U305" s="1"/>
      <c r="V305" s="1"/>
      <c r="W305" s="1"/>
      <c r="X305" s="1"/>
      <c r="Y305" s="1"/>
      <c r="Z305" s="1"/>
    </row>
    <row r="306" spans="1:26">
      <c r="A306" s="332"/>
      <c r="B306" s="332"/>
      <c r="C306" s="38"/>
      <c r="D306" s="4"/>
      <c r="E306" s="4"/>
      <c r="F306" s="4"/>
      <c r="G306" s="4"/>
      <c r="H306" s="4"/>
      <c r="I306" s="4"/>
      <c r="J306" s="4"/>
      <c r="K306" s="4"/>
      <c r="L306" s="5"/>
      <c r="M306" s="5"/>
      <c r="N306" s="5"/>
      <c r="O306" s="5"/>
      <c r="P306" s="5"/>
      <c r="Q306" s="5"/>
      <c r="R306" s="5"/>
      <c r="S306" s="5"/>
      <c r="T306" s="6"/>
      <c r="U306" s="1"/>
      <c r="V306" s="1"/>
      <c r="W306" s="1"/>
      <c r="X306" s="1"/>
      <c r="Y306" s="1"/>
      <c r="Z306" s="1"/>
    </row>
    <row r="307" spans="1:26">
      <c r="A307" s="331"/>
      <c r="B307" s="331"/>
      <c r="C307" s="305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2"/>
      <c r="O307" s="2"/>
      <c r="P307" s="2"/>
      <c r="Q307" s="2"/>
      <c r="R307" s="2"/>
      <c r="S307" s="2"/>
      <c r="T307" s="3"/>
      <c r="U307" s="1"/>
      <c r="V307" s="1"/>
      <c r="W307" s="1"/>
      <c r="X307" s="1"/>
      <c r="Y307" s="1"/>
      <c r="Z307" s="1"/>
    </row>
    <row r="308" spans="1:26">
      <c r="A308" s="332"/>
      <c r="B308" s="332"/>
      <c r="C308" s="38"/>
      <c r="D308" s="4"/>
      <c r="E308" s="4"/>
      <c r="F308" s="4"/>
      <c r="G308" s="4"/>
      <c r="H308" s="4"/>
      <c r="I308" s="4"/>
      <c r="J308" s="4"/>
      <c r="K308" s="4"/>
      <c r="L308" s="5"/>
      <c r="M308" s="5"/>
      <c r="N308" s="5"/>
      <c r="O308" s="5"/>
      <c r="P308" s="5"/>
      <c r="Q308" s="5"/>
      <c r="R308" s="5"/>
      <c r="S308" s="5"/>
      <c r="T308" s="6"/>
      <c r="U308" s="1"/>
      <c r="V308" s="1"/>
      <c r="W308" s="1"/>
      <c r="X308" s="1"/>
      <c r="Y308" s="1"/>
      <c r="Z308" s="1"/>
    </row>
    <row r="309" spans="1:26">
      <c r="A309" s="331"/>
      <c r="B309" s="331"/>
      <c r="C309" s="305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2"/>
      <c r="O309" s="2"/>
      <c r="P309" s="2"/>
      <c r="Q309" s="2"/>
      <c r="R309" s="2"/>
      <c r="S309" s="2"/>
      <c r="T309" s="3"/>
      <c r="U309" s="1"/>
      <c r="V309" s="1"/>
      <c r="W309" s="1"/>
      <c r="X309" s="1"/>
      <c r="Y309" s="1"/>
      <c r="Z309" s="1"/>
    </row>
    <row r="310" spans="1:26">
      <c r="A310" s="332"/>
      <c r="B310" s="332"/>
      <c r="C310" s="38"/>
      <c r="D310" s="4"/>
      <c r="E310" s="4"/>
      <c r="F310" s="4"/>
      <c r="G310" s="4"/>
      <c r="H310" s="4"/>
      <c r="I310" s="4"/>
      <c r="J310" s="4"/>
      <c r="K310" s="4"/>
      <c r="L310" s="5"/>
      <c r="M310" s="5"/>
      <c r="N310" s="5"/>
      <c r="O310" s="5"/>
      <c r="P310" s="5"/>
      <c r="Q310" s="5"/>
      <c r="R310" s="5"/>
      <c r="S310" s="5"/>
      <c r="T310" s="6"/>
      <c r="U310" s="1"/>
      <c r="V310" s="1"/>
      <c r="W310" s="1"/>
      <c r="X310" s="1"/>
      <c r="Y310" s="1"/>
      <c r="Z310" s="1"/>
    </row>
    <row r="311" spans="1:26">
      <c r="A311" s="331"/>
      <c r="B311" s="331"/>
      <c r="C311" s="305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2"/>
      <c r="O311" s="2"/>
      <c r="P311" s="2"/>
      <c r="Q311" s="2"/>
      <c r="R311" s="2"/>
      <c r="S311" s="2"/>
      <c r="T311" s="3"/>
      <c r="U311" s="1"/>
      <c r="V311" s="1"/>
      <c r="W311" s="1"/>
      <c r="X311" s="1"/>
      <c r="Y311" s="1"/>
      <c r="Z311" s="1"/>
    </row>
    <row r="312" spans="1:26">
      <c r="A312" s="331"/>
      <c r="B312" s="331"/>
      <c r="C312" s="305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2"/>
      <c r="O312" s="2"/>
      <c r="P312" s="2"/>
      <c r="Q312" s="2"/>
      <c r="R312" s="2"/>
      <c r="S312" s="2"/>
      <c r="T312" s="3"/>
      <c r="U312" s="1"/>
      <c r="V312" s="1"/>
      <c r="W312" s="1"/>
      <c r="X312" s="1"/>
      <c r="Y312" s="1"/>
      <c r="Z312" s="1"/>
    </row>
    <row r="313" spans="1:26">
      <c r="A313" s="331"/>
      <c r="B313" s="331"/>
      <c r="C313" s="305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2"/>
      <c r="O313" s="2"/>
      <c r="P313" s="2"/>
      <c r="Q313" s="2"/>
      <c r="R313" s="2"/>
      <c r="S313" s="2"/>
      <c r="T313" s="3"/>
      <c r="U313" s="1"/>
      <c r="V313" s="1"/>
      <c r="W313" s="1"/>
      <c r="X313" s="1"/>
      <c r="Y313" s="1"/>
      <c r="Z313" s="1"/>
    </row>
    <row r="314" spans="1:26">
      <c r="A314" s="332"/>
      <c r="B314" s="332"/>
      <c r="C314" s="38"/>
      <c r="D314" s="4"/>
      <c r="E314" s="4"/>
      <c r="F314" s="4"/>
      <c r="G314" s="4"/>
      <c r="H314" s="4"/>
      <c r="I314" s="4"/>
      <c r="J314" s="4"/>
      <c r="K314" s="4"/>
      <c r="L314" s="5"/>
      <c r="M314" s="5"/>
      <c r="N314" s="5"/>
      <c r="O314" s="5"/>
      <c r="P314" s="5"/>
      <c r="Q314" s="5"/>
      <c r="R314" s="5"/>
      <c r="S314" s="5"/>
      <c r="T314" s="6"/>
      <c r="U314" s="1"/>
      <c r="V314" s="1"/>
      <c r="W314" s="1"/>
      <c r="X314" s="1"/>
      <c r="Y314" s="1"/>
      <c r="Z314" s="1"/>
    </row>
    <row r="315" spans="1:26">
      <c r="A315" s="332"/>
      <c r="B315" s="332"/>
      <c r="C315" s="38"/>
      <c r="D315" s="4"/>
      <c r="E315" s="4"/>
      <c r="F315" s="4"/>
      <c r="G315" s="4"/>
      <c r="H315" s="4"/>
      <c r="I315" s="4"/>
      <c r="J315" s="4"/>
      <c r="K315" s="4"/>
      <c r="L315" s="5"/>
      <c r="M315" s="5"/>
      <c r="N315" s="5"/>
      <c r="O315" s="5"/>
      <c r="P315" s="5"/>
      <c r="Q315" s="5"/>
      <c r="R315" s="5"/>
      <c r="S315" s="5"/>
      <c r="T315" s="6"/>
      <c r="U315" s="1"/>
      <c r="V315" s="1"/>
      <c r="W315" s="1"/>
      <c r="X315" s="1"/>
      <c r="Y315" s="1"/>
      <c r="Z315" s="1"/>
    </row>
    <row r="316" spans="1:26">
      <c r="A316" s="331"/>
      <c r="B316" s="331"/>
      <c r="C316" s="305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2"/>
      <c r="O316" s="2"/>
      <c r="P316" s="2"/>
      <c r="Q316" s="2"/>
      <c r="R316" s="2"/>
      <c r="S316" s="2"/>
      <c r="T316" s="3"/>
      <c r="U316" s="1"/>
      <c r="V316" s="1"/>
      <c r="W316" s="1"/>
      <c r="X316" s="1"/>
      <c r="Y316" s="1"/>
      <c r="Z316" s="1"/>
    </row>
    <row r="317" spans="1:26">
      <c r="A317" s="332"/>
      <c r="B317" s="332"/>
      <c r="C317" s="38"/>
      <c r="D317" s="4"/>
      <c r="E317" s="4"/>
      <c r="F317" s="4"/>
      <c r="G317" s="4"/>
      <c r="H317" s="4"/>
      <c r="I317" s="4"/>
      <c r="J317" s="4"/>
      <c r="K317" s="4"/>
      <c r="L317" s="5"/>
      <c r="M317" s="5"/>
      <c r="N317" s="5"/>
      <c r="O317" s="5"/>
      <c r="P317" s="5"/>
      <c r="Q317" s="5"/>
      <c r="R317" s="5"/>
      <c r="S317" s="5"/>
      <c r="T317" s="6"/>
      <c r="U317" s="1"/>
      <c r="V317" s="1"/>
      <c r="W317" s="1"/>
      <c r="X317" s="1"/>
      <c r="Y317" s="1"/>
      <c r="Z317" s="1"/>
    </row>
    <row r="318" spans="1:26">
      <c r="A318" s="332"/>
      <c r="B318" s="332"/>
      <c r="C318" s="38"/>
      <c r="D318" s="4"/>
      <c r="E318" s="4"/>
      <c r="F318" s="4"/>
      <c r="G318" s="4"/>
      <c r="H318" s="4"/>
      <c r="I318" s="4"/>
      <c r="J318" s="4"/>
      <c r="K318" s="4"/>
      <c r="L318" s="5"/>
      <c r="M318" s="5"/>
      <c r="N318" s="5"/>
      <c r="O318" s="5"/>
      <c r="P318" s="5"/>
      <c r="Q318" s="5"/>
      <c r="R318" s="5"/>
      <c r="S318" s="5"/>
      <c r="T318" s="6"/>
      <c r="U318" s="1"/>
      <c r="V318" s="1"/>
      <c r="W318" s="1"/>
      <c r="X318" s="1"/>
      <c r="Y318" s="1"/>
      <c r="Z318" s="1"/>
    </row>
    <row r="319" spans="1:26">
      <c r="A319" s="331"/>
      <c r="B319" s="331"/>
      <c r="C319" s="305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2"/>
      <c r="O319" s="2"/>
      <c r="P319" s="2"/>
      <c r="Q319" s="2"/>
      <c r="R319" s="2"/>
      <c r="S319" s="2"/>
      <c r="T319" s="3"/>
      <c r="U319" s="1"/>
      <c r="V319" s="1"/>
      <c r="W319" s="1"/>
      <c r="X319" s="1"/>
      <c r="Y319" s="1"/>
      <c r="Z319" s="1"/>
    </row>
    <row r="320" spans="1:26">
      <c r="A320" s="331"/>
      <c r="B320" s="331"/>
      <c r="C320" s="305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2"/>
      <c r="O320" s="2"/>
      <c r="P320" s="2"/>
      <c r="Q320" s="2"/>
      <c r="R320" s="2"/>
      <c r="S320" s="2"/>
      <c r="T320" s="3"/>
      <c r="U320" s="1"/>
      <c r="V320" s="1"/>
      <c r="W320" s="1"/>
      <c r="X320" s="1"/>
      <c r="Y320" s="1"/>
      <c r="Z320" s="1"/>
    </row>
    <row r="321" spans="1:26">
      <c r="A321" s="331"/>
      <c r="B321" s="331"/>
      <c r="C321" s="305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2"/>
      <c r="O321" s="2"/>
      <c r="P321" s="2"/>
      <c r="Q321" s="2"/>
      <c r="R321" s="2"/>
      <c r="S321" s="2"/>
      <c r="T321" s="3"/>
      <c r="U321" s="1"/>
      <c r="V321" s="1"/>
      <c r="W321" s="1"/>
      <c r="X321" s="1"/>
      <c r="Y321" s="1"/>
      <c r="Z321" s="1"/>
    </row>
    <row r="322" spans="1:26">
      <c r="A322" s="332"/>
      <c r="B322" s="332"/>
      <c r="C322" s="38"/>
      <c r="D322" s="4"/>
      <c r="E322" s="4"/>
      <c r="F322" s="4"/>
      <c r="G322" s="4"/>
      <c r="H322" s="4"/>
      <c r="I322" s="4"/>
      <c r="J322" s="4"/>
      <c r="K322" s="4"/>
      <c r="L322" s="5"/>
      <c r="M322" s="5"/>
      <c r="N322" s="5"/>
      <c r="O322" s="5"/>
      <c r="P322" s="5"/>
      <c r="Q322" s="5"/>
      <c r="R322" s="5"/>
      <c r="S322" s="5"/>
      <c r="T322" s="6"/>
      <c r="U322" s="1"/>
      <c r="V322" s="1"/>
      <c r="W322" s="1"/>
      <c r="X322" s="1"/>
      <c r="Y322" s="1"/>
      <c r="Z322" s="1"/>
    </row>
    <row r="323" spans="1:26">
      <c r="A323" s="332"/>
      <c r="B323" s="332"/>
      <c r="C323" s="38"/>
      <c r="D323" s="4"/>
      <c r="E323" s="4"/>
      <c r="F323" s="4"/>
      <c r="G323" s="4"/>
      <c r="H323" s="4"/>
      <c r="I323" s="4"/>
      <c r="J323" s="4"/>
      <c r="K323" s="4"/>
      <c r="L323" s="5"/>
      <c r="M323" s="5"/>
      <c r="N323" s="5"/>
      <c r="O323" s="5"/>
      <c r="P323" s="5"/>
      <c r="Q323" s="5"/>
      <c r="R323" s="5"/>
      <c r="S323" s="5"/>
      <c r="T323" s="6"/>
      <c r="U323" s="1"/>
      <c r="V323" s="1"/>
      <c r="W323" s="1"/>
      <c r="X323" s="1"/>
      <c r="Y323" s="1"/>
      <c r="Z323" s="1"/>
    </row>
    <row r="324" spans="1:26">
      <c r="A324" s="332"/>
      <c r="B324" s="332"/>
      <c r="C324" s="38"/>
      <c r="D324" s="4"/>
      <c r="E324" s="4"/>
      <c r="F324" s="4"/>
      <c r="G324" s="4"/>
      <c r="H324" s="4"/>
      <c r="I324" s="4"/>
      <c r="J324" s="4"/>
      <c r="K324" s="4"/>
      <c r="L324" s="5"/>
      <c r="M324" s="5"/>
      <c r="N324" s="5"/>
      <c r="O324" s="5"/>
      <c r="P324" s="5"/>
      <c r="Q324" s="5"/>
      <c r="R324" s="5"/>
      <c r="S324" s="5"/>
      <c r="T324" s="6"/>
      <c r="U324" s="1"/>
      <c r="V324" s="1"/>
      <c r="W324" s="1"/>
      <c r="X324" s="1"/>
      <c r="Y324" s="1"/>
      <c r="Z324" s="1"/>
    </row>
    <row r="325" spans="1:26">
      <c r="A325" s="332"/>
      <c r="B325" s="332"/>
      <c r="C325" s="38"/>
      <c r="D325" s="4"/>
      <c r="E325" s="4"/>
      <c r="F325" s="4"/>
      <c r="G325" s="4"/>
      <c r="H325" s="4"/>
      <c r="I325" s="4"/>
      <c r="J325" s="4"/>
      <c r="K325" s="4"/>
      <c r="L325" s="5"/>
      <c r="M325" s="5"/>
      <c r="N325" s="5"/>
      <c r="O325" s="5"/>
      <c r="P325" s="5"/>
      <c r="Q325" s="5"/>
      <c r="R325" s="5"/>
      <c r="S325" s="5"/>
      <c r="T325" s="6"/>
      <c r="U325" s="1"/>
      <c r="V325" s="1"/>
      <c r="W325" s="1"/>
      <c r="X325" s="1"/>
      <c r="Y325" s="1"/>
      <c r="Z325" s="1"/>
    </row>
    <row r="326" spans="1:26">
      <c r="A326" s="331"/>
      <c r="B326" s="331"/>
      <c r="C326" s="305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2"/>
      <c r="O326" s="2"/>
      <c r="P326" s="2"/>
      <c r="Q326" s="2"/>
      <c r="R326" s="2"/>
      <c r="S326" s="2"/>
      <c r="T326" s="3"/>
      <c r="U326" s="1"/>
      <c r="V326" s="1"/>
      <c r="W326" s="1"/>
      <c r="X326" s="1"/>
      <c r="Y326" s="1"/>
      <c r="Z326" s="1"/>
    </row>
    <row r="327" spans="1:26">
      <c r="A327" s="331"/>
      <c r="B327" s="331"/>
      <c r="C327" s="305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2"/>
      <c r="O327" s="2"/>
      <c r="P327" s="2"/>
      <c r="Q327" s="2"/>
      <c r="R327" s="2"/>
      <c r="S327" s="2"/>
      <c r="T327" s="3"/>
      <c r="U327" s="1"/>
      <c r="V327" s="1"/>
      <c r="W327" s="1"/>
      <c r="X327" s="1"/>
      <c r="Y327" s="1"/>
      <c r="Z327" s="1"/>
    </row>
    <row r="328" spans="1:26">
      <c r="A328" s="331"/>
      <c r="B328" s="331"/>
      <c r="C328" s="115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2"/>
      <c r="O328" s="2"/>
      <c r="P328" s="2"/>
      <c r="Q328" s="2"/>
      <c r="R328" s="2"/>
      <c r="S328" s="2"/>
      <c r="T328" s="3"/>
      <c r="U328" s="1"/>
      <c r="V328" s="1"/>
      <c r="W328" s="1"/>
      <c r="X328" s="1"/>
      <c r="Y328" s="1"/>
      <c r="Z328" s="1"/>
    </row>
    <row r="329" spans="1:26">
      <c r="A329" s="332"/>
      <c r="B329" s="332"/>
      <c r="C329" s="38"/>
      <c r="D329" s="4"/>
      <c r="E329" s="4"/>
      <c r="F329" s="4"/>
      <c r="G329" s="4"/>
      <c r="H329" s="4"/>
      <c r="I329" s="4"/>
      <c r="J329" s="4"/>
      <c r="K329" s="4"/>
      <c r="L329" s="5"/>
      <c r="M329" s="5"/>
      <c r="N329" s="5"/>
      <c r="O329" s="5"/>
      <c r="P329" s="5"/>
      <c r="Q329" s="5"/>
      <c r="R329" s="5"/>
      <c r="S329" s="5"/>
      <c r="T329" s="6"/>
      <c r="U329" s="1"/>
      <c r="V329" s="1"/>
      <c r="W329" s="1"/>
      <c r="X329" s="1"/>
      <c r="Y329" s="1"/>
      <c r="Z329" s="1"/>
    </row>
    <row r="330" spans="1:26">
      <c r="A330" s="331"/>
      <c r="B330" s="331"/>
      <c r="C330" s="115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2"/>
      <c r="O330" s="2"/>
      <c r="P330" s="2"/>
      <c r="Q330" s="2"/>
      <c r="R330" s="2"/>
      <c r="S330" s="2"/>
      <c r="T330" s="3"/>
      <c r="U330" s="1"/>
      <c r="V330" s="1"/>
      <c r="W330" s="1"/>
      <c r="X330" s="1"/>
      <c r="Y330" s="1"/>
      <c r="Z330" s="1"/>
    </row>
    <row r="331" spans="1:26">
      <c r="A331" s="332"/>
      <c r="B331" s="332"/>
      <c r="C331" s="38"/>
      <c r="D331" s="4"/>
      <c r="E331" s="4"/>
      <c r="F331" s="4"/>
      <c r="G331" s="4"/>
      <c r="H331" s="4"/>
      <c r="I331" s="4"/>
      <c r="J331" s="4"/>
      <c r="K331" s="4"/>
      <c r="L331" s="5"/>
      <c r="M331" s="5"/>
      <c r="N331" s="5"/>
      <c r="O331" s="5"/>
      <c r="P331" s="5"/>
      <c r="Q331" s="5"/>
      <c r="R331" s="5"/>
      <c r="S331" s="5"/>
      <c r="T331" s="6"/>
      <c r="U331" s="1"/>
      <c r="V331" s="1"/>
      <c r="W331" s="1"/>
      <c r="X331" s="1"/>
      <c r="Y331" s="1"/>
      <c r="Z331" s="1"/>
    </row>
    <row r="332" spans="1:26">
      <c r="A332" s="332"/>
      <c r="B332" s="332"/>
      <c r="C332" s="38"/>
      <c r="D332" s="4"/>
      <c r="E332" s="4"/>
      <c r="F332" s="4"/>
      <c r="G332" s="4"/>
      <c r="H332" s="4"/>
      <c r="I332" s="4"/>
      <c r="J332" s="4"/>
      <c r="K332" s="4"/>
      <c r="L332" s="5"/>
      <c r="M332" s="5"/>
      <c r="N332" s="5"/>
      <c r="O332" s="5"/>
      <c r="P332" s="5"/>
      <c r="Q332" s="5"/>
      <c r="R332" s="5"/>
      <c r="S332" s="5"/>
      <c r="T332" s="6"/>
      <c r="U332" s="1"/>
      <c r="V332" s="1"/>
      <c r="W332" s="1"/>
      <c r="X332" s="1"/>
      <c r="Y332" s="1"/>
      <c r="Z332" s="1"/>
    </row>
    <row r="333" spans="1:26">
      <c r="A333" s="332"/>
      <c r="B333" s="332"/>
      <c r="C333" s="38"/>
      <c r="D333" s="4"/>
      <c r="E333" s="4"/>
      <c r="F333" s="4"/>
      <c r="G333" s="4"/>
      <c r="H333" s="4"/>
      <c r="I333" s="4"/>
      <c r="J333" s="4"/>
      <c r="K333" s="4"/>
      <c r="L333" s="5"/>
      <c r="M333" s="5"/>
      <c r="N333" s="5"/>
      <c r="O333" s="5"/>
      <c r="P333" s="5"/>
      <c r="Q333" s="5"/>
      <c r="R333" s="5"/>
      <c r="S333" s="5"/>
      <c r="T333" s="6"/>
      <c r="U333" s="1"/>
      <c r="V333" s="1"/>
      <c r="W333" s="1"/>
      <c r="X333" s="1"/>
      <c r="Y333" s="1"/>
      <c r="Z333" s="1"/>
    </row>
    <row r="334" spans="1:26">
      <c r="A334" s="332"/>
      <c r="B334" s="332"/>
      <c r="C334" s="38"/>
      <c r="D334" s="4"/>
      <c r="E334" s="4"/>
      <c r="F334" s="4"/>
      <c r="G334" s="4"/>
      <c r="H334" s="4"/>
      <c r="I334" s="4"/>
      <c r="J334" s="4"/>
      <c r="K334" s="4"/>
      <c r="L334" s="5"/>
      <c r="M334" s="5"/>
      <c r="N334" s="5"/>
      <c r="O334" s="5"/>
      <c r="P334" s="5"/>
      <c r="Q334" s="5"/>
      <c r="R334" s="5"/>
      <c r="S334" s="5"/>
      <c r="T334" s="6"/>
      <c r="U334" s="1"/>
      <c r="V334" s="1"/>
      <c r="W334" s="1"/>
      <c r="X334" s="1"/>
      <c r="Y334" s="1"/>
      <c r="Z334" s="1"/>
    </row>
    <row r="335" spans="1:26">
      <c r="A335" s="332"/>
      <c r="B335" s="332"/>
      <c r="C335" s="38"/>
      <c r="D335" s="4"/>
      <c r="E335" s="4"/>
      <c r="F335" s="4"/>
      <c r="G335" s="4"/>
      <c r="H335" s="4"/>
      <c r="I335" s="4"/>
      <c r="J335" s="4"/>
      <c r="K335" s="4"/>
      <c r="L335" s="5"/>
      <c r="M335" s="5"/>
      <c r="N335" s="5"/>
      <c r="O335" s="5"/>
      <c r="P335" s="5"/>
      <c r="Q335" s="5"/>
      <c r="R335" s="5"/>
      <c r="S335" s="5"/>
      <c r="T335" s="6"/>
      <c r="U335" s="1"/>
      <c r="V335" s="1"/>
      <c r="W335" s="1"/>
      <c r="X335" s="1"/>
      <c r="Y335" s="1"/>
      <c r="Z335" s="1"/>
    </row>
    <row r="336" spans="1:26">
      <c r="A336" s="331"/>
      <c r="B336" s="331"/>
      <c r="C336" s="305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2"/>
      <c r="O336" s="2"/>
      <c r="P336" s="2"/>
      <c r="Q336" s="2"/>
      <c r="R336" s="2"/>
      <c r="S336" s="2"/>
      <c r="T336" s="3"/>
      <c r="U336" s="1"/>
      <c r="V336" s="1"/>
      <c r="W336" s="1"/>
      <c r="X336" s="1"/>
      <c r="Y336" s="1"/>
      <c r="Z336" s="1"/>
    </row>
    <row r="337" spans="1:26">
      <c r="A337" s="331"/>
      <c r="B337" s="331"/>
      <c r="C337" s="305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2"/>
      <c r="O337" s="2"/>
      <c r="P337" s="2"/>
      <c r="Q337" s="2"/>
      <c r="R337" s="2"/>
      <c r="S337" s="2"/>
      <c r="T337" s="3"/>
      <c r="U337" s="1"/>
      <c r="V337" s="1"/>
      <c r="W337" s="1"/>
      <c r="X337" s="1"/>
      <c r="Y337" s="1"/>
      <c r="Z337" s="1"/>
    </row>
    <row r="338" spans="1:26">
      <c r="A338" s="332"/>
      <c r="B338" s="332"/>
      <c r="C338" s="38"/>
      <c r="D338" s="4"/>
      <c r="E338" s="4"/>
      <c r="F338" s="4"/>
      <c r="G338" s="4"/>
      <c r="H338" s="4"/>
      <c r="I338" s="4"/>
      <c r="J338" s="4"/>
      <c r="K338" s="4"/>
      <c r="L338" s="5"/>
      <c r="M338" s="5"/>
      <c r="N338" s="5"/>
      <c r="O338" s="5"/>
      <c r="P338" s="5"/>
      <c r="Q338" s="5"/>
      <c r="R338" s="5"/>
      <c r="S338" s="5"/>
      <c r="T338" s="6"/>
      <c r="U338" s="1"/>
      <c r="V338" s="1"/>
      <c r="W338" s="1"/>
      <c r="X338" s="1"/>
      <c r="Y338" s="1"/>
      <c r="Z338" s="1"/>
    </row>
    <row r="339" spans="1:26">
      <c r="A339" s="332"/>
      <c r="B339" s="332"/>
      <c r="C339" s="38"/>
      <c r="D339" s="4"/>
      <c r="E339" s="4"/>
      <c r="F339" s="4"/>
      <c r="G339" s="4"/>
      <c r="H339" s="4"/>
      <c r="I339" s="4"/>
      <c r="J339" s="4"/>
      <c r="K339" s="4"/>
      <c r="L339" s="5"/>
      <c r="M339" s="5"/>
      <c r="N339" s="5"/>
      <c r="O339" s="5"/>
      <c r="P339" s="5"/>
      <c r="Q339" s="5"/>
      <c r="R339" s="5"/>
      <c r="S339" s="5"/>
      <c r="T339" s="6"/>
      <c r="U339" s="1"/>
      <c r="V339" s="1"/>
      <c r="W339" s="1"/>
      <c r="X339" s="1"/>
      <c r="Y339" s="1"/>
      <c r="Z339" s="1"/>
    </row>
    <row r="340" spans="1:26">
      <c r="A340" s="332"/>
      <c r="B340" s="332"/>
      <c r="C340" s="38"/>
      <c r="D340" s="4"/>
      <c r="E340" s="4"/>
      <c r="F340" s="4"/>
      <c r="G340" s="4"/>
      <c r="H340" s="4"/>
      <c r="I340" s="4"/>
      <c r="J340" s="4"/>
      <c r="K340" s="4"/>
      <c r="L340" s="5"/>
      <c r="M340" s="5"/>
      <c r="N340" s="5"/>
      <c r="O340" s="5"/>
      <c r="P340" s="5"/>
      <c r="Q340" s="5"/>
      <c r="R340" s="5"/>
      <c r="S340" s="5"/>
      <c r="T340" s="6"/>
      <c r="U340" s="1"/>
      <c r="V340" s="1"/>
      <c r="W340" s="1"/>
      <c r="X340" s="1"/>
      <c r="Y340" s="1"/>
      <c r="Z340" s="1"/>
    </row>
    <row r="341" spans="1:26">
      <c r="A341" s="332"/>
      <c r="B341" s="332"/>
      <c r="C341" s="38"/>
      <c r="D341" s="4"/>
      <c r="E341" s="4"/>
      <c r="F341" s="4"/>
      <c r="G341" s="4"/>
      <c r="H341" s="4"/>
      <c r="I341" s="4"/>
      <c r="J341" s="4"/>
      <c r="K341" s="4"/>
      <c r="L341" s="5"/>
      <c r="M341" s="5"/>
      <c r="N341" s="5"/>
      <c r="O341" s="5"/>
      <c r="P341" s="5"/>
      <c r="Q341" s="5"/>
      <c r="R341" s="5"/>
      <c r="S341" s="5"/>
      <c r="T341" s="6"/>
      <c r="U341" s="1"/>
      <c r="V341" s="1"/>
      <c r="W341" s="1"/>
      <c r="X341" s="1"/>
      <c r="Y341" s="1"/>
      <c r="Z341" s="1"/>
    </row>
    <row r="342" spans="1:26">
      <c r="A342" s="332"/>
      <c r="B342" s="332"/>
      <c r="C342" s="38"/>
      <c r="D342" s="4"/>
      <c r="E342" s="4"/>
      <c r="F342" s="4"/>
      <c r="G342" s="4"/>
      <c r="H342" s="4"/>
      <c r="I342" s="4"/>
      <c r="J342" s="4"/>
      <c r="K342" s="4"/>
      <c r="L342" s="5"/>
      <c r="M342" s="5"/>
      <c r="N342" s="5"/>
      <c r="O342" s="5"/>
      <c r="P342" s="5"/>
      <c r="Q342" s="5"/>
      <c r="R342" s="5"/>
      <c r="S342" s="5"/>
      <c r="T342" s="6"/>
      <c r="U342" s="1"/>
      <c r="V342" s="1"/>
      <c r="W342" s="1"/>
      <c r="X342" s="1"/>
      <c r="Y342" s="1"/>
      <c r="Z342" s="1"/>
    </row>
    <row r="343" spans="1:26">
      <c r="A343" s="331"/>
      <c r="B343" s="331"/>
      <c r="C343" s="305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2"/>
      <c r="O343" s="2"/>
      <c r="P343" s="2"/>
      <c r="Q343" s="2"/>
      <c r="R343" s="2"/>
      <c r="S343" s="2"/>
      <c r="T343" s="3"/>
      <c r="U343" s="1"/>
      <c r="V343" s="1"/>
      <c r="W343" s="1"/>
      <c r="X343" s="1"/>
      <c r="Y343" s="1"/>
      <c r="Z343" s="1"/>
    </row>
    <row r="344" spans="1:26">
      <c r="A344" s="332"/>
      <c r="B344" s="332"/>
      <c r="C344" s="38"/>
      <c r="D344" s="4"/>
      <c r="E344" s="4"/>
      <c r="F344" s="4"/>
      <c r="G344" s="4"/>
      <c r="H344" s="4"/>
      <c r="I344" s="4"/>
      <c r="J344" s="4"/>
      <c r="K344" s="4"/>
      <c r="L344" s="5"/>
      <c r="M344" s="5"/>
      <c r="N344" s="5"/>
      <c r="O344" s="5"/>
      <c r="P344" s="5"/>
      <c r="Q344" s="5"/>
      <c r="R344" s="5"/>
      <c r="S344" s="5"/>
      <c r="T344" s="6"/>
      <c r="U344" s="1"/>
      <c r="V344" s="1"/>
      <c r="W344" s="1"/>
      <c r="X344" s="1"/>
      <c r="Y344" s="1"/>
      <c r="Z344" s="1"/>
    </row>
    <row r="345" spans="1:26">
      <c r="A345" s="332"/>
      <c r="B345" s="332"/>
      <c r="C345" s="38"/>
      <c r="D345" s="4"/>
      <c r="E345" s="4"/>
      <c r="F345" s="4"/>
      <c r="G345" s="4"/>
      <c r="H345" s="4"/>
      <c r="I345" s="4"/>
      <c r="J345" s="4"/>
      <c r="K345" s="4"/>
      <c r="L345" s="5"/>
      <c r="M345" s="5"/>
      <c r="N345" s="5"/>
      <c r="O345" s="5"/>
      <c r="P345" s="5"/>
      <c r="Q345" s="5"/>
      <c r="R345" s="5"/>
      <c r="S345" s="5"/>
      <c r="T345" s="6"/>
      <c r="U345" s="1"/>
      <c r="V345" s="1"/>
      <c r="W345" s="1"/>
      <c r="X345" s="1"/>
      <c r="Y345" s="1"/>
      <c r="Z345" s="1"/>
    </row>
    <row r="346" spans="1:26">
      <c r="A346" s="331"/>
      <c r="B346" s="331"/>
      <c r="C346" s="305"/>
      <c r="D346" s="1"/>
      <c r="E346" s="1"/>
      <c r="F346" s="1"/>
      <c r="G346" s="1"/>
      <c r="H346" s="1"/>
      <c r="I346" s="1"/>
      <c r="J346" s="1"/>
      <c r="K346" s="1"/>
      <c r="L346" s="2"/>
      <c r="M346" s="2"/>
      <c r="N346" s="2"/>
      <c r="O346" s="2"/>
      <c r="P346" s="2"/>
      <c r="Q346" s="2"/>
      <c r="R346" s="2"/>
      <c r="S346" s="2"/>
      <c r="T346" s="3"/>
      <c r="U346" s="1"/>
      <c r="V346" s="1"/>
      <c r="W346" s="1"/>
      <c r="X346" s="1"/>
      <c r="Y346" s="1"/>
      <c r="Z346" s="1"/>
    </row>
    <row r="347" spans="1:26">
      <c r="A347" s="332"/>
      <c r="B347" s="332"/>
      <c r="C347" s="38"/>
      <c r="D347" s="4"/>
      <c r="E347" s="4"/>
      <c r="F347" s="4"/>
      <c r="G347" s="4"/>
      <c r="H347" s="4"/>
      <c r="I347" s="4"/>
      <c r="J347" s="4"/>
      <c r="K347" s="4"/>
      <c r="L347" s="5"/>
      <c r="M347" s="5"/>
      <c r="N347" s="5"/>
      <c r="O347" s="5"/>
      <c r="P347" s="5"/>
      <c r="Q347" s="5"/>
      <c r="R347" s="5"/>
      <c r="S347" s="5"/>
      <c r="T347" s="6"/>
      <c r="U347" s="1"/>
      <c r="V347" s="1"/>
      <c r="W347" s="1"/>
      <c r="X347" s="1"/>
      <c r="Y347" s="1"/>
      <c r="Z347" s="1"/>
    </row>
    <row r="348" spans="1:26">
      <c r="A348" s="331"/>
      <c r="B348" s="331"/>
      <c r="C348" s="305"/>
      <c r="D348" s="1"/>
      <c r="E348" s="1"/>
      <c r="F348" s="1"/>
      <c r="G348" s="1"/>
      <c r="H348" s="1"/>
      <c r="I348" s="1"/>
      <c r="J348" s="1"/>
      <c r="K348" s="1"/>
      <c r="L348" s="2"/>
      <c r="M348" s="2"/>
      <c r="N348" s="2"/>
      <c r="O348" s="2"/>
      <c r="P348" s="2"/>
      <c r="Q348" s="2"/>
      <c r="R348" s="2"/>
      <c r="S348" s="2"/>
      <c r="T348" s="3"/>
      <c r="U348" s="1"/>
      <c r="V348" s="1"/>
      <c r="W348" s="1"/>
      <c r="X348" s="1"/>
      <c r="Y348" s="1"/>
      <c r="Z348" s="1"/>
    </row>
    <row r="349" spans="1:26">
      <c r="A349" s="332"/>
      <c r="B349" s="332"/>
      <c r="C349" s="38"/>
      <c r="D349" s="4"/>
      <c r="E349" s="4"/>
      <c r="F349" s="4"/>
      <c r="G349" s="4"/>
      <c r="H349" s="4"/>
      <c r="I349" s="4"/>
      <c r="J349" s="4"/>
      <c r="K349" s="4"/>
      <c r="L349" s="5"/>
      <c r="M349" s="5"/>
      <c r="N349" s="5"/>
      <c r="O349" s="5"/>
      <c r="P349" s="5"/>
      <c r="Q349" s="5"/>
      <c r="R349" s="5"/>
      <c r="S349" s="5"/>
      <c r="T349" s="6"/>
      <c r="U349" s="1"/>
      <c r="V349" s="1"/>
      <c r="W349" s="1"/>
      <c r="X349" s="1"/>
      <c r="Y349" s="1"/>
      <c r="Z349" s="1"/>
    </row>
    <row r="350" spans="1:26">
      <c r="A350" s="331"/>
      <c r="B350" s="331"/>
      <c r="C350" s="305"/>
      <c r="D350" s="1"/>
      <c r="E350" s="1"/>
      <c r="F350" s="1"/>
      <c r="G350" s="1"/>
      <c r="H350" s="1"/>
      <c r="I350" s="1"/>
      <c r="J350" s="1"/>
      <c r="K350" s="1"/>
      <c r="L350" s="2"/>
      <c r="M350" s="2"/>
      <c r="N350" s="2"/>
      <c r="O350" s="2"/>
      <c r="P350" s="2"/>
      <c r="Q350" s="2"/>
      <c r="R350" s="2"/>
      <c r="S350" s="2"/>
      <c r="T350" s="3"/>
      <c r="U350" s="1"/>
      <c r="V350" s="1"/>
      <c r="W350" s="1"/>
      <c r="X350" s="1"/>
      <c r="Y350" s="1"/>
      <c r="Z350" s="1"/>
    </row>
    <row r="351" spans="1:26">
      <c r="A351" s="332"/>
      <c r="B351" s="332"/>
      <c r="C351" s="38"/>
      <c r="D351" s="4"/>
      <c r="E351" s="4"/>
      <c r="F351" s="4"/>
      <c r="G351" s="4"/>
      <c r="H351" s="4"/>
      <c r="I351" s="4"/>
      <c r="J351" s="4"/>
      <c r="K351" s="4"/>
      <c r="L351" s="5"/>
      <c r="M351" s="5"/>
      <c r="N351" s="5"/>
      <c r="O351" s="5"/>
      <c r="P351" s="5"/>
      <c r="Q351" s="5"/>
      <c r="R351" s="5"/>
      <c r="S351" s="5"/>
      <c r="T351" s="6"/>
      <c r="U351" s="1"/>
      <c r="V351" s="1"/>
      <c r="W351" s="1"/>
      <c r="X351" s="1"/>
      <c r="Y351" s="1"/>
      <c r="Z351" s="1"/>
    </row>
    <row r="352" spans="1:26">
      <c r="A352" s="332"/>
      <c r="B352" s="332"/>
      <c r="C352" s="38"/>
      <c r="D352" s="4"/>
      <c r="E352" s="4"/>
      <c r="F352" s="4"/>
      <c r="G352" s="4"/>
      <c r="H352" s="4"/>
      <c r="I352" s="4"/>
      <c r="J352" s="4"/>
      <c r="K352" s="4"/>
      <c r="L352" s="5"/>
      <c r="M352" s="5"/>
      <c r="N352" s="5"/>
      <c r="O352" s="5"/>
      <c r="P352" s="5"/>
      <c r="Q352" s="5"/>
      <c r="R352" s="5"/>
      <c r="S352" s="5"/>
      <c r="T352" s="6"/>
      <c r="U352" s="1"/>
      <c r="V352" s="1"/>
      <c r="W352" s="1"/>
      <c r="X352" s="1"/>
      <c r="Y352" s="1"/>
      <c r="Z352" s="1"/>
    </row>
    <row r="353" spans="1:26">
      <c r="A353" s="331"/>
      <c r="B353" s="331"/>
      <c r="C353" s="305"/>
      <c r="D353" s="1"/>
      <c r="E353" s="1"/>
      <c r="F353" s="1"/>
      <c r="G353" s="1"/>
      <c r="H353" s="1"/>
      <c r="I353" s="1"/>
      <c r="J353" s="1"/>
      <c r="K353" s="1"/>
      <c r="L353" s="2"/>
      <c r="M353" s="2"/>
      <c r="N353" s="2"/>
      <c r="O353" s="2"/>
      <c r="P353" s="2"/>
      <c r="Q353" s="2"/>
      <c r="R353" s="2"/>
      <c r="S353" s="2"/>
      <c r="T353" s="3"/>
      <c r="U353" s="1"/>
      <c r="V353" s="1"/>
      <c r="W353" s="1"/>
      <c r="X353" s="1"/>
      <c r="Y353" s="1"/>
      <c r="Z353" s="1"/>
    </row>
    <row r="354" spans="1:26">
      <c r="A354" s="331"/>
      <c r="B354" s="331"/>
      <c r="C354" s="305"/>
      <c r="D354" s="1"/>
      <c r="E354" s="1"/>
      <c r="F354" s="1"/>
      <c r="G354" s="1"/>
      <c r="H354" s="1"/>
      <c r="I354" s="1"/>
      <c r="J354" s="1"/>
      <c r="K354" s="1"/>
      <c r="L354" s="2"/>
      <c r="M354" s="2"/>
      <c r="N354" s="2"/>
      <c r="O354" s="2"/>
      <c r="P354" s="2"/>
      <c r="Q354" s="2"/>
      <c r="R354" s="2"/>
      <c r="S354" s="2"/>
      <c r="T354" s="3"/>
      <c r="U354" s="1"/>
      <c r="V354" s="1"/>
      <c r="W354" s="1"/>
      <c r="X354" s="1"/>
      <c r="Y354" s="1"/>
      <c r="Z354" s="1"/>
    </row>
    <row r="355" spans="1:26">
      <c r="A355" s="331"/>
      <c r="B355" s="331"/>
      <c r="C355" s="305"/>
      <c r="D355" s="1"/>
      <c r="E355" s="1"/>
      <c r="F355" s="1"/>
      <c r="G355" s="1"/>
      <c r="H355" s="1"/>
      <c r="I355" s="1"/>
      <c r="J355" s="1"/>
      <c r="K355" s="1"/>
      <c r="L355" s="2"/>
      <c r="M355" s="2"/>
      <c r="N355" s="2"/>
      <c r="O355" s="2"/>
      <c r="P355" s="2"/>
      <c r="Q355" s="2"/>
      <c r="R355" s="2"/>
      <c r="S355" s="2"/>
      <c r="T355" s="3"/>
      <c r="U355" s="1"/>
      <c r="V355" s="1"/>
      <c r="W355" s="1"/>
      <c r="X355" s="1"/>
      <c r="Y355" s="1"/>
      <c r="Z355" s="1"/>
    </row>
    <row r="356" spans="1:26">
      <c r="A356" s="332"/>
      <c r="B356" s="332"/>
      <c r="C356" s="38"/>
      <c r="D356" s="4"/>
      <c r="E356" s="4"/>
      <c r="F356" s="4"/>
      <c r="G356" s="4"/>
      <c r="H356" s="4"/>
      <c r="I356" s="4"/>
      <c r="J356" s="4"/>
      <c r="K356" s="4"/>
      <c r="L356" s="5"/>
      <c r="M356" s="5"/>
      <c r="N356" s="5"/>
      <c r="O356" s="5"/>
      <c r="P356" s="5"/>
      <c r="Q356" s="5"/>
      <c r="R356" s="5"/>
      <c r="S356" s="5"/>
      <c r="T356" s="6"/>
      <c r="U356" s="1"/>
      <c r="V356" s="1"/>
      <c r="W356" s="1"/>
      <c r="X356" s="1"/>
      <c r="Y356" s="1"/>
      <c r="Z356" s="1"/>
    </row>
    <row r="357" spans="1:26">
      <c r="A357" s="332"/>
      <c r="B357" s="332"/>
      <c r="C357" s="38"/>
      <c r="D357" s="4"/>
      <c r="E357" s="4"/>
      <c r="F357" s="4"/>
      <c r="G357" s="4"/>
      <c r="H357" s="4"/>
      <c r="I357" s="4"/>
      <c r="J357" s="4"/>
      <c r="K357" s="4"/>
      <c r="L357" s="5"/>
      <c r="M357" s="5"/>
      <c r="N357" s="5"/>
      <c r="O357" s="5"/>
      <c r="P357" s="5"/>
      <c r="Q357" s="5"/>
      <c r="R357" s="5"/>
      <c r="S357" s="5"/>
      <c r="T357" s="6"/>
      <c r="U357" s="1"/>
      <c r="V357" s="1"/>
      <c r="W357" s="1"/>
      <c r="X357" s="1"/>
      <c r="Y357" s="1"/>
      <c r="Z357" s="1"/>
    </row>
    <row r="358" spans="1:26">
      <c r="A358" s="332"/>
      <c r="B358" s="332"/>
      <c r="C358" s="38"/>
      <c r="D358" s="4"/>
      <c r="E358" s="4"/>
      <c r="F358" s="4"/>
      <c r="G358" s="4"/>
      <c r="H358" s="4"/>
      <c r="I358" s="4"/>
      <c r="J358" s="4"/>
      <c r="K358" s="4"/>
      <c r="L358" s="5"/>
      <c r="M358" s="5"/>
      <c r="N358" s="5"/>
      <c r="O358" s="5"/>
      <c r="P358" s="5"/>
      <c r="Q358" s="5"/>
      <c r="R358" s="5"/>
      <c r="S358" s="5"/>
      <c r="T358" s="6"/>
      <c r="U358" s="1"/>
      <c r="V358" s="1"/>
      <c r="W358" s="1"/>
      <c r="X358" s="1"/>
      <c r="Y358" s="1"/>
      <c r="Z358" s="1"/>
    </row>
    <row r="359" spans="1:26">
      <c r="A359" s="331"/>
      <c r="B359" s="331"/>
      <c r="C359" s="305"/>
      <c r="D359" s="1"/>
      <c r="E359" s="1"/>
      <c r="F359" s="1"/>
      <c r="G359" s="1"/>
      <c r="H359" s="1"/>
      <c r="I359" s="1"/>
      <c r="J359" s="1"/>
      <c r="K359" s="1"/>
      <c r="L359" s="2"/>
      <c r="M359" s="2"/>
      <c r="N359" s="2"/>
      <c r="O359" s="2"/>
      <c r="P359" s="2"/>
      <c r="Q359" s="2"/>
      <c r="R359" s="2"/>
      <c r="S359" s="2"/>
      <c r="T359" s="3"/>
      <c r="U359" s="1"/>
      <c r="V359" s="1"/>
      <c r="W359" s="1"/>
      <c r="X359" s="1"/>
      <c r="Y359" s="1"/>
      <c r="Z359" s="1"/>
    </row>
    <row r="360" spans="1:26">
      <c r="A360" s="331"/>
      <c r="B360" s="331"/>
      <c r="C360" s="305"/>
      <c r="D360" s="1"/>
      <c r="E360" s="1"/>
      <c r="F360" s="1"/>
      <c r="G360" s="1"/>
      <c r="H360" s="1"/>
      <c r="I360" s="1"/>
      <c r="J360" s="1"/>
      <c r="K360" s="1"/>
      <c r="L360" s="2"/>
      <c r="M360" s="2"/>
      <c r="N360" s="2"/>
      <c r="O360" s="2"/>
      <c r="P360" s="2"/>
      <c r="Q360" s="2"/>
      <c r="R360" s="2"/>
      <c r="S360" s="2"/>
      <c r="T360" s="3"/>
      <c r="U360" s="1"/>
      <c r="V360" s="1"/>
      <c r="W360" s="1"/>
      <c r="X360" s="1"/>
      <c r="Y360" s="1"/>
      <c r="Z360" s="1"/>
    </row>
    <row r="361" spans="1:26">
      <c r="A361" s="331"/>
      <c r="B361" s="331"/>
      <c r="C361" s="305"/>
      <c r="D361" s="1"/>
      <c r="E361" s="1"/>
      <c r="F361" s="1"/>
      <c r="G361" s="1"/>
      <c r="H361" s="1"/>
      <c r="I361" s="1"/>
      <c r="J361" s="1"/>
      <c r="K361" s="1"/>
      <c r="L361" s="2"/>
      <c r="M361" s="2"/>
      <c r="N361" s="2"/>
      <c r="O361" s="2"/>
      <c r="P361" s="2"/>
      <c r="Q361" s="2"/>
      <c r="R361" s="2"/>
      <c r="S361" s="2"/>
      <c r="T361" s="3"/>
      <c r="U361" s="1"/>
      <c r="V361" s="1"/>
      <c r="W361" s="1"/>
      <c r="X361" s="1"/>
      <c r="Y361" s="1"/>
      <c r="Z361" s="1"/>
    </row>
    <row r="362" spans="1:26">
      <c r="A362" s="332"/>
      <c r="B362" s="332"/>
      <c r="C362" s="38"/>
      <c r="D362" s="4"/>
      <c r="E362" s="4"/>
      <c r="F362" s="4"/>
      <c r="G362" s="4"/>
      <c r="H362" s="4"/>
      <c r="I362" s="4"/>
      <c r="J362" s="4"/>
      <c r="K362" s="4"/>
      <c r="L362" s="5"/>
      <c r="M362" s="5"/>
      <c r="N362" s="5"/>
      <c r="O362" s="5"/>
      <c r="P362" s="5"/>
      <c r="Q362" s="5"/>
      <c r="R362" s="5"/>
      <c r="S362" s="5"/>
      <c r="T362" s="6"/>
      <c r="U362" s="1"/>
      <c r="V362" s="1"/>
      <c r="W362" s="1"/>
      <c r="X362" s="1"/>
      <c r="Y362" s="1"/>
      <c r="Z362" s="1"/>
    </row>
    <row r="363" spans="1:26">
      <c r="A363" s="331"/>
      <c r="B363" s="331"/>
      <c r="C363" s="305"/>
      <c r="D363" s="1"/>
      <c r="E363" s="1"/>
      <c r="F363" s="1"/>
      <c r="G363" s="1"/>
      <c r="H363" s="1"/>
      <c r="I363" s="1"/>
      <c r="J363" s="1"/>
      <c r="K363" s="1"/>
      <c r="L363" s="2"/>
      <c r="M363" s="2"/>
      <c r="N363" s="2"/>
      <c r="O363" s="2"/>
      <c r="P363" s="2"/>
      <c r="Q363" s="2"/>
      <c r="R363" s="2"/>
      <c r="S363" s="2"/>
      <c r="T363" s="3"/>
      <c r="U363" s="1"/>
      <c r="V363" s="1"/>
      <c r="W363" s="1"/>
      <c r="X363" s="1"/>
      <c r="Y363" s="1"/>
      <c r="Z363" s="1"/>
    </row>
    <row r="364" spans="1:26">
      <c r="A364" s="331"/>
      <c r="B364" s="331"/>
      <c r="C364" s="305"/>
      <c r="D364" s="1"/>
      <c r="E364" s="1"/>
      <c r="F364" s="1"/>
      <c r="G364" s="1"/>
      <c r="H364" s="1"/>
      <c r="I364" s="1"/>
      <c r="J364" s="1"/>
      <c r="K364" s="1"/>
      <c r="L364" s="2"/>
      <c r="M364" s="2"/>
      <c r="N364" s="2"/>
      <c r="O364" s="2"/>
      <c r="P364" s="2"/>
      <c r="Q364" s="2"/>
      <c r="R364" s="2"/>
      <c r="S364" s="2"/>
      <c r="T364" s="3"/>
      <c r="U364" s="1"/>
      <c r="V364" s="1"/>
      <c r="W364" s="1"/>
      <c r="X364" s="1"/>
      <c r="Y364" s="1"/>
      <c r="Z364" s="1"/>
    </row>
    <row r="365" spans="1:26">
      <c r="A365" s="331"/>
      <c r="B365" s="331"/>
      <c r="C365" s="305"/>
      <c r="D365" s="1"/>
      <c r="E365" s="1"/>
      <c r="F365" s="1"/>
      <c r="G365" s="1"/>
      <c r="H365" s="1"/>
      <c r="I365" s="1"/>
      <c r="J365" s="1"/>
      <c r="K365" s="1"/>
      <c r="L365" s="2"/>
      <c r="M365" s="2"/>
      <c r="N365" s="2"/>
      <c r="O365" s="2"/>
      <c r="P365" s="2"/>
      <c r="Q365" s="2"/>
      <c r="R365" s="2"/>
      <c r="S365" s="2"/>
      <c r="T365" s="3"/>
      <c r="U365" s="1"/>
      <c r="V365" s="1"/>
      <c r="W365" s="1"/>
      <c r="X365" s="1"/>
      <c r="Y365" s="1"/>
      <c r="Z365" s="1"/>
    </row>
    <row r="366" spans="1:26">
      <c r="A366" s="332"/>
      <c r="B366" s="332"/>
      <c r="C366" s="38"/>
      <c r="D366" s="4"/>
      <c r="E366" s="4"/>
      <c r="F366" s="4"/>
      <c r="G366" s="4"/>
      <c r="H366" s="4"/>
      <c r="I366" s="4"/>
      <c r="J366" s="4"/>
      <c r="K366" s="4"/>
      <c r="L366" s="5"/>
      <c r="M366" s="5"/>
      <c r="N366" s="5"/>
      <c r="O366" s="5"/>
      <c r="P366" s="5"/>
      <c r="Q366" s="5"/>
      <c r="R366" s="5"/>
      <c r="S366" s="5"/>
      <c r="T366" s="6"/>
      <c r="U366" s="1"/>
      <c r="V366" s="1"/>
      <c r="W366" s="1"/>
      <c r="X366" s="1"/>
      <c r="Y366" s="1"/>
      <c r="Z366" s="1"/>
    </row>
    <row r="367" spans="1:26">
      <c r="A367" s="331"/>
      <c r="B367" s="331"/>
      <c r="C367" s="305"/>
      <c r="D367" s="1"/>
      <c r="E367" s="1"/>
      <c r="F367" s="1"/>
      <c r="G367" s="1"/>
      <c r="H367" s="1"/>
      <c r="I367" s="1"/>
      <c r="J367" s="1"/>
      <c r="K367" s="1"/>
      <c r="L367" s="2"/>
      <c r="M367" s="2"/>
      <c r="N367" s="2"/>
      <c r="O367" s="2"/>
      <c r="P367" s="2"/>
      <c r="Q367" s="2"/>
      <c r="R367" s="2"/>
      <c r="S367" s="2"/>
      <c r="T367" s="3"/>
      <c r="U367" s="1"/>
      <c r="V367" s="1"/>
      <c r="W367" s="1"/>
      <c r="X367" s="1"/>
      <c r="Y367" s="1"/>
      <c r="Z367" s="1"/>
    </row>
    <row r="368" spans="1:26">
      <c r="A368" s="332"/>
      <c r="B368" s="332"/>
      <c r="C368" s="38"/>
      <c r="D368" s="4"/>
      <c r="E368" s="4"/>
      <c r="F368" s="4"/>
      <c r="G368" s="4"/>
      <c r="H368" s="4"/>
      <c r="I368" s="4"/>
      <c r="J368" s="4"/>
      <c r="K368" s="4"/>
      <c r="L368" s="5"/>
      <c r="M368" s="5"/>
      <c r="N368" s="5"/>
      <c r="O368" s="5"/>
      <c r="P368" s="5"/>
      <c r="Q368" s="5"/>
      <c r="R368" s="5"/>
      <c r="S368" s="5"/>
      <c r="T368" s="6"/>
      <c r="U368" s="1"/>
      <c r="V368" s="1"/>
      <c r="W368" s="1"/>
      <c r="X368" s="1"/>
      <c r="Y368" s="1"/>
      <c r="Z368" s="1"/>
    </row>
    <row r="369" spans="1:26">
      <c r="A369" s="331"/>
      <c r="B369" s="331"/>
      <c r="C369" s="305"/>
      <c r="D369" s="1"/>
      <c r="E369" s="1"/>
      <c r="F369" s="1"/>
      <c r="G369" s="1"/>
      <c r="H369" s="1"/>
      <c r="I369" s="1"/>
      <c r="J369" s="1"/>
      <c r="K369" s="1"/>
      <c r="L369" s="2"/>
      <c r="M369" s="2"/>
      <c r="N369" s="2"/>
      <c r="O369" s="2"/>
      <c r="P369" s="2"/>
      <c r="Q369" s="2"/>
      <c r="R369" s="2"/>
      <c r="S369" s="2"/>
      <c r="T369" s="3"/>
      <c r="U369" s="1"/>
      <c r="V369" s="1"/>
      <c r="W369" s="1"/>
      <c r="X369" s="1"/>
      <c r="Y369" s="1"/>
      <c r="Z369" s="1"/>
    </row>
    <row r="370" spans="1:26">
      <c r="A370" s="331"/>
      <c r="B370" s="331"/>
      <c r="C370" s="305"/>
      <c r="D370" s="1"/>
      <c r="E370" s="1"/>
      <c r="F370" s="1"/>
      <c r="G370" s="1"/>
      <c r="H370" s="1"/>
      <c r="I370" s="1"/>
      <c r="J370" s="1"/>
      <c r="K370" s="1"/>
      <c r="L370" s="2"/>
      <c r="M370" s="2"/>
      <c r="N370" s="2"/>
      <c r="O370" s="2"/>
      <c r="P370" s="2"/>
      <c r="Q370" s="2"/>
      <c r="R370" s="2"/>
      <c r="S370" s="2"/>
      <c r="T370" s="3"/>
      <c r="U370" s="1"/>
      <c r="V370" s="1"/>
      <c r="W370" s="1"/>
      <c r="X370" s="1"/>
      <c r="Y370" s="1"/>
      <c r="Z370" s="1"/>
    </row>
    <row r="371" spans="1:26">
      <c r="A371" s="331"/>
      <c r="B371" s="331"/>
      <c r="C371" s="115"/>
      <c r="D371" s="1"/>
      <c r="E371" s="1"/>
      <c r="F371" s="1"/>
      <c r="G371" s="1"/>
      <c r="H371" s="1"/>
      <c r="I371" s="1"/>
      <c r="J371" s="1"/>
      <c r="K371" s="1"/>
      <c r="L371" s="2"/>
      <c r="M371" s="2"/>
      <c r="N371" s="2"/>
      <c r="O371" s="2"/>
      <c r="P371" s="2"/>
      <c r="Q371" s="2"/>
      <c r="R371" s="2"/>
      <c r="S371" s="2"/>
      <c r="T371" s="3"/>
      <c r="U371" s="1"/>
      <c r="V371" s="1"/>
      <c r="W371" s="1"/>
      <c r="X371" s="1"/>
      <c r="Y371" s="1"/>
      <c r="Z371" s="1"/>
    </row>
    <row r="372" spans="1:26">
      <c r="A372" s="331"/>
      <c r="B372" s="331"/>
      <c r="C372" s="305"/>
      <c r="D372" s="1"/>
      <c r="E372" s="1"/>
      <c r="F372" s="1"/>
      <c r="G372" s="1"/>
      <c r="H372" s="1"/>
      <c r="I372" s="1"/>
      <c r="J372" s="1"/>
      <c r="K372" s="1"/>
      <c r="L372" s="2"/>
      <c r="M372" s="2"/>
      <c r="N372" s="2"/>
      <c r="O372" s="2"/>
      <c r="P372" s="2"/>
      <c r="Q372" s="2"/>
      <c r="R372" s="2"/>
      <c r="S372" s="2"/>
      <c r="T372" s="3"/>
      <c r="U372" s="1"/>
      <c r="V372" s="1"/>
      <c r="W372" s="1"/>
      <c r="X372" s="1"/>
      <c r="Y372" s="1"/>
      <c r="Z372" s="1"/>
    </row>
    <row r="373" spans="1:26">
      <c r="A373" s="332"/>
      <c r="B373" s="332"/>
      <c r="C373" s="38"/>
      <c r="D373" s="4"/>
      <c r="E373" s="4"/>
      <c r="F373" s="4"/>
      <c r="G373" s="4"/>
      <c r="H373" s="4"/>
      <c r="I373" s="4"/>
      <c r="J373" s="4"/>
      <c r="K373" s="4"/>
      <c r="L373" s="5"/>
      <c r="M373" s="5"/>
      <c r="N373" s="5"/>
      <c r="O373" s="5"/>
      <c r="P373" s="5"/>
      <c r="Q373" s="5"/>
      <c r="R373" s="5"/>
      <c r="S373" s="5"/>
      <c r="T373" s="6"/>
      <c r="U373" s="1"/>
      <c r="V373" s="1"/>
      <c r="W373" s="1"/>
      <c r="X373" s="1"/>
      <c r="Y373" s="1"/>
      <c r="Z373" s="1"/>
    </row>
    <row r="374" spans="1:26">
      <c r="A374" s="332"/>
      <c r="B374" s="332"/>
      <c r="C374" s="38"/>
      <c r="D374" s="4"/>
      <c r="E374" s="4"/>
      <c r="F374" s="4"/>
      <c r="G374" s="4"/>
      <c r="H374" s="4"/>
      <c r="I374" s="4"/>
      <c r="J374" s="4"/>
      <c r="K374" s="4"/>
      <c r="L374" s="5"/>
      <c r="M374" s="5"/>
      <c r="N374" s="5"/>
      <c r="O374" s="5"/>
      <c r="P374" s="5"/>
      <c r="Q374" s="5"/>
      <c r="R374" s="5"/>
      <c r="S374" s="5"/>
      <c r="T374" s="6"/>
      <c r="U374" s="1"/>
      <c r="V374" s="1"/>
      <c r="W374" s="1"/>
      <c r="X374" s="1"/>
      <c r="Y374" s="1"/>
      <c r="Z374" s="1"/>
    </row>
    <row r="375" spans="1:26">
      <c r="A375" s="332"/>
      <c r="B375" s="332"/>
      <c r="C375" s="38"/>
      <c r="D375" s="4"/>
      <c r="E375" s="4"/>
      <c r="F375" s="4"/>
      <c r="G375" s="4"/>
      <c r="H375" s="4"/>
      <c r="I375" s="4"/>
      <c r="J375" s="4"/>
      <c r="K375" s="4"/>
      <c r="L375" s="5"/>
      <c r="M375" s="5"/>
      <c r="N375" s="5"/>
      <c r="O375" s="5"/>
      <c r="P375" s="5"/>
      <c r="Q375" s="5"/>
      <c r="R375" s="5"/>
      <c r="S375" s="5"/>
      <c r="T375" s="6"/>
      <c r="U375" s="1"/>
      <c r="V375" s="1"/>
      <c r="W375" s="1"/>
      <c r="X375" s="1"/>
      <c r="Y375" s="1"/>
      <c r="Z375" s="1"/>
    </row>
    <row r="376" spans="1:26">
      <c r="A376" s="332"/>
      <c r="B376" s="332"/>
      <c r="C376" s="38"/>
      <c r="D376" s="4"/>
      <c r="E376" s="4"/>
      <c r="F376" s="4"/>
      <c r="G376" s="4"/>
      <c r="H376" s="4"/>
      <c r="I376" s="4"/>
      <c r="J376" s="4"/>
      <c r="K376" s="4"/>
      <c r="L376" s="5"/>
      <c r="M376" s="5"/>
      <c r="N376" s="5"/>
      <c r="O376" s="5"/>
      <c r="P376" s="5"/>
      <c r="Q376" s="5"/>
      <c r="R376" s="5"/>
      <c r="S376" s="5"/>
      <c r="T376" s="6"/>
      <c r="U376" s="1"/>
      <c r="V376" s="1"/>
      <c r="W376" s="1"/>
      <c r="X376" s="1"/>
      <c r="Y376" s="1"/>
      <c r="Z376" s="1"/>
    </row>
    <row r="377" spans="1:26">
      <c r="A377" s="332"/>
      <c r="B377" s="332"/>
      <c r="C377" s="38"/>
      <c r="D377" s="4"/>
      <c r="E377" s="4"/>
      <c r="F377" s="4"/>
      <c r="G377" s="4"/>
      <c r="H377" s="4"/>
      <c r="I377" s="4"/>
      <c r="J377" s="4"/>
      <c r="K377" s="4"/>
      <c r="L377" s="5"/>
      <c r="M377" s="5"/>
      <c r="N377" s="5"/>
      <c r="O377" s="5"/>
      <c r="P377" s="5"/>
      <c r="Q377" s="5"/>
      <c r="R377" s="5"/>
      <c r="S377" s="5"/>
      <c r="T377" s="6"/>
      <c r="U377" s="1"/>
      <c r="V377" s="1"/>
      <c r="W377" s="1"/>
      <c r="X377" s="1"/>
      <c r="Y377" s="1"/>
      <c r="Z377" s="1"/>
    </row>
    <row r="378" spans="1:26">
      <c r="A378" s="331"/>
      <c r="B378" s="331"/>
      <c r="C378" s="305"/>
      <c r="D378" s="1"/>
      <c r="E378" s="1"/>
      <c r="F378" s="1"/>
      <c r="G378" s="1"/>
      <c r="H378" s="1"/>
      <c r="I378" s="1"/>
      <c r="J378" s="1"/>
      <c r="K378" s="1"/>
      <c r="L378" s="2"/>
      <c r="M378" s="2"/>
      <c r="N378" s="2"/>
      <c r="O378" s="2"/>
      <c r="P378" s="2"/>
      <c r="Q378" s="2"/>
      <c r="R378" s="2"/>
      <c r="S378" s="2"/>
      <c r="T378" s="3"/>
      <c r="U378" s="1"/>
      <c r="V378" s="1"/>
      <c r="W378" s="1"/>
      <c r="X378" s="1"/>
      <c r="Y378" s="1"/>
      <c r="Z378" s="1"/>
    </row>
    <row r="379" spans="1:26">
      <c r="A379" s="331"/>
      <c r="B379" s="331"/>
      <c r="C379" s="305"/>
      <c r="D379" s="1"/>
      <c r="E379" s="1"/>
      <c r="F379" s="1"/>
      <c r="G379" s="1"/>
      <c r="H379" s="1"/>
      <c r="I379" s="1"/>
      <c r="J379" s="1"/>
      <c r="K379" s="1"/>
      <c r="L379" s="2"/>
      <c r="M379" s="2"/>
      <c r="N379" s="2"/>
      <c r="O379" s="2"/>
      <c r="P379" s="2"/>
      <c r="Q379" s="2"/>
      <c r="R379" s="2"/>
      <c r="S379" s="2"/>
      <c r="T379" s="3"/>
      <c r="U379" s="1"/>
      <c r="V379" s="1"/>
      <c r="W379" s="1"/>
      <c r="X379" s="1"/>
      <c r="Y379" s="1"/>
      <c r="Z379" s="1"/>
    </row>
    <row r="380" spans="1:26">
      <c r="A380" s="332"/>
      <c r="B380" s="332"/>
      <c r="C380" s="38"/>
      <c r="D380" s="4"/>
      <c r="E380" s="4"/>
      <c r="F380" s="4"/>
      <c r="G380" s="4"/>
      <c r="H380" s="4"/>
      <c r="I380" s="4"/>
      <c r="J380" s="4"/>
      <c r="K380" s="4"/>
      <c r="L380" s="5"/>
      <c r="M380" s="5"/>
      <c r="N380" s="5"/>
      <c r="O380" s="5"/>
      <c r="P380" s="5"/>
      <c r="Q380" s="5"/>
      <c r="R380" s="5"/>
      <c r="S380" s="5"/>
      <c r="T380" s="6"/>
      <c r="U380" s="1"/>
      <c r="V380" s="1"/>
      <c r="W380" s="1"/>
      <c r="X380" s="1"/>
      <c r="Y380" s="1"/>
      <c r="Z380" s="1"/>
    </row>
    <row r="381" spans="1:26">
      <c r="A381" s="331"/>
      <c r="B381" s="331"/>
      <c r="C381" s="305"/>
      <c r="D381" s="1"/>
      <c r="E381" s="1"/>
      <c r="F381" s="1"/>
      <c r="G381" s="1"/>
      <c r="H381" s="1"/>
      <c r="I381" s="1"/>
      <c r="J381" s="1"/>
      <c r="K381" s="1"/>
      <c r="L381" s="2"/>
      <c r="M381" s="2"/>
      <c r="N381" s="2"/>
      <c r="O381" s="2"/>
      <c r="P381" s="2"/>
      <c r="Q381" s="2"/>
      <c r="R381" s="2"/>
      <c r="S381" s="2"/>
      <c r="T381" s="3"/>
      <c r="U381" s="1"/>
      <c r="V381" s="1"/>
      <c r="W381" s="1"/>
      <c r="X381" s="1"/>
      <c r="Y381" s="1"/>
      <c r="Z381" s="1"/>
    </row>
    <row r="382" spans="1:26">
      <c r="A382" s="331"/>
      <c r="B382" s="331"/>
      <c r="C382" s="115"/>
      <c r="D382" s="1"/>
      <c r="E382" s="1"/>
      <c r="F382" s="1"/>
      <c r="G382" s="1"/>
      <c r="H382" s="1"/>
      <c r="I382" s="1"/>
      <c r="J382" s="1"/>
      <c r="K382" s="1"/>
      <c r="L382" s="2"/>
      <c r="M382" s="2"/>
      <c r="N382" s="2"/>
      <c r="O382" s="2"/>
      <c r="P382" s="2"/>
      <c r="Q382" s="2"/>
      <c r="R382" s="2"/>
      <c r="S382" s="2"/>
      <c r="T382" s="3"/>
      <c r="U382" s="1"/>
      <c r="V382" s="1"/>
      <c r="W382" s="1"/>
      <c r="X382" s="1"/>
      <c r="Y382" s="1"/>
      <c r="Z382" s="1"/>
    </row>
    <row r="383" spans="1:26">
      <c r="A383" s="331"/>
      <c r="B383" s="331"/>
      <c r="C383" s="305"/>
      <c r="D383" s="1"/>
      <c r="E383" s="1"/>
      <c r="F383" s="1"/>
      <c r="G383" s="1"/>
      <c r="H383" s="1"/>
      <c r="I383" s="1"/>
      <c r="J383" s="1"/>
      <c r="K383" s="1"/>
      <c r="L383" s="2"/>
      <c r="M383" s="2"/>
      <c r="N383" s="2"/>
      <c r="O383" s="2"/>
      <c r="P383" s="2"/>
      <c r="Q383" s="2"/>
      <c r="R383" s="2"/>
      <c r="S383" s="2"/>
      <c r="T383" s="3"/>
      <c r="U383" s="1"/>
      <c r="V383" s="1"/>
      <c r="W383" s="1"/>
      <c r="X383" s="1"/>
      <c r="Y383" s="1"/>
      <c r="Z383" s="1"/>
    </row>
    <row r="384" spans="1:26">
      <c r="A384" s="332"/>
      <c r="B384" s="332"/>
      <c r="C384" s="38"/>
      <c r="D384" s="4"/>
      <c r="E384" s="4"/>
      <c r="F384" s="4"/>
      <c r="G384" s="4"/>
      <c r="H384" s="4"/>
      <c r="I384" s="4"/>
      <c r="J384" s="4"/>
      <c r="K384" s="4"/>
      <c r="L384" s="5"/>
      <c r="M384" s="5"/>
      <c r="N384" s="5"/>
      <c r="O384" s="5"/>
      <c r="P384" s="5"/>
      <c r="Q384" s="5"/>
      <c r="R384" s="5"/>
      <c r="S384" s="5"/>
      <c r="T384" s="6"/>
      <c r="U384" s="1"/>
      <c r="V384" s="1"/>
      <c r="W384" s="1"/>
      <c r="X384" s="1"/>
      <c r="Y384" s="1"/>
      <c r="Z384" s="1"/>
    </row>
    <row r="385" spans="1:26">
      <c r="A385" s="332"/>
      <c r="B385" s="332"/>
      <c r="C385" s="38"/>
      <c r="D385" s="4"/>
      <c r="E385" s="4"/>
      <c r="F385" s="4"/>
      <c r="G385" s="4"/>
      <c r="H385" s="4"/>
      <c r="I385" s="4"/>
      <c r="J385" s="4"/>
      <c r="K385" s="4"/>
      <c r="L385" s="5"/>
      <c r="M385" s="5"/>
      <c r="N385" s="5"/>
      <c r="O385" s="5"/>
      <c r="P385" s="5"/>
      <c r="Q385" s="5"/>
      <c r="R385" s="5"/>
      <c r="S385" s="5"/>
      <c r="T385" s="6"/>
      <c r="U385" s="1"/>
      <c r="V385" s="1"/>
      <c r="W385" s="1"/>
      <c r="X385" s="1"/>
      <c r="Y385" s="1"/>
      <c r="Z385" s="1"/>
    </row>
    <row r="386" spans="1:26">
      <c r="A386" s="331"/>
      <c r="B386" s="331"/>
      <c r="C386" s="305"/>
      <c r="D386" s="1"/>
      <c r="E386" s="1"/>
      <c r="F386" s="1"/>
      <c r="G386" s="1"/>
      <c r="H386" s="1"/>
      <c r="I386" s="1"/>
      <c r="J386" s="1"/>
      <c r="K386" s="1"/>
      <c r="L386" s="2"/>
      <c r="M386" s="2"/>
      <c r="N386" s="2"/>
      <c r="O386" s="2"/>
      <c r="P386" s="2"/>
      <c r="Q386" s="2"/>
      <c r="R386" s="2"/>
      <c r="S386" s="2"/>
      <c r="T386" s="3"/>
      <c r="U386" s="1"/>
      <c r="V386" s="1"/>
      <c r="W386" s="1"/>
      <c r="X386" s="1"/>
      <c r="Y386" s="1"/>
      <c r="Z386" s="1"/>
    </row>
    <row r="387" spans="1:26">
      <c r="A387" s="331"/>
      <c r="B387" s="331"/>
      <c r="C387" s="305"/>
      <c r="D387" s="1"/>
      <c r="E387" s="1"/>
      <c r="F387" s="1"/>
      <c r="G387" s="1"/>
      <c r="H387" s="1"/>
      <c r="I387" s="1"/>
      <c r="J387" s="1"/>
      <c r="K387" s="1"/>
      <c r="L387" s="2"/>
      <c r="M387" s="2"/>
      <c r="N387" s="2"/>
      <c r="O387" s="2"/>
      <c r="P387" s="2"/>
      <c r="Q387" s="2"/>
      <c r="R387" s="2"/>
      <c r="S387" s="2"/>
      <c r="T387" s="3"/>
      <c r="U387" s="1"/>
      <c r="V387" s="1"/>
      <c r="W387" s="1"/>
      <c r="X387" s="1"/>
      <c r="Y387" s="1"/>
      <c r="Z387" s="1"/>
    </row>
    <row r="388" spans="1:26">
      <c r="A388" s="332"/>
      <c r="B388" s="332"/>
      <c r="C388" s="38"/>
      <c r="D388" s="4"/>
      <c r="E388" s="4"/>
      <c r="F388" s="4"/>
      <c r="G388" s="4"/>
      <c r="H388" s="4"/>
      <c r="I388" s="4"/>
      <c r="J388" s="4"/>
      <c r="K388" s="4"/>
      <c r="L388" s="5"/>
      <c r="M388" s="5"/>
      <c r="N388" s="5"/>
      <c r="O388" s="5"/>
      <c r="P388" s="5"/>
      <c r="Q388" s="5"/>
      <c r="R388" s="5"/>
      <c r="S388" s="5"/>
      <c r="T388" s="6"/>
      <c r="U388" s="1"/>
      <c r="V388" s="1"/>
      <c r="W388" s="1"/>
      <c r="X388" s="1"/>
      <c r="Y388" s="1"/>
      <c r="Z388" s="1"/>
    </row>
    <row r="389" spans="1:26">
      <c r="A389" s="331"/>
      <c r="B389" s="331"/>
      <c r="C389" s="305"/>
      <c r="D389" s="1"/>
      <c r="E389" s="1"/>
      <c r="F389" s="1"/>
      <c r="G389" s="1"/>
      <c r="H389" s="1"/>
      <c r="I389" s="1"/>
      <c r="J389" s="1"/>
      <c r="K389" s="1"/>
      <c r="L389" s="2"/>
      <c r="M389" s="2"/>
      <c r="N389" s="2"/>
      <c r="O389" s="2"/>
      <c r="P389" s="2"/>
      <c r="Q389" s="2"/>
      <c r="R389" s="2"/>
      <c r="S389" s="2"/>
      <c r="T389" s="3"/>
      <c r="U389" s="1"/>
      <c r="V389" s="1"/>
      <c r="W389" s="1"/>
      <c r="X389" s="1"/>
      <c r="Y389" s="1"/>
      <c r="Z389" s="1"/>
    </row>
    <row r="390" spans="1:26">
      <c r="A390" s="331"/>
      <c r="B390" s="331"/>
      <c r="C390" s="305"/>
      <c r="D390" s="1"/>
      <c r="E390" s="1"/>
      <c r="F390" s="1"/>
      <c r="G390" s="1"/>
      <c r="H390" s="1"/>
      <c r="I390" s="1"/>
      <c r="J390" s="1"/>
      <c r="K390" s="1"/>
      <c r="L390" s="2"/>
      <c r="M390" s="2"/>
      <c r="N390" s="2"/>
      <c r="O390" s="2"/>
      <c r="P390" s="2"/>
      <c r="Q390" s="2"/>
      <c r="R390" s="2"/>
      <c r="S390" s="2"/>
      <c r="T390" s="3"/>
      <c r="U390" s="1"/>
      <c r="V390" s="1"/>
      <c r="W390" s="1"/>
      <c r="X390" s="1"/>
      <c r="Y390" s="1"/>
      <c r="Z390" s="1"/>
    </row>
    <row r="391" spans="1:26">
      <c r="A391" s="331"/>
      <c r="B391" s="331"/>
      <c r="C391" s="305"/>
      <c r="D391" s="1"/>
      <c r="E391" s="1"/>
      <c r="F391" s="1"/>
      <c r="G391" s="1"/>
      <c r="H391" s="1"/>
      <c r="I391" s="1"/>
      <c r="J391" s="1"/>
      <c r="K391" s="1"/>
      <c r="L391" s="2"/>
      <c r="M391" s="2"/>
      <c r="N391" s="2"/>
      <c r="O391" s="2"/>
      <c r="P391" s="2"/>
      <c r="Q391" s="2"/>
      <c r="R391" s="2"/>
      <c r="S391" s="2"/>
      <c r="T391" s="3"/>
      <c r="U391" s="1"/>
      <c r="V391" s="1"/>
      <c r="W391" s="1"/>
      <c r="X391" s="1"/>
      <c r="Y391" s="1"/>
      <c r="Z391" s="1"/>
    </row>
    <row r="392" spans="1:26">
      <c r="A392" s="331"/>
      <c r="B392" s="331"/>
      <c r="C392" s="305"/>
      <c r="D392" s="1"/>
      <c r="E392" s="1"/>
      <c r="F392" s="1"/>
      <c r="G392" s="1"/>
      <c r="H392" s="1"/>
      <c r="I392" s="1"/>
      <c r="J392" s="1"/>
      <c r="K392" s="1"/>
      <c r="L392" s="2"/>
      <c r="M392" s="2"/>
      <c r="N392" s="2"/>
      <c r="O392" s="2"/>
      <c r="P392" s="2"/>
      <c r="Q392" s="2"/>
      <c r="R392" s="2"/>
      <c r="S392" s="2"/>
      <c r="T392" s="3"/>
      <c r="U392" s="1"/>
      <c r="V392" s="1"/>
      <c r="W392" s="1"/>
      <c r="X392" s="1"/>
      <c r="Y392" s="1"/>
      <c r="Z392" s="1"/>
    </row>
    <row r="393" spans="1:26">
      <c r="A393" s="331"/>
      <c r="B393" s="331"/>
      <c r="C393" s="305"/>
      <c r="D393" s="1"/>
      <c r="E393" s="1"/>
      <c r="F393" s="1"/>
      <c r="G393" s="1"/>
      <c r="H393" s="1"/>
      <c r="I393" s="1"/>
      <c r="J393" s="1"/>
      <c r="K393" s="1"/>
      <c r="L393" s="2"/>
      <c r="M393" s="2"/>
      <c r="N393" s="2"/>
      <c r="O393" s="2"/>
      <c r="P393" s="2"/>
      <c r="Q393" s="2"/>
      <c r="R393" s="2"/>
      <c r="S393" s="2"/>
      <c r="T393" s="3"/>
      <c r="U393" s="1"/>
      <c r="V393" s="1"/>
      <c r="W393" s="1"/>
      <c r="X393" s="1"/>
      <c r="Y393" s="1"/>
      <c r="Z393" s="1"/>
    </row>
    <row r="394" spans="1:26">
      <c r="A394" s="331"/>
      <c r="B394" s="331"/>
      <c r="C394" s="305"/>
      <c r="D394" s="1"/>
      <c r="E394" s="1"/>
      <c r="F394" s="1"/>
      <c r="G394" s="1"/>
      <c r="H394" s="1"/>
      <c r="I394" s="1"/>
      <c r="J394" s="1"/>
      <c r="K394" s="1"/>
      <c r="L394" s="2"/>
      <c r="M394" s="2"/>
      <c r="N394" s="2"/>
      <c r="O394" s="2"/>
      <c r="P394" s="2"/>
      <c r="Q394" s="2"/>
      <c r="R394" s="2"/>
      <c r="S394" s="2"/>
      <c r="T394" s="3"/>
      <c r="U394" s="1"/>
      <c r="V394" s="1"/>
      <c r="W394" s="1"/>
      <c r="X394" s="1"/>
      <c r="Y394" s="1"/>
      <c r="Z394" s="1"/>
    </row>
    <row r="395" spans="1:26">
      <c r="A395" s="331"/>
      <c r="B395" s="331"/>
      <c r="C395" s="305"/>
      <c r="D395" s="1"/>
      <c r="E395" s="1"/>
      <c r="F395" s="1"/>
      <c r="G395" s="1"/>
      <c r="H395" s="1"/>
      <c r="I395" s="1"/>
      <c r="J395" s="1"/>
      <c r="K395" s="1"/>
      <c r="L395" s="2"/>
      <c r="M395" s="2"/>
      <c r="N395" s="2"/>
      <c r="O395" s="2"/>
      <c r="P395" s="2"/>
      <c r="Q395" s="2"/>
      <c r="R395" s="2"/>
      <c r="S395" s="2"/>
      <c r="T395" s="3"/>
      <c r="U395" s="1"/>
      <c r="V395" s="1"/>
      <c r="W395" s="1"/>
      <c r="X395" s="1"/>
      <c r="Y395" s="1"/>
      <c r="Z395" s="1"/>
    </row>
    <row r="396" spans="1:26">
      <c r="A396" s="331"/>
      <c r="B396" s="331"/>
      <c r="C396" s="305"/>
      <c r="D396" s="1"/>
      <c r="E396" s="1"/>
      <c r="F396" s="1"/>
      <c r="G396" s="1"/>
      <c r="H396" s="1"/>
      <c r="I396" s="1"/>
      <c r="J396" s="1"/>
      <c r="K396" s="1"/>
      <c r="L396" s="2"/>
      <c r="M396" s="2"/>
      <c r="N396" s="2"/>
      <c r="O396" s="2"/>
      <c r="P396" s="2"/>
      <c r="Q396" s="2"/>
      <c r="R396" s="2"/>
      <c r="S396" s="2"/>
      <c r="T396" s="3"/>
      <c r="U396" s="1"/>
      <c r="V396" s="1"/>
      <c r="W396" s="1"/>
      <c r="X396" s="1"/>
      <c r="Y396" s="1"/>
      <c r="Z396" s="1"/>
    </row>
    <row r="397" spans="1:26">
      <c r="A397" s="331"/>
      <c r="B397" s="331"/>
      <c r="C397" s="305"/>
      <c r="D397" s="1"/>
      <c r="E397" s="1"/>
      <c r="F397" s="1"/>
      <c r="G397" s="1"/>
      <c r="H397" s="1"/>
      <c r="I397" s="1"/>
      <c r="J397" s="1"/>
      <c r="K397" s="1"/>
      <c r="L397" s="2"/>
      <c r="M397" s="2"/>
      <c r="N397" s="2"/>
      <c r="O397" s="2"/>
      <c r="P397" s="2"/>
      <c r="Q397" s="2"/>
      <c r="R397" s="2"/>
      <c r="S397" s="2"/>
      <c r="T397" s="3"/>
      <c r="U397" s="1"/>
      <c r="V397" s="1"/>
      <c r="W397" s="1"/>
      <c r="X397" s="1"/>
      <c r="Y397" s="1"/>
      <c r="Z397" s="1"/>
    </row>
    <row r="398" spans="1:26">
      <c r="A398" s="331"/>
      <c r="B398" s="33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2"/>
      <c r="N398" s="2"/>
      <c r="O398" s="2"/>
      <c r="P398" s="2"/>
      <c r="Q398" s="2"/>
      <c r="R398" s="2"/>
      <c r="S398" s="2"/>
      <c r="T398" s="3"/>
      <c r="U398" s="1"/>
      <c r="V398" s="1"/>
      <c r="W398" s="1"/>
      <c r="X398" s="1"/>
      <c r="Y398" s="1"/>
      <c r="Z398" s="1"/>
    </row>
    <row r="399" spans="1:26">
      <c r="A399" s="331"/>
      <c r="B399" s="331"/>
      <c r="C399" s="333"/>
      <c r="D399" s="1"/>
      <c r="E399" s="1"/>
      <c r="F399" s="1"/>
      <c r="G399" s="1"/>
      <c r="H399" s="1"/>
      <c r="I399" s="1"/>
      <c r="J399" s="1"/>
      <c r="K399" s="1"/>
      <c r="L399" s="2"/>
      <c r="M399" s="2"/>
      <c r="N399" s="2"/>
      <c r="O399" s="2"/>
      <c r="P399" s="2"/>
      <c r="Q399" s="2"/>
      <c r="R399" s="2"/>
      <c r="S399" s="2"/>
      <c r="T399" s="3"/>
      <c r="U399" s="1"/>
      <c r="V399" s="1"/>
      <c r="W399" s="1"/>
      <c r="X399" s="1"/>
      <c r="Y399" s="1"/>
      <c r="Z399" s="1"/>
    </row>
    <row r="400" spans="1:26">
      <c r="A400" s="331"/>
      <c r="B400" s="331"/>
      <c r="C400" s="333"/>
      <c r="D400" s="1"/>
      <c r="E400" s="1"/>
      <c r="F400" s="1"/>
      <c r="G400" s="1"/>
      <c r="H400" s="1"/>
      <c r="I400" s="1"/>
      <c r="J400" s="1"/>
      <c r="K400" s="1"/>
      <c r="L400" s="2"/>
      <c r="M400" s="2"/>
      <c r="N400" s="2"/>
      <c r="O400" s="2"/>
      <c r="P400" s="2"/>
      <c r="Q400" s="2"/>
      <c r="R400" s="2"/>
      <c r="S400" s="2"/>
      <c r="T400" s="3"/>
      <c r="U400" s="1"/>
      <c r="V400" s="1"/>
      <c r="W400" s="1"/>
      <c r="X400" s="1"/>
      <c r="Y400" s="1"/>
      <c r="Z400" s="1"/>
    </row>
    <row r="401" spans="1:26">
      <c r="A401" s="331"/>
      <c r="B401" s="331"/>
      <c r="C401" s="333"/>
      <c r="D401" s="1"/>
      <c r="E401" s="1"/>
      <c r="F401" s="1"/>
      <c r="G401" s="1"/>
      <c r="H401" s="1"/>
      <c r="I401" s="1"/>
      <c r="J401" s="1"/>
      <c r="K401" s="1"/>
      <c r="L401" s="2"/>
      <c r="M401" s="2"/>
      <c r="N401" s="2"/>
      <c r="O401" s="2"/>
      <c r="P401" s="2"/>
      <c r="Q401" s="2"/>
      <c r="R401" s="2"/>
      <c r="S401" s="2"/>
      <c r="T401" s="3"/>
      <c r="U401" s="1"/>
      <c r="V401" s="1"/>
      <c r="W401" s="1"/>
      <c r="X401" s="1"/>
      <c r="Y401" s="1"/>
      <c r="Z401" s="1"/>
    </row>
    <row r="402" spans="1:26">
      <c r="A402" s="331"/>
      <c r="B402" s="331"/>
      <c r="C402" s="333"/>
      <c r="D402" s="1"/>
      <c r="E402" s="1"/>
      <c r="F402" s="1"/>
      <c r="G402" s="1"/>
      <c r="H402" s="1"/>
      <c r="I402" s="1"/>
      <c r="J402" s="1"/>
      <c r="K402" s="1"/>
      <c r="L402" s="2"/>
      <c r="M402" s="2"/>
      <c r="N402" s="2"/>
      <c r="O402" s="2"/>
      <c r="P402" s="2"/>
      <c r="Q402" s="2"/>
      <c r="R402" s="2"/>
      <c r="S402" s="2"/>
      <c r="T402" s="3"/>
      <c r="U402" s="1"/>
      <c r="V402" s="1"/>
      <c r="W402" s="1"/>
      <c r="X402" s="1"/>
      <c r="Y402" s="1"/>
      <c r="Z402" s="1"/>
    </row>
    <row r="403" spans="1:26">
      <c r="A403" s="331"/>
      <c r="B403" s="33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2"/>
      <c r="N403" s="2"/>
      <c r="O403" s="2"/>
      <c r="P403" s="2"/>
      <c r="Q403" s="2"/>
      <c r="R403" s="2"/>
      <c r="S403" s="2"/>
      <c r="T403" s="3"/>
      <c r="U403" s="1"/>
      <c r="V403" s="1"/>
      <c r="W403" s="1"/>
      <c r="X403" s="1"/>
      <c r="Y403" s="1"/>
      <c r="Z403" s="1"/>
    </row>
    <row r="404" spans="1:26">
      <c r="A404" s="331"/>
      <c r="B404" s="33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2"/>
      <c r="N404" s="2"/>
      <c r="O404" s="2"/>
      <c r="P404" s="2"/>
      <c r="Q404" s="2"/>
      <c r="R404" s="2"/>
      <c r="S404" s="2"/>
      <c r="T404" s="3"/>
      <c r="U404" s="1"/>
      <c r="V404" s="1"/>
      <c r="W404" s="1"/>
      <c r="X404" s="1"/>
      <c r="Y404" s="1"/>
      <c r="Z404" s="1"/>
    </row>
    <row r="405" spans="1:26">
      <c r="A405" s="331"/>
      <c r="B405" s="33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2"/>
      <c r="N405" s="2"/>
      <c r="O405" s="2"/>
      <c r="P405" s="2"/>
      <c r="Q405" s="2"/>
      <c r="R405" s="2"/>
      <c r="S405" s="2"/>
      <c r="T405" s="3"/>
      <c r="U405" s="1"/>
      <c r="V405" s="1"/>
      <c r="W405" s="1"/>
      <c r="X405" s="1"/>
      <c r="Y405" s="1"/>
      <c r="Z405" s="1"/>
    </row>
    <row r="406" spans="1:26">
      <c r="A406" s="331"/>
      <c r="B406" s="33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2"/>
      <c r="N406" s="2"/>
      <c r="O406" s="2"/>
      <c r="P406" s="2"/>
      <c r="Q406" s="2"/>
      <c r="R406" s="2"/>
      <c r="S406" s="2"/>
      <c r="T406" s="3"/>
      <c r="U406" s="1"/>
      <c r="V406" s="1"/>
      <c r="W406" s="1"/>
      <c r="X406" s="1"/>
      <c r="Y406" s="1"/>
      <c r="Z406" s="1"/>
    </row>
    <row r="407" spans="1:26">
      <c r="A407" s="331"/>
      <c r="B407" s="331"/>
      <c r="C407" s="333"/>
      <c r="D407" s="1"/>
      <c r="E407" s="1"/>
      <c r="F407" s="1"/>
      <c r="G407" s="1"/>
      <c r="H407" s="1"/>
      <c r="I407" s="1"/>
      <c r="J407" s="1"/>
      <c r="K407" s="1"/>
      <c r="L407" s="2"/>
      <c r="M407" s="2"/>
      <c r="N407" s="2"/>
      <c r="O407" s="2"/>
      <c r="P407" s="2"/>
      <c r="Q407" s="2"/>
      <c r="R407" s="2"/>
      <c r="S407" s="2"/>
      <c r="T407" s="3"/>
      <c r="U407" s="1"/>
      <c r="V407" s="1"/>
      <c r="W407" s="1"/>
      <c r="X407" s="1"/>
      <c r="Y407" s="1"/>
      <c r="Z407" s="1"/>
    </row>
    <row r="408" spans="1:26">
      <c r="A408" s="331"/>
      <c r="B408" s="331"/>
      <c r="C408" s="333"/>
      <c r="D408" s="1"/>
      <c r="E408" s="1"/>
      <c r="F408" s="1"/>
      <c r="G408" s="1"/>
      <c r="H408" s="1"/>
      <c r="I408" s="1"/>
      <c r="J408" s="1"/>
      <c r="K408" s="1"/>
      <c r="L408" s="2"/>
      <c r="M408" s="2"/>
      <c r="N408" s="2"/>
      <c r="O408" s="2"/>
      <c r="P408" s="2"/>
      <c r="Q408" s="2"/>
      <c r="R408" s="2"/>
      <c r="S408" s="2"/>
      <c r="T408" s="3"/>
      <c r="U408" s="1"/>
      <c r="V408" s="1"/>
      <c r="W408" s="1"/>
      <c r="X408" s="1"/>
      <c r="Y408" s="1"/>
      <c r="Z408" s="1"/>
    </row>
    <row r="409" spans="1:26">
      <c r="A409" s="331"/>
      <c r="B409" s="331"/>
      <c r="C409" s="333"/>
      <c r="D409" s="1"/>
      <c r="E409" s="1"/>
      <c r="F409" s="1"/>
      <c r="G409" s="1"/>
      <c r="H409" s="1"/>
      <c r="I409" s="1"/>
      <c r="J409" s="1"/>
      <c r="K409" s="1"/>
      <c r="L409" s="2"/>
      <c r="M409" s="2"/>
      <c r="N409" s="2"/>
      <c r="O409" s="2"/>
      <c r="P409" s="2"/>
      <c r="Q409" s="2"/>
      <c r="R409" s="2"/>
      <c r="S409" s="2"/>
      <c r="T409" s="3"/>
      <c r="U409" s="1"/>
      <c r="V409" s="1"/>
      <c r="W409" s="1"/>
      <c r="X409" s="1"/>
      <c r="Y409" s="1"/>
      <c r="Z409" s="1"/>
    </row>
    <row r="410" spans="1:26">
      <c r="A410" s="332"/>
      <c r="B410" s="332"/>
      <c r="C410" s="4"/>
      <c r="D410" s="4"/>
      <c r="E410" s="4"/>
      <c r="F410" s="4"/>
      <c r="G410" s="4"/>
      <c r="H410" s="4"/>
      <c r="I410" s="4"/>
      <c r="J410" s="4"/>
      <c r="K410" s="4"/>
      <c r="L410" s="5"/>
      <c r="M410" s="5"/>
      <c r="N410" s="5"/>
      <c r="O410" s="5"/>
      <c r="P410" s="5"/>
      <c r="Q410" s="5"/>
      <c r="R410" s="5"/>
      <c r="S410" s="5"/>
      <c r="T410" s="6"/>
      <c r="U410" s="1"/>
      <c r="V410" s="1"/>
      <c r="W410" s="1"/>
      <c r="X410" s="1"/>
      <c r="Y410" s="1"/>
      <c r="Z410" s="1"/>
    </row>
    <row r="411" spans="1:26">
      <c r="A411" s="332"/>
      <c r="B411" s="332"/>
      <c r="C411" s="4"/>
      <c r="D411" s="4"/>
      <c r="E411" s="4"/>
      <c r="F411" s="4"/>
      <c r="G411" s="4"/>
      <c r="H411" s="4"/>
      <c r="I411" s="4"/>
      <c r="J411" s="4"/>
      <c r="K411" s="4"/>
      <c r="L411" s="5"/>
      <c r="M411" s="5"/>
      <c r="N411" s="5"/>
      <c r="O411" s="5"/>
      <c r="P411" s="5"/>
      <c r="Q411" s="5"/>
      <c r="R411" s="5"/>
      <c r="S411" s="5"/>
      <c r="T411" s="6"/>
      <c r="U411" s="1"/>
      <c r="V411" s="1"/>
      <c r="W411" s="1"/>
      <c r="X411" s="1"/>
      <c r="Y411" s="1"/>
      <c r="Z411" s="1"/>
    </row>
    <row r="412" spans="1:26">
      <c r="A412" s="331"/>
      <c r="B412" s="331"/>
      <c r="C412" s="333"/>
      <c r="D412" s="1"/>
      <c r="E412" s="1"/>
      <c r="F412" s="1"/>
      <c r="G412" s="1"/>
      <c r="H412" s="1"/>
      <c r="I412" s="1"/>
      <c r="J412" s="1"/>
      <c r="K412" s="1"/>
      <c r="L412" s="2"/>
      <c r="M412" s="2"/>
      <c r="N412" s="2"/>
      <c r="O412" s="2"/>
      <c r="P412" s="2"/>
      <c r="Q412" s="2"/>
      <c r="R412" s="2"/>
      <c r="S412" s="2"/>
      <c r="T412" s="3"/>
      <c r="U412" s="1"/>
      <c r="V412" s="1"/>
      <c r="W412" s="1"/>
      <c r="X412" s="1"/>
      <c r="Y412" s="1"/>
      <c r="Z412" s="1"/>
    </row>
    <row r="413" spans="1:26">
      <c r="A413" s="331"/>
      <c r="B413" s="331"/>
      <c r="C413" s="333"/>
      <c r="D413" s="1"/>
      <c r="E413" s="1"/>
      <c r="F413" s="1"/>
      <c r="G413" s="1"/>
      <c r="H413" s="1"/>
      <c r="I413" s="1"/>
      <c r="J413" s="1"/>
      <c r="K413" s="1"/>
      <c r="L413" s="2"/>
      <c r="M413" s="2"/>
      <c r="N413" s="2"/>
      <c r="O413" s="2"/>
      <c r="P413" s="2"/>
      <c r="Q413" s="2"/>
      <c r="R413" s="2"/>
      <c r="S413" s="2"/>
      <c r="T413" s="3"/>
      <c r="U413" s="1"/>
      <c r="V413" s="1"/>
      <c r="W413" s="1"/>
      <c r="X413" s="1"/>
      <c r="Y413" s="1"/>
      <c r="Z413" s="1"/>
    </row>
    <row r="414" spans="1:26">
      <c r="A414" s="331"/>
      <c r="B414" s="33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2"/>
      <c r="N414" s="2"/>
      <c r="O414" s="2"/>
      <c r="P414" s="2"/>
      <c r="Q414" s="2"/>
      <c r="R414" s="2"/>
      <c r="S414" s="2"/>
      <c r="T414" s="3"/>
      <c r="U414" s="1"/>
      <c r="V414" s="1"/>
      <c r="W414" s="1"/>
      <c r="X414" s="1"/>
      <c r="Y414" s="1"/>
      <c r="Z414" s="1"/>
    </row>
    <row r="415" spans="1:26">
      <c r="A415" s="331"/>
      <c r="B415" s="331"/>
      <c r="C415" s="333"/>
      <c r="D415" s="1"/>
      <c r="E415" s="1"/>
      <c r="F415" s="1"/>
      <c r="G415" s="1"/>
      <c r="H415" s="1"/>
      <c r="I415" s="1"/>
      <c r="J415" s="1"/>
      <c r="K415" s="1"/>
      <c r="L415" s="2"/>
      <c r="M415" s="2"/>
      <c r="N415" s="2"/>
      <c r="O415" s="2"/>
      <c r="P415" s="2"/>
      <c r="Q415" s="2"/>
      <c r="R415" s="2"/>
      <c r="S415" s="2"/>
      <c r="T415" s="3"/>
      <c r="U415" s="1"/>
      <c r="V415" s="1"/>
      <c r="W415" s="1"/>
      <c r="X415" s="1"/>
      <c r="Y415" s="1"/>
      <c r="Z415" s="1"/>
    </row>
    <row r="416" spans="1:26">
      <c r="A416" s="331"/>
      <c r="B416" s="331"/>
      <c r="C416" s="333"/>
      <c r="D416" s="1"/>
      <c r="E416" s="1"/>
      <c r="F416" s="1"/>
      <c r="G416" s="1"/>
      <c r="H416" s="1"/>
      <c r="I416" s="1"/>
      <c r="J416" s="1"/>
      <c r="K416" s="1"/>
      <c r="L416" s="2"/>
      <c r="M416" s="2"/>
      <c r="N416" s="2"/>
      <c r="O416" s="2"/>
      <c r="P416" s="2"/>
      <c r="Q416" s="2"/>
      <c r="R416" s="2"/>
      <c r="S416" s="2"/>
      <c r="T416" s="3"/>
      <c r="U416" s="1"/>
      <c r="V416" s="1"/>
      <c r="W416" s="1"/>
      <c r="X416" s="1"/>
      <c r="Y416" s="1"/>
      <c r="Z416" s="1"/>
    </row>
    <row r="417" spans="1:26">
      <c r="A417" s="331"/>
      <c r="B417" s="331"/>
      <c r="C417" s="333"/>
      <c r="D417" s="1"/>
      <c r="E417" s="1"/>
      <c r="F417" s="1"/>
      <c r="G417" s="1"/>
      <c r="H417" s="1"/>
      <c r="I417" s="1"/>
      <c r="J417" s="1"/>
      <c r="K417" s="1"/>
      <c r="L417" s="2"/>
      <c r="M417" s="2"/>
      <c r="N417" s="2"/>
      <c r="O417" s="2"/>
      <c r="P417" s="2"/>
      <c r="Q417" s="2"/>
      <c r="R417" s="2"/>
      <c r="S417" s="2"/>
      <c r="T417" s="3"/>
      <c r="U417" s="1"/>
      <c r="V417" s="1"/>
      <c r="W417" s="1"/>
      <c r="X417" s="1"/>
      <c r="Y417" s="1"/>
      <c r="Z417" s="1"/>
    </row>
    <row r="418" spans="1:26">
      <c r="A418" s="331"/>
      <c r="B418" s="331"/>
      <c r="C418" s="333"/>
      <c r="D418" s="1"/>
      <c r="E418" s="1"/>
      <c r="F418" s="1"/>
      <c r="G418" s="1"/>
      <c r="H418" s="1"/>
      <c r="I418" s="1"/>
      <c r="J418" s="1"/>
      <c r="K418" s="1"/>
      <c r="L418" s="2"/>
      <c r="M418" s="2"/>
      <c r="N418" s="2"/>
      <c r="O418" s="2"/>
      <c r="P418" s="2"/>
      <c r="Q418" s="2"/>
      <c r="R418" s="2"/>
      <c r="S418" s="2"/>
      <c r="T418" s="3"/>
      <c r="U418" s="1"/>
      <c r="V418" s="1"/>
      <c r="W418" s="1"/>
      <c r="X418" s="1"/>
      <c r="Y418" s="1"/>
      <c r="Z418" s="1"/>
    </row>
    <row r="419" spans="1:26">
      <c r="A419" s="331"/>
      <c r="B419" s="331"/>
      <c r="C419" s="333"/>
      <c r="D419" s="1"/>
      <c r="E419" s="1"/>
      <c r="F419" s="1"/>
      <c r="G419" s="1"/>
      <c r="H419" s="1"/>
      <c r="I419" s="1"/>
      <c r="J419" s="1"/>
      <c r="K419" s="1"/>
      <c r="L419" s="2"/>
      <c r="M419" s="2"/>
      <c r="N419" s="2"/>
      <c r="O419" s="2"/>
      <c r="P419" s="2"/>
      <c r="Q419" s="2"/>
      <c r="R419" s="2"/>
      <c r="S419" s="2"/>
      <c r="T419" s="3"/>
      <c r="U419" s="1"/>
      <c r="V419" s="1"/>
      <c r="W419" s="1"/>
      <c r="X419" s="1"/>
      <c r="Y419" s="1"/>
      <c r="Z419" s="1"/>
    </row>
    <row r="420" spans="1:26">
      <c r="A420" s="332"/>
      <c r="B420" s="332"/>
      <c r="C420" s="4"/>
      <c r="D420" s="4"/>
      <c r="E420" s="4"/>
      <c r="F420" s="4"/>
      <c r="G420" s="4"/>
      <c r="H420" s="4"/>
      <c r="I420" s="4"/>
      <c r="J420" s="4"/>
      <c r="K420" s="4"/>
      <c r="L420" s="5"/>
      <c r="M420" s="5"/>
      <c r="N420" s="5"/>
      <c r="O420" s="5"/>
      <c r="P420" s="5"/>
      <c r="Q420" s="5"/>
      <c r="R420" s="5"/>
      <c r="S420" s="5"/>
      <c r="T420" s="6"/>
      <c r="U420" s="1"/>
      <c r="V420" s="1"/>
      <c r="W420" s="1"/>
      <c r="X420" s="1"/>
      <c r="Y420" s="1"/>
      <c r="Z420" s="1"/>
    </row>
    <row r="421" spans="1:26">
      <c r="A421" s="331"/>
      <c r="B421" s="331"/>
      <c r="C421" s="333"/>
      <c r="D421" s="1"/>
      <c r="E421" s="1"/>
      <c r="F421" s="1"/>
      <c r="G421" s="1"/>
      <c r="H421" s="1"/>
      <c r="I421" s="1"/>
      <c r="J421" s="1"/>
      <c r="K421" s="1"/>
      <c r="L421" s="2"/>
      <c r="M421" s="2"/>
      <c r="N421" s="2"/>
      <c r="O421" s="2"/>
      <c r="P421" s="2"/>
      <c r="Q421" s="2"/>
      <c r="R421" s="2"/>
      <c r="S421" s="2"/>
      <c r="T421" s="3"/>
      <c r="U421" s="1"/>
      <c r="V421" s="1"/>
      <c r="W421" s="1"/>
      <c r="X421" s="1"/>
      <c r="Y421" s="1"/>
      <c r="Z421" s="1"/>
    </row>
    <row r="422" spans="1:26">
      <c r="A422" s="331"/>
      <c r="B422" s="331"/>
      <c r="C422" s="333"/>
      <c r="D422" s="1"/>
      <c r="E422" s="1"/>
      <c r="F422" s="1"/>
      <c r="G422" s="1"/>
      <c r="H422" s="1"/>
      <c r="I422" s="1"/>
      <c r="J422" s="1"/>
      <c r="K422" s="1"/>
      <c r="L422" s="2"/>
      <c r="M422" s="2"/>
      <c r="N422" s="2"/>
      <c r="O422" s="2"/>
      <c r="P422" s="2"/>
      <c r="Q422" s="2"/>
      <c r="R422" s="2"/>
      <c r="S422" s="2"/>
      <c r="T422" s="3"/>
      <c r="U422" s="1"/>
      <c r="V422" s="1"/>
      <c r="W422" s="1"/>
      <c r="X422" s="1"/>
      <c r="Y422" s="1"/>
      <c r="Z422" s="1"/>
    </row>
    <row r="423" spans="1:26">
      <c r="A423" s="261"/>
      <c r="B423" s="261"/>
      <c r="C423" s="305"/>
      <c r="D423" s="1"/>
      <c r="E423" s="1"/>
      <c r="F423" s="1"/>
      <c r="G423" s="1"/>
      <c r="H423" s="1"/>
      <c r="I423" s="1"/>
      <c r="J423" s="1"/>
      <c r="K423" s="1"/>
      <c r="L423" s="2"/>
      <c r="M423" s="2"/>
      <c r="N423" s="2"/>
      <c r="O423" s="2"/>
      <c r="P423" s="2"/>
      <c r="Q423" s="2"/>
      <c r="R423" s="2"/>
      <c r="S423" s="2"/>
      <c r="T423" s="3"/>
      <c r="U423" s="1"/>
      <c r="V423" s="1"/>
      <c r="W423" s="1"/>
      <c r="X423" s="1"/>
      <c r="Y423" s="1"/>
      <c r="Z423" s="1"/>
    </row>
    <row r="424" spans="1:26">
      <c r="A424" s="261"/>
      <c r="B424" s="261"/>
      <c r="C424" s="305"/>
      <c r="D424" s="1"/>
      <c r="E424" s="1"/>
      <c r="F424" s="1"/>
      <c r="G424" s="1"/>
      <c r="H424" s="1"/>
      <c r="I424" s="1"/>
      <c r="J424" s="1"/>
      <c r="K424" s="1"/>
      <c r="L424" s="2"/>
      <c r="M424" s="2"/>
      <c r="N424" s="2"/>
      <c r="O424" s="2"/>
      <c r="P424" s="2"/>
      <c r="Q424" s="2"/>
      <c r="R424" s="2"/>
      <c r="S424" s="2"/>
      <c r="T424" s="3"/>
      <c r="U424" s="1"/>
      <c r="V424" s="1"/>
      <c r="W424" s="1"/>
      <c r="X424" s="1"/>
      <c r="Y424" s="1"/>
      <c r="Z424" s="1"/>
    </row>
    <row r="425" spans="1:26">
      <c r="A425" s="261"/>
      <c r="B425" s="261"/>
      <c r="C425" s="305"/>
      <c r="D425" s="1"/>
      <c r="E425" s="1"/>
      <c r="F425" s="1"/>
      <c r="G425" s="1"/>
      <c r="H425" s="1"/>
      <c r="I425" s="1"/>
      <c r="J425" s="1"/>
      <c r="K425" s="1"/>
      <c r="L425" s="2"/>
      <c r="M425" s="2"/>
      <c r="N425" s="2"/>
      <c r="O425" s="2"/>
      <c r="P425" s="2"/>
      <c r="Q425" s="2"/>
      <c r="R425" s="2"/>
      <c r="S425" s="2"/>
      <c r="T425" s="3"/>
      <c r="U425" s="1"/>
      <c r="V425" s="1"/>
      <c r="W425" s="1"/>
      <c r="X425" s="1"/>
      <c r="Y425" s="1"/>
      <c r="Z425" s="1"/>
    </row>
    <row r="426" spans="1:26">
      <c r="A426" s="260"/>
      <c r="B426" s="260"/>
      <c r="C426" s="38"/>
      <c r="D426" s="4"/>
      <c r="E426" s="4"/>
      <c r="F426" s="4"/>
      <c r="G426" s="4"/>
      <c r="H426" s="4"/>
      <c r="I426" s="4"/>
      <c r="J426" s="4"/>
      <c r="K426" s="4"/>
      <c r="L426" s="5"/>
      <c r="M426" s="5"/>
      <c r="N426" s="5"/>
      <c r="O426" s="5"/>
      <c r="P426" s="5"/>
      <c r="Q426" s="5"/>
      <c r="R426" s="5"/>
      <c r="S426" s="5"/>
      <c r="T426" s="6"/>
      <c r="U426" s="1"/>
      <c r="V426" s="1"/>
      <c r="W426" s="1"/>
      <c r="X426" s="1"/>
      <c r="Y426" s="1"/>
      <c r="Z426" s="1"/>
    </row>
    <row r="427" spans="1:26">
      <c r="A427" s="260"/>
      <c r="B427" s="260"/>
      <c r="C427" s="38"/>
      <c r="D427" s="4"/>
      <c r="E427" s="4"/>
      <c r="F427" s="4"/>
      <c r="G427" s="4"/>
      <c r="H427" s="4"/>
      <c r="I427" s="4"/>
      <c r="J427" s="4"/>
      <c r="K427" s="4"/>
      <c r="L427" s="5"/>
      <c r="M427" s="5"/>
      <c r="N427" s="5"/>
      <c r="O427" s="5"/>
      <c r="P427" s="5"/>
      <c r="Q427" s="5"/>
      <c r="R427" s="5"/>
      <c r="S427" s="5"/>
      <c r="T427" s="6"/>
      <c r="U427" s="1"/>
      <c r="V427" s="1"/>
      <c r="W427" s="1"/>
      <c r="X427" s="1"/>
      <c r="Y427" s="1"/>
      <c r="Z427" s="1"/>
    </row>
    <row r="428" spans="1:26">
      <c r="A428" s="260"/>
      <c r="B428" s="260"/>
      <c r="C428" s="38"/>
      <c r="D428" s="4"/>
      <c r="E428" s="4"/>
      <c r="F428" s="4"/>
      <c r="G428" s="4"/>
      <c r="H428" s="4"/>
      <c r="I428" s="4"/>
      <c r="J428" s="4"/>
      <c r="K428" s="4"/>
      <c r="L428" s="5"/>
      <c r="M428" s="5"/>
      <c r="N428" s="5"/>
      <c r="O428" s="5"/>
      <c r="P428" s="5"/>
      <c r="Q428" s="5"/>
      <c r="R428" s="5"/>
      <c r="S428" s="5"/>
      <c r="T428" s="6"/>
      <c r="U428" s="1"/>
      <c r="V428" s="1"/>
      <c r="W428" s="1"/>
      <c r="X428" s="1"/>
      <c r="Y428" s="1"/>
      <c r="Z428" s="1"/>
    </row>
    <row r="429" spans="1:26">
      <c r="A429" s="261"/>
      <c r="B429" s="261"/>
      <c r="C429" s="305"/>
      <c r="D429" s="1"/>
      <c r="E429" s="1"/>
      <c r="F429" s="1"/>
      <c r="G429" s="1"/>
      <c r="H429" s="1"/>
      <c r="I429" s="1"/>
      <c r="J429" s="1"/>
      <c r="K429" s="1"/>
      <c r="L429" s="2"/>
      <c r="M429" s="2"/>
      <c r="N429" s="2"/>
      <c r="O429" s="2"/>
      <c r="P429" s="2"/>
      <c r="Q429" s="2"/>
      <c r="R429" s="2"/>
      <c r="S429" s="2"/>
      <c r="T429" s="3"/>
      <c r="U429" s="1"/>
      <c r="V429" s="1"/>
      <c r="W429" s="1"/>
      <c r="X429" s="1"/>
      <c r="Y429" s="1"/>
      <c r="Z429" s="1"/>
    </row>
    <row r="430" spans="1:26">
      <c r="A430" s="261"/>
      <c r="B430" s="261"/>
      <c r="C430" s="305"/>
      <c r="D430" s="1"/>
      <c r="E430" s="1"/>
      <c r="F430" s="1"/>
      <c r="G430" s="1"/>
      <c r="H430" s="1"/>
      <c r="I430" s="1"/>
      <c r="J430" s="1"/>
      <c r="K430" s="1"/>
      <c r="L430" s="2"/>
      <c r="M430" s="2"/>
      <c r="N430" s="2"/>
      <c r="O430" s="2"/>
      <c r="P430" s="2"/>
      <c r="Q430" s="2"/>
      <c r="R430" s="2"/>
      <c r="S430" s="2"/>
      <c r="T430" s="3"/>
      <c r="U430" s="1"/>
      <c r="V430" s="1"/>
      <c r="W430" s="1"/>
      <c r="X430" s="1"/>
      <c r="Y430" s="1"/>
      <c r="Z430" s="1"/>
    </row>
    <row r="431" spans="1:26">
      <c r="A431" s="261"/>
      <c r="B431" s="261"/>
      <c r="C431" s="305"/>
      <c r="D431" s="1"/>
      <c r="E431" s="1"/>
      <c r="F431" s="1"/>
      <c r="G431" s="1"/>
      <c r="H431" s="1"/>
      <c r="I431" s="1"/>
      <c r="J431" s="1"/>
      <c r="K431" s="1"/>
      <c r="L431" s="2"/>
      <c r="M431" s="2"/>
      <c r="N431" s="2"/>
      <c r="O431" s="2"/>
      <c r="P431" s="2"/>
      <c r="Q431" s="2"/>
      <c r="R431" s="2"/>
      <c r="S431" s="2"/>
      <c r="T431" s="3"/>
      <c r="U431" s="1"/>
      <c r="V431" s="1"/>
      <c r="W431" s="1"/>
      <c r="X431" s="1"/>
      <c r="Y431" s="1"/>
      <c r="Z431" s="1"/>
    </row>
    <row r="432" spans="1:26">
      <c r="A432" s="261"/>
      <c r="B432" s="261"/>
      <c r="C432" s="305"/>
      <c r="D432" s="1"/>
      <c r="E432" s="1"/>
      <c r="F432" s="1"/>
      <c r="G432" s="1"/>
      <c r="H432" s="1"/>
      <c r="I432" s="1"/>
      <c r="J432" s="1"/>
      <c r="K432" s="1"/>
      <c r="L432" s="2"/>
      <c r="M432" s="2"/>
      <c r="N432" s="2"/>
      <c r="O432" s="2"/>
      <c r="P432" s="2"/>
      <c r="Q432" s="2"/>
      <c r="R432" s="2"/>
      <c r="S432" s="2"/>
      <c r="T432" s="3"/>
      <c r="U432" s="1"/>
      <c r="V432" s="1"/>
      <c r="W432" s="1"/>
      <c r="X432" s="1"/>
      <c r="Y432" s="1"/>
      <c r="Z432" s="1"/>
    </row>
    <row r="433" spans="1:28">
      <c r="A433" s="261"/>
      <c r="B433" s="261"/>
      <c r="C433" s="305"/>
      <c r="D433" s="1"/>
      <c r="E433" s="1"/>
      <c r="F433" s="1"/>
      <c r="G433" s="1"/>
      <c r="H433" s="1"/>
      <c r="I433" s="1"/>
      <c r="J433" s="1"/>
      <c r="K433" s="1"/>
      <c r="L433" s="2"/>
      <c r="M433" s="2"/>
      <c r="N433" s="2"/>
      <c r="O433" s="2"/>
      <c r="P433" s="2"/>
      <c r="Q433" s="2"/>
      <c r="R433" s="2"/>
      <c r="S433" s="2"/>
      <c r="T433" s="3"/>
      <c r="U433" s="1"/>
      <c r="V433" s="1"/>
      <c r="W433" s="1"/>
      <c r="X433" s="1"/>
      <c r="Y433" s="1"/>
      <c r="Z433" s="1"/>
    </row>
    <row r="434" spans="1:28">
      <c r="A434" s="260"/>
      <c r="B434" s="260"/>
      <c r="C434" s="38"/>
      <c r="D434" s="4"/>
      <c r="E434" s="4"/>
      <c r="F434" s="4"/>
      <c r="G434" s="4"/>
      <c r="H434" s="4"/>
      <c r="I434" s="4"/>
      <c r="J434" s="4"/>
      <c r="K434" s="4"/>
      <c r="L434" s="5"/>
      <c r="M434" s="5"/>
      <c r="N434" s="5"/>
      <c r="O434" s="5"/>
      <c r="P434" s="5"/>
      <c r="Q434" s="5"/>
      <c r="R434" s="5"/>
      <c r="S434" s="5"/>
      <c r="T434" s="6"/>
      <c r="U434" s="1"/>
      <c r="V434" s="1"/>
      <c r="W434" s="1"/>
      <c r="X434" s="1"/>
      <c r="Y434" s="1"/>
      <c r="Z434" s="1"/>
    </row>
    <row r="435" spans="1:28">
      <c r="A435" s="306"/>
      <c r="B435" s="306"/>
      <c r="C435" s="38"/>
      <c r="D435" s="4"/>
      <c r="E435" s="4"/>
      <c r="F435" s="4"/>
      <c r="G435" s="4"/>
      <c r="H435" s="4"/>
      <c r="I435" s="4"/>
      <c r="J435" s="4"/>
      <c r="K435" s="4"/>
      <c r="L435" s="5"/>
      <c r="M435" s="5"/>
      <c r="N435" s="5"/>
      <c r="O435" s="5"/>
      <c r="P435" s="5"/>
      <c r="Q435" s="5"/>
      <c r="R435" s="5"/>
      <c r="S435" s="5"/>
      <c r="T435" s="6"/>
      <c r="U435" s="1"/>
      <c r="V435" s="1"/>
      <c r="W435" s="1"/>
      <c r="X435" s="1"/>
      <c r="Y435" s="1"/>
      <c r="Z435" s="1"/>
    </row>
    <row r="436" spans="1:28">
      <c r="A436" s="306"/>
      <c r="B436" s="306"/>
      <c r="C436" s="38"/>
      <c r="D436" s="4"/>
      <c r="E436" s="4"/>
      <c r="F436" s="4"/>
      <c r="G436" s="4"/>
      <c r="H436" s="4"/>
      <c r="I436" s="4"/>
      <c r="J436" s="4"/>
      <c r="K436" s="4"/>
      <c r="L436" s="5"/>
      <c r="M436" s="5"/>
      <c r="N436" s="5"/>
      <c r="O436" s="5"/>
      <c r="P436" s="5"/>
      <c r="Q436" s="5"/>
      <c r="R436" s="5"/>
      <c r="S436" s="5"/>
      <c r="T436" s="6"/>
      <c r="U436" s="1"/>
      <c r="V436" s="1"/>
      <c r="W436" s="1"/>
      <c r="X436" s="1"/>
      <c r="Y436" s="1"/>
      <c r="Z436" s="1"/>
    </row>
    <row r="437" spans="1:28">
      <c r="A437" s="306"/>
      <c r="B437" s="306"/>
      <c r="C437" s="38"/>
      <c r="D437" s="4"/>
      <c r="E437" s="4"/>
      <c r="F437" s="4"/>
      <c r="G437" s="4"/>
      <c r="H437" s="4"/>
      <c r="I437" s="4"/>
      <c r="J437" s="4"/>
      <c r="K437" s="4"/>
      <c r="L437" s="5"/>
      <c r="M437" s="5"/>
      <c r="N437" s="5"/>
      <c r="O437" s="5"/>
      <c r="P437" s="5"/>
      <c r="Q437" s="5"/>
      <c r="R437" s="5"/>
      <c r="S437" s="5"/>
      <c r="T437" s="6"/>
      <c r="U437" s="1"/>
      <c r="V437" s="1"/>
      <c r="W437" s="1"/>
      <c r="X437" s="1"/>
      <c r="Y437" s="1"/>
      <c r="Z437" s="1"/>
    </row>
    <row r="438" spans="1:28">
      <c r="A438" s="306"/>
      <c r="B438" s="306"/>
      <c r="C438" s="38"/>
      <c r="D438" s="4"/>
      <c r="E438" s="4"/>
      <c r="F438" s="4"/>
      <c r="G438" s="4"/>
      <c r="H438" s="4"/>
      <c r="I438" s="4"/>
      <c r="J438" s="4"/>
      <c r="K438" s="4"/>
      <c r="L438" s="5"/>
      <c r="M438" s="5"/>
      <c r="N438" s="5"/>
      <c r="O438" s="5"/>
      <c r="P438" s="5"/>
      <c r="Q438" s="5"/>
      <c r="R438" s="5"/>
      <c r="S438" s="5"/>
      <c r="T438" s="6"/>
      <c r="U438" s="1"/>
      <c r="V438" s="1"/>
      <c r="W438" s="1"/>
      <c r="X438" s="1"/>
      <c r="Y438" s="1"/>
      <c r="Z438" s="1"/>
    </row>
    <row r="439" spans="1:28">
      <c r="A439" s="306"/>
      <c r="B439" s="306"/>
      <c r="C439" s="38"/>
      <c r="D439" s="4"/>
      <c r="E439" s="4"/>
      <c r="F439" s="4"/>
      <c r="G439" s="4"/>
      <c r="H439" s="4"/>
      <c r="I439" s="4"/>
      <c r="J439" s="4"/>
      <c r="K439" s="4"/>
      <c r="L439" s="5"/>
      <c r="M439" s="5"/>
      <c r="N439" s="5"/>
      <c r="O439" s="5"/>
      <c r="P439" s="5"/>
      <c r="Q439" s="5"/>
      <c r="R439" s="5"/>
      <c r="S439" s="5"/>
      <c r="T439" s="6"/>
      <c r="U439" s="1"/>
      <c r="V439" s="1"/>
      <c r="W439" s="1"/>
      <c r="X439" s="1"/>
      <c r="Y439" s="1"/>
      <c r="Z439" s="1"/>
    </row>
    <row r="440" spans="1:28">
      <c r="A440" s="306"/>
      <c r="B440" s="306"/>
      <c r="C440" s="38"/>
      <c r="D440" s="4"/>
      <c r="E440" s="4"/>
      <c r="F440" s="4"/>
      <c r="G440" s="4"/>
      <c r="H440" s="4"/>
      <c r="I440" s="4"/>
      <c r="J440" s="4"/>
      <c r="K440" s="4"/>
      <c r="L440" s="5"/>
      <c r="M440" s="5"/>
      <c r="N440" s="5"/>
      <c r="O440" s="5"/>
      <c r="P440" s="5"/>
      <c r="Q440" s="5"/>
      <c r="R440" s="5"/>
      <c r="S440" s="5"/>
      <c r="T440" s="6"/>
      <c r="U440" s="1"/>
      <c r="V440" s="1"/>
      <c r="W440" s="1"/>
      <c r="X440" s="1"/>
      <c r="Y440" s="1"/>
      <c r="Z440" s="1"/>
    </row>
    <row r="441" spans="1:28">
      <c r="A441" s="306"/>
      <c r="B441" s="306"/>
      <c r="C441" s="38"/>
      <c r="D441" s="4"/>
      <c r="E441" s="4"/>
      <c r="F441" s="4"/>
      <c r="G441" s="4"/>
      <c r="H441" s="4"/>
      <c r="I441" s="4"/>
      <c r="J441" s="4"/>
      <c r="K441" s="4"/>
      <c r="L441" s="5"/>
      <c r="M441" s="5"/>
      <c r="N441" s="5"/>
      <c r="O441" s="5"/>
      <c r="P441" s="5"/>
      <c r="Q441" s="5"/>
      <c r="R441" s="5"/>
      <c r="S441" s="5"/>
      <c r="T441" s="6"/>
      <c r="U441" s="1"/>
      <c r="V441" s="1"/>
      <c r="W441" s="1"/>
      <c r="X441" s="1"/>
      <c r="Y441" s="1"/>
      <c r="Z441" s="1"/>
    </row>
    <row r="442" spans="1:28">
      <c r="A442" s="304"/>
      <c r="B442" s="304"/>
      <c r="C442" s="305"/>
      <c r="D442" s="1"/>
      <c r="E442" s="1"/>
      <c r="F442" s="1"/>
      <c r="G442" s="1"/>
      <c r="H442" s="1"/>
      <c r="I442" s="1"/>
      <c r="J442" s="1"/>
      <c r="K442" s="1"/>
      <c r="L442" s="2"/>
      <c r="M442" s="2"/>
      <c r="N442" s="2"/>
      <c r="O442" s="2"/>
      <c r="P442" s="2"/>
      <c r="Q442" s="2"/>
      <c r="R442" s="2"/>
      <c r="S442" s="2"/>
      <c r="T442" s="3"/>
      <c r="U442" s="1"/>
      <c r="V442" s="1"/>
      <c r="W442" s="1"/>
      <c r="X442" s="1"/>
      <c r="Y442" s="1"/>
      <c r="Z442" s="1"/>
    </row>
    <row r="443" spans="1:28">
      <c r="A443" s="261"/>
      <c r="B443" s="261"/>
      <c r="C443" s="115"/>
      <c r="D443" s="1"/>
      <c r="E443" s="1"/>
      <c r="F443" s="1"/>
      <c r="G443" s="1"/>
      <c r="H443" s="1"/>
      <c r="I443" s="1"/>
      <c r="J443" s="1"/>
      <c r="K443" s="1"/>
      <c r="L443" s="2"/>
      <c r="M443" s="2"/>
      <c r="N443" s="2"/>
      <c r="O443" s="2"/>
      <c r="P443" s="2"/>
      <c r="Q443" s="2"/>
      <c r="R443" s="2"/>
      <c r="S443" s="2"/>
      <c r="T443" s="3"/>
      <c r="U443" s="1"/>
      <c r="V443" s="1"/>
      <c r="W443" s="1"/>
      <c r="X443" s="1"/>
      <c r="Y443" s="1"/>
      <c r="Z443" s="1"/>
      <c r="AA443" s="1"/>
      <c r="AB443" s="1"/>
    </row>
    <row r="444" spans="1:28">
      <c r="A444" s="261"/>
      <c r="B444" s="261"/>
      <c r="C444" s="115"/>
      <c r="D444" s="1"/>
      <c r="E444" s="1"/>
      <c r="F444" s="1"/>
      <c r="G444" s="1"/>
      <c r="H444" s="1"/>
      <c r="I444" s="1"/>
      <c r="J444" s="1"/>
      <c r="K444" s="1"/>
      <c r="L444" s="2"/>
      <c r="M444" s="2"/>
      <c r="N444" s="2"/>
      <c r="O444" s="2"/>
      <c r="P444" s="2"/>
      <c r="Q444" s="2"/>
      <c r="R444" s="2"/>
      <c r="S444" s="2"/>
      <c r="T444" s="3"/>
      <c r="U444" s="1"/>
      <c r="V444" s="1"/>
      <c r="W444" s="1"/>
      <c r="X444" s="1"/>
      <c r="Y444" s="1"/>
      <c r="Z444" s="1"/>
      <c r="AA444" s="1"/>
      <c r="AB444" s="1"/>
    </row>
    <row r="445" spans="1:28">
      <c r="A445" s="261"/>
      <c r="B445" s="261"/>
      <c r="C445" s="115"/>
      <c r="D445" s="1"/>
      <c r="E445" s="1"/>
      <c r="F445" s="1"/>
      <c r="G445" s="1"/>
      <c r="H445" s="1"/>
      <c r="I445" s="1"/>
      <c r="J445" s="1"/>
      <c r="K445" s="1"/>
      <c r="L445" s="2"/>
      <c r="M445" s="2"/>
      <c r="N445" s="2"/>
      <c r="O445" s="2"/>
      <c r="P445" s="2"/>
      <c r="Q445" s="2"/>
      <c r="R445" s="2"/>
      <c r="S445" s="2"/>
      <c r="T445" s="3"/>
      <c r="U445" s="1"/>
      <c r="V445" s="1"/>
      <c r="W445" s="1"/>
      <c r="X445" s="1"/>
      <c r="Y445" s="1"/>
      <c r="Z445" s="1"/>
      <c r="AA445" s="1"/>
      <c r="AB445" s="1"/>
    </row>
    <row r="446" spans="1:28">
      <c r="A446" s="261"/>
      <c r="B446" s="261"/>
      <c r="C446" s="115"/>
      <c r="D446" s="1"/>
      <c r="E446" s="1"/>
      <c r="F446" s="1"/>
      <c r="G446" s="1"/>
      <c r="H446" s="1"/>
      <c r="I446" s="1"/>
      <c r="J446" s="1"/>
      <c r="K446" s="1"/>
      <c r="L446" s="2"/>
      <c r="M446" s="2"/>
      <c r="N446" s="2"/>
      <c r="O446" s="2"/>
      <c r="P446" s="2"/>
      <c r="Q446" s="2"/>
      <c r="R446" s="2"/>
      <c r="S446" s="2"/>
      <c r="T446" s="3"/>
      <c r="U446" s="1"/>
      <c r="V446" s="1"/>
      <c r="W446" s="1"/>
      <c r="X446" s="1"/>
      <c r="Y446" s="1"/>
      <c r="Z446" s="1"/>
      <c r="AA446" s="1"/>
      <c r="AB446" s="1"/>
    </row>
    <row r="447" spans="1:28">
      <c r="A447" s="261"/>
      <c r="B447" s="261"/>
      <c r="C447" s="115"/>
      <c r="D447" s="1"/>
      <c r="E447" s="1"/>
      <c r="F447" s="1"/>
      <c r="G447" s="1"/>
      <c r="H447" s="1"/>
      <c r="I447" s="1"/>
      <c r="J447" s="1"/>
      <c r="K447" s="1"/>
      <c r="L447" s="2"/>
      <c r="M447" s="2"/>
      <c r="N447" s="2"/>
      <c r="O447" s="2"/>
      <c r="P447" s="2"/>
      <c r="Q447" s="2"/>
      <c r="R447" s="2"/>
      <c r="S447" s="2"/>
      <c r="T447" s="3"/>
      <c r="U447" s="1"/>
      <c r="V447" s="1"/>
      <c r="W447" s="1"/>
      <c r="X447" s="1"/>
      <c r="Y447" s="1"/>
      <c r="Z447" s="1"/>
      <c r="AA447" s="1"/>
      <c r="AB447" s="1"/>
    </row>
    <row r="448" spans="1:28">
      <c r="A448" s="261"/>
      <c r="B448" s="261"/>
      <c r="C448" s="115"/>
      <c r="D448" s="1"/>
      <c r="E448" s="1"/>
      <c r="F448" s="1"/>
      <c r="G448" s="1"/>
      <c r="H448" s="1"/>
      <c r="I448" s="1"/>
      <c r="J448" s="1"/>
      <c r="K448" s="1"/>
      <c r="L448" s="2"/>
      <c r="M448" s="2"/>
      <c r="N448" s="2"/>
      <c r="O448" s="2"/>
      <c r="P448" s="2"/>
      <c r="Q448" s="2"/>
      <c r="R448" s="2"/>
      <c r="S448" s="2"/>
      <c r="T448" s="3"/>
      <c r="U448" s="1"/>
      <c r="V448" s="1"/>
      <c r="W448" s="1"/>
      <c r="X448" s="1"/>
      <c r="Y448" s="1"/>
      <c r="Z448" s="1"/>
      <c r="AA448" s="1"/>
      <c r="AB448" s="1"/>
    </row>
    <row r="449" spans="1:28">
      <c r="A449" s="261"/>
      <c r="B449" s="261"/>
      <c r="C449" s="115"/>
      <c r="D449" s="1"/>
      <c r="E449" s="1"/>
      <c r="F449" s="1"/>
      <c r="G449" s="1"/>
      <c r="H449" s="1"/>
      <c r="I449" s="1"/>
      <c r="J449" s="1"/>
      <c r="K449" s="1"/>
      <c r="L449" s="2"/>
      <c r="M449" s="2"/>
      <c r="N449" s="2"/>
      <c r="O449" s="2"/>
      <c r="P449" s="2"/>
      <c r="Q449" s="2"/>
      <c r="R449" s="2"/>
      <c r="S449" s="2"/>
      <c r="T449" s="3"/>
      <c r="U449" s="1"/>
      <c r="V449" s="1"/>
      <c r="W449" s="1"/>
      <c r="X449" s="1"/>
      <c r="Y449" s="1"/>
      <c r="Z449" s="1"/>
      <c r="AA449" s="1"/>
      <c r="AB449" s="1"/>
    </row>
    <row r="450" spans="1:28">
      <c r="A450" s="261"/>
      <c r="B450" s="261"/>
      <c r="C450" s="115"/>
      <c r="D450" s="1"/>
      <c r="E450" s="1"/>
      <c r="F450" s="1"/>
      <c r="G450" s="1"/>
      <c r="H450" s="1"/>
      <c r="I450" s="1"/>
      <c r="J450" s="1"/>
      <c r="K450" s="1"/>
      <c r="L450" s="2"/>
      <c r="M450" s="2"/>
      <c r="N450" s="2"/>
      <c r="O450" s="2"/>
      <c r="P450" s="2"/>
      <c r="Q450" s="2"/>
      <c r="R450" s="2"/>
      <c r="S450" s="2"/>
      <c r="T450" s="3"/>
      <c r="U450" s="1"/>
      <c r="V450" s="1"/>
      <c r="W450" s="1"/>
      <c r="X450" s="1"/>
      <c r="Y450" s="1"/>
      <c r="Z450" s="1"/>
      <c r="AA450" s="1"/>
      <c r="AB450" s="1"/>
    </row>
    <row r="451" spans="1:28">
      <c r="A451" s="261"/>
      <c r="B451" s="261"/>
      <c r="C451" s="115"/>
      <c r="D451" s="1"/>
      <c r="E451" s="1"/>
      <c r="F451" s="1"/>
      <c r="G451" s="1"/>
      <c r="H451" s="1"/>
      <c r="I451" s="1"/>
      <c r="J451" s="1"/>
      <c r="K451" s="1"/>
      <c r="L451" s="2"/>
      <c r="M451" s="2"/>
      <c r="N451" s="2"/>
      <c r="O451" s="2"/>
      <c r="P451" s="2"/>
      <c r="Q451" s="2"/>
      <c r="R451" s="2"/>
      <c r="S451" s="2"/>
      <c r="T451" s="3"/>
      <c r="U451" s="1"/>
      <c r="V451" s="1"/>
      <c r="W451" s="1"/>
      <c r="X451" s="1"/>
      <c r="Y451" s="1"/>
      <c r="Z451" s="1"/>
      <c r="AA451" s="1"/>
      <c r="AB451" s="1"/>
    </row>
    <row r="452" spans="1:28">
      <c r="A452" s="261"/>
      <c r="B452" s="261"/>
      <c r="C452" s="115"/>
      <c r="D452" s="1"/>
      <c r="E452" s="1"/>
      <c r="F452" s="1"/>
      <c r="G452" s="1"/>
      <c r="H452" s="1"/>
      <c r="I452" s="1"/>
      <c r="J452" s="1"/>
      <c r="K452" s="1"/>
      <c r="L452" s="2"/>
      <c r="M452" s="2"/>
      <c r="N452" s="2"/>
      <c r="O452" s="2"/>
      <c r="P452" s="2"/>
      <c r="Q452" s="2"/>
      <c r="R452" s="2"/>
      <c r="S452" s="2"/>
      <c r="T452" s="3"/>
      <c r="U452" s="1"/>
      <c r="V452" s="1"/>
      <c r="W452" s="1"/>
      <c r="X452" s="1"/>
      <c r="Y452" s="1"/>
      <c r="Z452" s="1"/>
      <c r="AA452" s="1"/>
      <c r="AB452" s="1"/>
    </row>
    <row r="453" spans="1:28">
      <c r="A453" s="261"/>
      <c r="B453" s="261"/>
      <c r="C453" s="115"/>
      <c r="D453" s="1"/>
      <c r="E453" s="1"/>
      <c r="F453" s="1"/>
      <c r="G453" s="1"/>
      <c r="H453" s="1"/>
      <c r="I453" s="1"/>
      <c r="J453" s="1"/>
      <c r="K453" s="1"/>
      <c r="L453" s="2"/>
      <c r="M453" s="2"/>
      <c r="N453" s="2"/>
      <c r="O453" s="2"/>
      <c r="P453" s="2"/>
      <c r="Q453" s="2"/>
      <c r="R453" s="2"/>
      <c r="S453" s="2"/>
      <c r="T453" s="3"/>
      <c r="U453" s="1"/>
      <c r="V453" s="1"/>
      <c r="W453" s="1"/>
      <c r="X453" s="1"/>
      <c r="Y453" s="1"/>
      <c r="Z453" s="1"/>
      <c r="AA453" s="1"/>
      <c r="AB453" s="1"/>
    </row>
    <row r="454" spans="1:28">
      <c r="A454" s="261"/>
      <c r="B454" s="261"/>
      <c r="C454" s="115"/>
      <c r="D454" s="1"/>
      <c r="E454" s="1"/>
      <c r="F454" s="1"/>
      <c r="G454" s="1"/>
      <c r="H454" s="1"/>
      <c r="I454" s="1"/>
      <c r="J454" s="1"/>
      <c r="K454" s="1"/>
      <c r="L454" s="2"/>
      <c r="M454" s="2"/>
      <c r="N454" s="2"/>
      <c r="O454" s="2"/>
      <c r="P454" s="2"/>
      <c r="Q454" s="2"/>
      <c r="R454" s="2"/>
      <c r="S454" s="2"/>
      <c r="T454" s="3"/>
      <c r="U454" s="1"/>
      <c r="V454" s="1"/>
      <c r="W454" s="1"/>
      <c r="X454" s="1"/>
      <c r="Y454" s="1"/>
      <c r="Z454" s="1"/>
      <c r="AA454" s="1"/>
      <c r="AB454" s="1"/>
    </row>
    <row r="455" spans="1:28">
      <c r="A455" s="261"/>
      <c r="B455" s="261"/>
      <c r="C455" s="115"/>
      <c r="D455" s="1"/>
      <c r="E455" s="1"/>
      <c r="F455" s="1"/>
      <c r="G455" s="1"/>
      <c r="H455" s="1"/>
      <c r="I455" s="1"/>
      <c r="J455" s="1"/>
      <c r="K455" s="1"/>
      <c r="L455" s="2"/>
      <c r="M455" s="2"/>
      <c r="N455" s="2"/>
      <c r="O455" s="2"/>
      <c r="P455" s="2"/>
      <c r="Q455" s="2"/>
      <c r="R455" s="2"/>
      <c r="S455" s="2"/>
      <c r="T455" s="3"/>
      <c r="U455" s="1"/>
      <c r="V455" s="1"/>
      <c r="W455" s="1"/>
      <c r="X455" s="1"/>
      <c r="Y455" s="1"/>
      <c r="Z455" s="1"/>
      <c r="AA455" s="1"/>
      <c r="AB455" s="1"/>
    </row>
    <row r="456" spans="1:28">
      <c r="A456" s="261"/>
      <c r="B456" s="261"/>
      <c r="C456" s="115"/>
      <c r="D456" s="1"/>
      <c r="E456" s="1"/>
      <c r="F456" s="1"/>
      <c r="G456" s="1"/>
      <c r="H456" s="1"/>
      <c r="I456" s="1"/>
      <c r="J456" s="1"/>
      <c r="K456" s="1"/>
      <c r="L456" s="2"/>
      <c r="M456" s="2"/>
      <c r="N456" s="2"/>
      <c r="O456" s="2"/>
      <c r="P456" s="2"/>
      <c r="Q456" s="2"/>
      <c r="R456" s="2"/>
      <c r="S456" s="2"/>
      <c r="T456" s="3"/>
      <c r="U456" s="1"/>
      <c r="V456" s="1"/>
      <c r="W456" s="1"/>
      <c r="X456" s="1"/>
      <c r="Y456" s="1"/>
      <c r="Z456" s="1"/>
      <c r="AA456" s="1"/>
      <c r="AB456" s="1"/>
    </row>
    <row r="457" spans="1:28">
      <c r="A457" s="261"/>
      <c r="B457" s="261"/>
      <c r="C457" s="115"/>
      <c r="D457" s="1"/>
      <c r="E457" s="1"/>
      <c r="F457" s="1"/>
      <c r="G457" s="1"/>
      <c r="H457" s="1"/>
      <c r="I457" s="1"/>
      <c r="J457" s="1"/>
      <c r="K457" s="1"/>
      <c r="L457" s="2"/>
      <c r="M457" s="2"/>
      <c r="N457" s="2"/>
      <c r="O457" s="2"/>
      <c r="P457" s="2"/>
      <c r="Q457" s="2"/>
      <c r="R457" s="2"/>
      <c r="S457" s="2"/>
      <c r="T457" s="3"/>
      <c r="U457" s="1"/>
      <c r="V457" s="1"/>
      <c r="W457" s="1"/>
      <c r="X457" s="1"/>
      <c r="Y457" s="1"/>
      <c r="Z457" s="1"/>
      <c r="AA457" s="1"/>
      <c r="AB457" s="1"/>
    </row>
    <row r="458" spans="1:28">
      <c r="A458" s="261"/>
      <c r="B458" s="261"/>
      <c r="C458" s="115"/>
      <c r="D458" s="1"/>
      <c r="E458" s="1"/>
      <c r="F458" s="1"/>
      <c r="G458" s="1"/>
      <c r="H458" s="1"/>
      <c r="I458" s="1"/>
      <c r="J458" s="1"/>
      <c r="K458" s="1"/>
      <c r="L458" s="2"/>
      <c r="M458" s="2"/>
      <c r="N458" s="2"/>
      <c r="O458" s="2"/>
      <c r="P458" s="2"/>
      <c r="Q458" s="2"/>
      <c r="R458" s="2"/>
      <c r="S458" s="2"/>
      <c r="T458" s="3"/>
      <c r="U458" s="1"/>
      <c r="V458" s="1"/>
      <c r="W458" s="1"/>
      <c r="X458" s="1"/>
      <c r="Y458" s="1"/>
      <c r="Z458" s="1"/>
      <c r="AA458" s="1"/>
      <c r="AB458" s="1"/>
    </row>
    <row r="459" spans="1:28">
      <c r="A459" s="261"/>
      <c r="B459" s="261"/>
      <c r="C459" s="115"/>
      <c r="D459" s="1"/>
      <c r="E459" s="1"/>
      <c r="F459" s="1"/>
      <c r="G459" s="1"/>
      <c r="H459" s="1"/>
      <c r="I459" s="1"/>
      <c r="J459" s="1"/>
      <c r="K459" s="1"/>
      <c r="L459" s="2"/>
      <c r="M459" s="2"/>
      <c r="N459" s="2"/>
      <c r="O459" s="2"/>
      <c r="P459" s="2"/>
      <c r="Q459" s="2"/>
      <c r="R459" s="2"/>
      <c r="S459" s="2"/>
      <c r="T459" s="3"/>
      <c r="U459" s="1"/>
      <c r="V459" s="1"/>
      <c r="W459" s="1"/>
      <c r="X459" s="1"/>
      <c r="Y459" s="1"/>
      <c r="Z459" s="1"/>
      <c r="AA459" s="1"/>
      <c r="AB459" s="1"/>
    </row>
    <row r="460" spans="1:28">
      <c r="A460" s="261"/>
      <c r="B460" s="261"/>
      <c r="C460" s="115"/>
      <c r="D460" s="1"/>
      <c r="E460" s="1"/>
      <c r="F460" s="1"/>
      <c r="G460" s="1"/>
      <c r="H460" s="1"/>
      <c r="I460" s="1"/>
      <c r="J460" s="1"/>
      <c r="K460" s="1"/>
      <c r="L460" s="2"/>
      <c r="M460" s="2"/>
      <c r="N460" s="2"/>
      <c r="O460" s="2"/>
      <c r="P460" s="2"/>
      <c r="Q460" s="2"/>
      <c r="R460" s="2"/>
      <c r="S460" s="2"/>
      <c r="T460" s="3"/>
      <c r="U460" s="1"/>
      <c r="V460" s="1"/>
      <c r="W460" s="1"/>
      <c r="X460" s="1"/>
      <c r="Y460" s="1"/>
      <c r="Z460" s="1"/>
      <c r="AA460" s="1"/>
      <c r="AB460" s="1"/>
    </row>
    <row r="461" spans="1:28">
      <c r="A461" s="261"/>
      <c r="B461" s="261"/>
      <c r="C461" s="115"/>
      <c r="D461" s="1"/>
      <c r="E461" s="1"/>
      <c r="F461" s="1"/>
      <c r="G461" s="1"/>
      <c r="H461" s="1"/>
      <c r="I461" s="1"/>
      <c r="J461" s="1"/>
      <c r="K461" s="1"/>
      <c r="L461" s="2"/>
      <c r="M461" s="2"/>
      <c r="N461" s="2"/>
      <c r="O461" s="2"/>
      <c r="P461" s="2"/>
      <c r="Q461" s="2"/>
      <c r="R461" s="2"/>
      <c r="S461" s="2"/>
      <c r="T461" s="3"/>
      <c r="U461" s="1"/>
      <c r="V461" s="1"/>
      <c r="W461" s="1"/>
      <c r="X461" s="1"/>
      <c r="Y461" s="1"/>
      <c r="Z461" s="1"/>
      <c r="AA461" s="1"/>
      <c r="AB461" s="1"/>
    </row>
    <row r="462" spans="1:28">
      <c r="A462" s="261"/>
      <c r="B462" s="261"/>
      <c r="C462" s="115"/>
      <c r="D462" s="1"/>
      <c r="E462" s="1"/>
      <c r="F462" s="1"/>
      <c r="G462" s="1"/>
      <c r="H462" s="1"/>
      <c r="I462" s="1"/>
      <c r="J462" s="1"/>
      <c r="K462" s="1"/>
      <c r="L462" s="2"/>
      <c r="M462" s="2"/>
      <c r="N462" s="2"/>
      <c r="O462" s="2"/>
      <c r="P462" s="2"/>
      <c r="Q462" s="2"/>
      <c r="R462" s="2"/>
      <c r="S462" s="2"/>
      <c r="T462" s="3"/>
      <c r="U462" s="1"/>
      <c r="V462" s="1"/>
      <c r="W462" s="1"/>
      <c r="X462" s="1"/>
      <c r="Y462" s="1"/>
      <c r="Z462" s="1"/>
      <c r="AA462" s="1"/>
      <c r="AB462" s="1"/>
    </row>
    <row r="463" spans="1:28">
      <c r="A463" s="261"/>
      <c r="B463" s="261"/>
      <c r="C463" s="115"/>
      <c r="D463" s="1"/>
      <c r="E463" s="1"/>
      <c r="F463" s="1"/>
      <c r="G463" s="1"/>
      <c r="H463" s="1"/>
      <c r="I463" s="1"/>
      <c r="J463" s="1"/>
      <c r="K463" s="1"/>
      <c r="L463" s="2"/>
      <c r="M463" s="2"/>
      <c r="N463" s="2"/>
      <c r="O463" s="2"/>
      <c r="P463" s="2"/>
      <c r="Q463" s="2"/>
      <c r="R463" s="2"/>
      <c r="S463" s="2"/>
      <c r="T463" s="3"/>
      <c r="U463" s="1"/>
      <c r="V463" s="1"/>
      <c r="W463" s="1"/>
      <c r="X463" s="1"/>
      <c r="Y463" s="1"/>
      <c r="Z463" s="1"/>
      <c r="AA463" s="1"/>
      <c r="AB463" s="1"/>
    </row>
    <row r="464" spans="1:28">
      <c r="A464" s="261"/>
      <c r="B464" s="261"/>
      <c r="C464" s="115"/>
      <c r="D464" s="1"/>
      <c r="E464" s="1"/>
      <c r="F464" s="1"/>
      <c r="G464" s="1"/>
      <c r="H464" s="1"/>
      <c r="I464" s="1"/>
      <c r="J464" s="1"/>
      <c r="K464" s="1"/>
      <c r="L464" s="2"/>
      <c r="M464" s="2"/>
      <c r="N464" s="2"/>
      <c r="O464" s="2"/>
      <c r="P464" s="2"/>
      <c r="Q464" s="2"/>
      <c r="R464" s="2"/>
      <c r="S464" s="2"/>
      <c r="T464" s="3"/>
      <c r="U464" s="1"/>
      <c r="V464" s="1"/>
      <c r="W464" s="1"/>
      <c r="X464" s="1"/>
      <c r="Y464" s="1"/>
      <c r="Z464" s="1"/>
      <c r="AA464" s="1"/>
      <c r="AB464" s="1"/>
    </row>
    <row r="465" spans="1:28">
      <c r="A465" s="261"/>
      <c r="B465" s="261"/>
      <c r="C465" s="115"/>
      <c r="D465" s="1"/>
      <c r="E465" s="1"/>
      <c r="F465" s="1"/>
      <c r="G465" s="1"/>
      <c r="H465" s="1"/>
      <c r="I465" s="1"/>
      <c r="J465" s="1"/>
      <c r="K465" s="1"/>
      <c r="L465" s="2"/>
      <c r="M465" s="2"/>
      <c r="N465" s="2"/>
      <c r="O465" s="2"/>
      <c r="P465" s="2"/>
      <c r="Q465" s="2"/>
      <c r="R465" s="2"/>
      <c r="S465" s="2"/>
      <c r="T465" s="3"/>
      <c r="U465" s="1"/>
      <c r="V465" s="1"/>
      <c r="W465" s="1"/>
      <c r="X465" s="1"/>
      <c r="Y465" s="1"/>
      <c r="Z465" s="1"/>
      <c r="AA465" s="1"/>
      <c r="AB465" s="1"/>
    </row>
    <row r="466" spans="1:28">
      <c r="A466" s="261"/>
      <c r="B466" s="261"/>
      <c r="C466" s="115"/>
      <c r="D466" s="1"/>
      <c r="E466" s="1"/>
      <c r="F466" s="1"/>
      <c r="G466" s="1"/>
      <c r="H466" s="1"/>
      <c r="I466" s="1"/>
      <c r="J466" s="1"/>
      <c r="K466" s="1"/>
      <c r="L466" s="2"/>
      <c r="M466" s="2"/>
      <c r="N466" s="2"/>
      <c r="O466" s="2"/>
      <c r="P466" s="2"/>
      <c r="Q466" s="2"/>
      <c r="R466" s="2"/>
      <c r="S466" s="2"/>
      <c r="T466" s="3"/>
      <c r="U466" s="1"/>
      <c r="V466" s="1"/>
      <c r="W466" s="1"/>
      <c r="X466" s="1"/>
      <c r="Y466" s="1"/>
      <c r="Z466" s="1"/>
      <c r="AA466" s="1"/>
      <c r="AB466" s="1"/>
    </row>
    <row r="467" spans="1:28">
      <c r="A467" s="261"/>
      <c r="B467" s="261"/>
      <c r="C467" s="115"/>
      <c r="D467" s="1"/>
      <c r="E467" s="1"/>
      <c r="F467" s="1"/>
      <c r="G467" s="1"/>
      <c r="H467" s="1"/>
      <c r="I467" s="1"/>
      <c r="J467" s="1"/>
      <c r="K467" s="1"/>
      <c r="L467" s="2"/>
      <c r="M467" s="2"/>
      <c r="N467" s="2"/>
      <c r="O467" s="2"/>
      <c r="P467" s="2"/>
      <c r="Q467" s="2"/>
      <c r="R467" s="2"/>
      <c r="S467" s="2"/>
      <c r="T467" s="3"/>
      <c r="U467" s="1"/>
      <c r="V467" s="1"/>
      <c r="W467" s="1"/>
      <c r="X467" s="1"/>
      <c r="Y467" s="1"/>
      <c r="Z467" s="1"/>
      <c r="AA467" s="1"/>
      <c r="AB467" s="1"/>
    </row>
    <row r="468" spans="1:28">
      <c r="A468" s="261"/>
      <c r="B468" s="261"/>
      <c r="C468" s="115"/>
      <c r="D468" s="1"/>
      <c r="E468" s="1"/>
      <c r="F468" s="1"/>
      <c r="G468" s="1"/>
      <c r="H468" s="1"/>
      <c r="I468" s="1"/>
      <c r="J468" s="1"/>
      <c r="K468" s="1"/>
      <c r="L468" s="2"/>
      <c r="M468" s="2"/>
      <c r="N468" s="2"/>
      <c r="O468" s="2"/>
      <c r="P468" s="2"/>
      <c r="Q468" s="2"/>
      <c r="R468" s="2"/>
      <c r="S468" s="2"/>
      <c r="T468" s="3"/>
      <c r="U468" s="1"/>
      <c r="V468" s="1"/>
      <c r="W468" s="1"/>
      <c r="X468" s="1"/>
      <c r="Y468" s="1"/>
      <c r="Z468" s="1"/>
      <c r="AA468" s="1"/>
      <c r="AB468" s="1"/>
    </row>
    <row r="469" spans="1:28">
      <c r="A469" s="261"/>
      <c r="B469" s="261"/>
      <c r="C469" s="115"/>
      <c r="D469" s="1"/>
      <c r="E469" s="1"/>
      <c r="F469" s="1"/>
      <c r="G469" s="1"/>
      <c r="H469" s="1"/>
      <c r="I469" s="1"/>
      <c r="J469" s="1"/>
      <c r="K469" s="1"/>
      <c r="L469" s="2"/>
      <c r="M469" s="2"/>
      <c r="N469" s="2"/>
      <c r="O469" s="2"/>
      <c r="P469" s="2"/>
      <c r="Q469" s="2"/>
      <c r="R469" s="2"/>
      <c r="S469" s="2"/>
      <c r="T469" s="3"/>
      <c r="U469" s="1"/>
      <c r="V469" s="1"/>
      <c r="W469" s="1"/>
      <c r="X469" s="1"/>
      <c r="Y469" s="1"/>
      <c r="Z469" s="1"/>
      <c r="AA469" s="1"/>
      <c r="AB469" s="1"/>
    </row>
    <row r="470" spans="1:28">
      <c r="A470" s="261"/>
      <c r="B470" s="261"/>
      <c r="C470" s="115"/>
      <c r="D470" s="1"/>
      <c r="E470" s="1"/>
      <c r="F470" s="1"/>
      <c r="G470" s="1"/>
      <c r="H470" s="1"/>
      <c r="I470" s="1"/>
      <c r="J470" s="1"/>
      <c r="K470" s="1"/>
      <c r="L470" s="2"/>
      <c r="M470" s="2"/>
      <c r="N470" s="2"/>
      <c r="O470" s="2"/>
      <c r="P470" s="2"/>
      <c r="Q470" s="2"/>
      <c r="R470" s="2"/>
      <c r="S470" s="2"/>
      <c r="T470" s="3"/>
      <c r="U470" s="1"/>
      <c r="V470" s="1"/>
      <c r="W470" s="1"/>
      <c r="X470" s="1"/>
      <c r="Y470" s="1"/>
      <c r="Z470" s="1"/>
      <c r="AA470" s="1"/>
      <c r="AB470" s="1"/>
    </row>
    <row r="471" spans="1:28">
      <c r="A471" s="261"/>
      <c r="B471" s="261"/>
      <c r="C471" s="115"/>
      <c r="D471" s="1"/>
      <c r="E471" s="1"/>
      <c r="F471" s="1"/>
      <c r="G471" s="1"/>
      <c r="H471" s="1"/>
      <c r="I471" s="1"/>
      <c r="J471" s="1"/>
      <c r="K471" s="1"/>
      <c r="L471" s="2"/>
      <c r="M471" s="2"/>
      <c r="N471" s="2"/>
      <c r="O471" s="2"/>
      <c r="P471" s="2"/>
      <c r="Q471" s="2"/>
      <c r="R471" s="2"/>
      <c r="S471" s="2"/>
      <c r="T471" s="3"/>
      <c r="U471" s="1"/>
      <c r="V471" s="1"/>
      <c r="W471" s="1"/>
      <c r="X471" s="1"/>
      <c r="Y471" s="1"/>
      <c r="Z471" s="1"/>
      <c r="AA471" s="1"/>
      <c r="AB471" s="1"/>
    </row>
    <row r="472" spans="1:28">
      <c r="A472" s="261"/>
      <c r="B472" s="261"/>
      <c r="C472" s="115"/>
      <c r="D472" s="1"/>
      <c r="E472" s="1"/>
      <c r="F472" s="1"/>
      <c r="G472" s="1"/>
      <c r="H472" s="1"/>
      <c r="I472" s="1"/>
      <c r="J472" s="1"/>
      <c r="K472" s="1"/>
      <c r="L472" s="2"/>
      <c r="M472" s="2"/>
      <c r="N472" s="2"/>
      <c r="O472" s="2"/>
      <c r="P472" s="2"/>
      <c r="Q472" s="2"/>
      <c r="R472" s="2"/>
      <c r="S472" s="2"/>
      <c r="T472" s="3"/>
      <c r="U472" s="1"/>
      <c r="V472" s="1"/>
      <c r="W472" s="1"/>
      <c r="X472" s="1"/>
      <c r="Y472" s="1"/>
      <c r="Z472" s="1"/>
      <c r="AA472" s="1"/>
      <c r="AB472" s="1"/>
    </row>
    <row r="473" spans="1:28">
      <c r="A473" s="261"/>
      <c r="B473" s="261"/>
      <c r="C473" s="115"/>
      <c r="D473" s="1"/>
      <c r="E473" s="1"/>
      <c r="F473" s="1"/>
      <c r="G473" s="1"/>
      <c r="H473" s="1"/>
      <c r="I473" s="1"/>
      <c r="J473" s="1"/>
      <c r="K473" s="1"/>
      <c r="L473" s="2"/>
      <c r="M473" s="2"/>
      <c r="N473" s="2"/>
      <c r="O473" s="2"/>
      <c r="P473" s="2"/>
      <c r="Q473" s="2"/>
      <c r="R473" s="2"/>
      <c r="S473" s="2"/>
      <c r="T473" s="3"/>
      <c r="U473" s="1"/>
      <c r="V473" s="1"/>
      <c r="W473" s="1"/>
      <c r="X473" s="1"/>
      <c r="Y473" s="1"/>
      <c r="Z473" s="1"/>
      <c r="AA473" s="1"/>
      <c r="AB473" s="1"/>
    </row>
    <row r="474" spans="1:28">
      <c r="A474" s="261"/>
      <c r="B474" s="261"/>
      <c r="C474" s="115"/>
      <c r="D474" s="1"/>
      <c r="E474" s="1"/>
      <c r="F474" s="1"/>
      <c r="G474" s="1"/>
      <c r="H474" s="1"/>
      <c r="I474" s="1"/>
      <c r="J474" s="1"/>
      <c r="K474" s="1"/>
      <c r="L474" s="2"/>
      <c r="M474" s="2"/>
      <c r="N474" s="2"/>
      <c r="O474" s="2"/>
      <c r="P474" s="2"/>
      <c r="Q474" s="2"/>
      <c r="R474" s="2"/>
      <c r="S474" s="2"/>
      <c r="T474" s="3"/>
      <c r="U474" s="1"/>
      <c r="V474" s="1"/>
      <c r="W474" s="1"/>
      <c r="X474" s="1"/>
      <c r="Y474" s="1"/>
      <c r="Z474" s="1"/>
      <c r="AA474" s="1"/>
      <c r="AB474" s="1"/>
    </row>
    <row r="475" spans="1:28">
      <c r="A475" s="261"/>
      <c r="B475" s="261"/>
      <c r="C475" s="115"/>
      <c r="D475" s="1"/>
      <c r="E475" s="1"/>
      <c r="F475" s="1"/>
      <c r="G475" s="1"/>
      <c r="H475" s="1"/>
      <c r="I475" s="1"/>
      <c r="J475" s="1"/>
      <c r="K475" s="1"/>
      <c r="L475" s="2"/>
      <c r="M475" s="2"/>
      <c r="N475" s="2"/>
      <c r="O475" s="2"/>
      <c r="P475" s="2"/>
      <c r="Q475" s="2"/>
      <c r="R475" s="2"/>
      <c r="S475" s="2"/>
      <c r="T475" s="3"/>
      <c r="U475" s="1"/>
      <c r="V475" s="1"/>
      <c r="W475" s="1"/>
      <c r="X475" s="1"/>
      <c r="Y475" s="1"/>
      <c r="Z475" s="1"/>
      <c r="AA475" s="1"/>
      <c r="AB475" s="1"/>
    </row>
    <row r="476" spans="1:28">
      <c r="A476" s="261"/>
      <c r="B476" s="261"/>
      <c r="C476" s="115"/>
      <c r="D476" s="1"/>
      <c r="E476" s="1"/>
      <c r="F476" s="1"/>
      <c r="G476" s="1"/>
      <c r="H476" s="1"/>
      <c r="I476" s="1"/>
      <c r="J476" s="1"/>
      <c r="K476" s="1"/>
      <c r="L476" s="2"/>
      <c r="M476" s="2"/>
      <c r="N476" s="2"/>
      <c r="O476" s="2"/>
      <c r="P476" s="2"/>
      <c r="Q476" s="2"/>
      <c r="R476" s="2"/>
      <c r="S476" s="2"/>
      <c r="T476" s="3"/>
      <c r="U476" s="1"/>
      <c r="V476" s="1"/>
      <c r="W476" s="1"/>
      <c r="X476" s="1"/>
      <c r="Y476" s="1"/>
      <c r="Z476" s="1"/>
      <c r="AA476" s="1"/>
      <c r="AB476" s="1"/>
    </row>
    <row r="477" spans="1:28">
      <c r="A477" s="261"/>
      <c r="B477" s="261"/>
      <c r="C477" s="115"/>
      <c r="D477" s="1"/>
      <c r="E477" s="1"/>
      <c r="F477" s="1"/>
      <c r="G477" s="1"/>
      <c r="H477" s="1"/>
      <c r="I477" s="1"/>
      <c r="J477" s="1"/>
      <c r="K477" s="1"/>
      <c r="L477" s="2"/>
      <c r="M477" s="2"/>
      <c r="N477" s="2"/>
      <c r="O477" s="2"/>
      <c r="P477" s="2"/>
      <c r="Q477" s="2"/>
      <c r="R477" s="2"/>
      <c r="S477" s="2"/>
      <c r="T477" s="3"/>
      <c r="U477" s="1"/>
      <c r="V477" s="1"/>
      <c r="W477" s="1"/>
      <c r="X477" s="1"/>
      <c r="Y477" s="1"/>
      <c r="Z477" s="1"/>
      <c r="AA477" s="1"/>
      <c r="AB477" s="1"/>
    </row>
    <row r="478" spans="1:28">
      <c r="A478" s="261"/>
      <c r="B478" s="261"/>
      <c r="C478" s="115"/>
      <c r="D478" s="1"/>
      <c r="E478" s="1"/>
      <c r="F478" s="1"/>
      <c r="G478" s="1"/>
      <c r="H478" s="1"/>
      <c r="I478" s="1"/>
      <c r="J478" s="1"/>
      <c r="K478" s="1"/>
      <c r="L478" s="2"/>
      <c r="M478" s="2"/>
      <c r="N478" s="2"/>
      <c r="O478" s="2"/>
      <c r="P478" s="2"/>
      <c r="Q478" s="2"/>
      <c r="R478" s="2"/>
      <c r="S478" s="2"/>
      <c r="T478" s="3"/>
      <c r="U478" s="1"/>
      <c r="V478" s="1"/>
      <c r="W478" s="1"/>
      <c r="X478" s="1"/>
      <c r="Y478" s="1"/>
      <c r="Z478" s="1"/>
      <c r="AA478" s="1"/>
      <c r="AB478" s="1"/>
    </row>
    <row r="479" spans="1:28">
      <c r="A479" s="261"/>
      <c r="B479" s="261"/>
      <c r="C479" s="115"/>
      <c r="D479" s="1"/>
      <c r="E479" s="1"/>
      <c r="F479" s="1"/>
      <c r="G479" s="1"/>
      <c r="H479" s="1"/>
      <c r="I479" s="1"/>
      <c r="J479" s="1"/>
      <c r="K479" s="1"/>
      <c r="L479" s="2"/>
      <c r="M479" s="2"/>
      <c r="N479" s="2"/>
      <c r="O479" s="2"/>
      <c r="P479" s="2"/>
      <c r="Q479" s="2"/>
      <c r="R479" s="2"/>
      <c r="S479" s="2"/>
      <c r="T479" s="3"/>
      <c r="U479" s="1"/>
      <c r="V479" s="1"/>
      <c r="W479" s="1"/>
      <c r="X479" s="1"/>
      <c r="Y479" s="1"/>
      <c r="Z479" s="1"/>
      <c r="AA479" s="1"/>
      <c r="AB479" s="1"/>
    </row>
    <row r="480" spans="1:28">
      <c r="A480" s="261"/>
      <c r="B480" s="261"/>
      <c r="C480" s="115"/>
      <c r="D480" s="1"/>
      <c r="E480" s="1"/>
      <c r="F480" s="1"/>
      <c r="G480" s="1"/>
      <c r="H480" s="1"/>
      <c r="I480" s="1"/>
      <c r="J480" s="1"/>
      <c r="K480" s="1"/>
      <c r="L480" s="2"/>
      <c r="M480" s="2"/>
      <c r="N480" s="2"/>
      <c r="O480" s="2"/>
      <c r="P480" s="2"/>
      <c r="Q480" s="2"/>
      <c r="R480" s="2"/>
      <c r="S480" s="2"/>
      <c r="T480" s="3"/>
      <c r="U480" s="1"/>
      <c r="V480" s="1"/>
      <c r="W480" s="1"/>
      <c r="X480" s="1"/>
      <c r="Y480" s="1"/>
      <c r="Z480" s="1"/>
      <c r="AA480" s="1"/>
      <c r="AB480" s="1"/>
    </row>
    <row r="481" spans="1:28">
      <c r="A481" s="261"/>
      <c r="B481" s="261"/>
      <c r="C481" s="115"/>
      <c r="D481" s="1"/>
      <c r="E481" s="1"/>
      <c r="F481" s="1"/>
      <c r="G481" s="1"/>
      <c r="H481" s="1"/>
      <c r="I481" s="1"/>
      <c r="J481" s="1"/>
      <c r="K481" s="1"/>
      <c r="L481" s="2"/>
      <c r="M481" s="2"/>
      <c r="N481" s="2"/>
      <c r="O481" s="2"/>
      <c r="P481" s="2"/>
      <c r="Q481" s="2"/>
      <c r="R481" s="2"/>
      <c r="S481" s="2"/>
      <c r="T481" s="3"/>
      <c r="U481" s="1"/>
      <c r="V481" s="1"/>
      <c r="W481" s="1"/>
      <c r="X481" s="1"/>
      <c r="Y481" s="1"/>
      <c r="Z481" s="1"/>
      <c r="AA481" s="1"/>
      <c r="AB481" s="1"/>
    </row>
    <row r="482" spans="1:28">
      <c r="A482" s="261"/>
      <c r="B482" s="261"/>
      <c r="C482" s="115"/>
      <c r="D482" s="1"/>
      <c r="E482" s="1"/>
      <c r="F482" s="1"/>
      <c r="G482" s="1"/>
      <c r="H482" s="1"/>
      <c r="I482" s="1"/>
      <c r="J482" s="1"/>
      <c r="K482" s="1"/>
      <c r="L482" s="2"/>
      <c r="M482" s="2"/>
      <c r="N482" s="2"/>
      <c r="O482" s="2"/>
      <c r="P482" s="2"/>
      <c r="Q482" s="2"/>
      <c r="R482" s="2"/>
      <c r="S482" s="2"/>
      <c r="T482" s="3"/>
      <c r="U482" s="1"/>
      <c r="V482" s="1"/>
      <c r="W482" s="1"/>
      <c r="X482" s="1"/>
      <c r="Y482" s="1"/>
      <c r="Z482" s="1"/>
      <c r="AA482" s="1"/>
      <c r="AB482" s="1"/>
    </row>
    <row r="483" spans="1:28">
      <c r="A483" s="261"/>
      <c r="B483" s="261"/>
      <c r="C483" s="115"/>
      <c r="D483" s="1"/>
      <c r="E483" s="1"/>
      <c r="F483" s="1"/>
      <c r="G483" s="1"/>
      <c r="H483" s="1"/>
      <c r="I483" s="1"/>
      <c r="J483" s="1"/>
      <c r="K483" s="1"/>
      <c r="L483" s="2"/>
      <c r="M483" s="2"/>
      <c r="N483" s="2"/>
      <c r="O483" s="2"/>
      <c r="P483" s="2"/>
      <c r="Q483" s="2"/>
      <c r="R483" s="2"/>
      <c r="S483" s="2"/>
      <c r="T483" s="3"/>
      <c r="U483" s="1"/>
      <c r="V483" s="1"/>
      <c r="W483" s="1"/>
      <c r="X483" s="1"/>
      <c r="Y483" s="1"/>
      <c r="Z483" s="1"/>
      <c r="AA483" s="1"/>
      <c r="AB483" s="1"/>
    </row>
    <row r="484" spans="1:28">
      <c r="A484" s="261"/>
      <c r="B484" s="261"/>
      <c r="C484" s="115"/>
      <c r="D484" s="1"/>
      <c r="E484" s="1"/>
      <c r="F484" s="1"/>
      <c r="G484" s="1"/>
      <c r="H484" s="1"/>
      <c r="I484" s="1"/>
      <c r="J484" s="1"/>
      <c r="K484" s="1"/>
      <c r="L484" s="2"/>
      <c r="M484" s="2"/>
      <c r="N484" s="2"/>
      <c r="O484" s="2"/>
      <c r="P484" s="2"/>
      <c r="Q484" s="2"/>
      <c r="R484" s="2"/>
      <c r="S484" s="2"/>
      <c r="T484" s="3"/>
      <c r="U484" s="1"/>
      <c r="V484" s="1"/>
      <c r="W484" s="1"/>
      <c r="X484" s="1"/>
      <c r="Y484" s="1"/>
      <c r="Z484" s="1"/>
      <c r="AA484" s="1"/>
      <c r="AB484" s="1"/>
    </row>
    <row r="485" spans="1:28">
      <c r="A485" s="261"/>
      <c r="B485" s="261"/>
      <c r="C485" s="115"/>
      <c r="D485" s="1"/>
      <c r="E485" s="1"/>
      <c r="F485" s="1"/>
      <c r="G485" s="1"/>
      <c r="H485" s="1"/>
      <c r="I485" s="1"/>
      <c r="J485" s="1"/>
      <c r="K485" s="1"/>
      <c r="L485" s="2"/>
      <c r="M485" s="2"/>
      <c r="N485" s="2"/>
      <c r="O485" s="2"/>
      <c r="P485" s="2"/>
      <c r="Q485" s="2"/>
      <c r="R485" s="2"/>
      <c r="S485" s="2"/>
      <c r="T485" s="3"/>
      <c r="U485" s="1"/>
      <c r="V485" s="1"/>
      <c r="W485" s="1"/>
      <c r="X485" s="1"/>
      <c r="Y485" s="1"/>
      <c r="Z485" s="1"/>
      <c r="AA485" s="1"/>
      <c r="AB485" s="1"/>
    </row>
    <row r="486" spans="1:28">
      <c r="A486" s="261"/>
      <c r="B486" s="261"/>
      <c r="C486" s="115"/>
      <c r="D486" s="1"/>
      <c r="E486" s="1"/>
      <c r="F486" s="1"/>
      <c r="G486" s="1"/>
      <c r="H486" s="1"/>
      <c r="I486" s="1"/>
      <c r="J486" s="1"/>
      <c r="K486" s="1"/>
      <c r="L486" s="2"/>
      <c r="M486" s="2"/>
      <c r="N486" s="2"/>
      <c r="O486" s="2"/>
      <c r="P486" s="2"/>
      <c r="Q486" s="2"/>
      <c r="R486" s="2"/>
      <c r="S486" s="2"/>
      <c r="T486" s="3"/>
      <c r="U486" s="1"/>
      <c r="V486" s="1"/>
      <c r="W486" s="1"/>
      <c r="X486" s="1"/>
      <c r="Y486" s="1"/>
      <c r="Z486" s="1"/>
      <c r="AA486" s="1"/>
      <c r="AB486" s="1"/>
    </row>
    <row r="487" spans="1:28">
      <c r="A487" s="261"/>
      <c r="B487" s="261"/>
      <c r="C487" s="115"/>
      <c r="D487" s="1"/>
      <c r="E487" s="1"/>
      <c r="F487" s="1"/>
      <c r="G487" s="1"/>
      <c r="H487" s="1"/>
      <c r="I487" s="1"/>
      <c r="J487" s="1"/>
      <c r="K487" s="1"/>
      <c r="L487" s="2"/>
      <c r="M487" s="2"/>
      <c r="N487" s="2"/>
      <c r="O487" s="2"/>
      <c r="P487" s="2"/>
      <c r="Q487" s="2"/>
      <c r="R487" s="2"/>
      <c r="S487" s="2"/>
      <c r="T487" s="3"/>
      <c r="U487" s="1"/>
      <c r="V487" s="1"/>
      <c r="W487" s="1"/>
      <c r="X487" s="1"/>
      <c r="Y487" s="1"/>
      <c r="Z487" s="1"/>
      <c r="AA487" s="1"/>
      <c r="AB487" s="1"/>
    </row>
    <row r="488" spans="1:28">
      <c r="A488" s="261"/>
      <c r="B488" s="261"/>
      <c r="C488" s="115"/>
      <c r="D488" s="1"/>
      <c r="E488" s="1"/>
      <c r="F488" s="1"/>
      <c r="G488" s="1"/>
      <c r="H488" s="1"/>
      <c r="I488" s="1"/>
      <c r="J488" s="1"/>
      <c r="K488" s="1"/>
      <c r="L488" s="2"/>
      <c r="M488" s="2"/>
      <c r="N488" s="2"/>
      <c r="O488" s="2"/>
      <c r="P488" s="2"/>
      <c r="Q488" s="2"/>
      <c r="R488" s="2"/>
      <c r="S488" s="2"/>
      <c r="T488" s="3"/>
      <c r="U488" s="1"/>
      <c r="V488" s="1"/>
      <c r="W488" s="1"/>
      <c r="X488" s="1"/>
      <c r="Y488" s="1"/>
      <c r="Z488" s="1"/>
      <c r="AA488" s="1"/>
      <c r="AB488" s="1"/>
    </row>
    <row r="489" spans="1:28">
      <c r="A489" s="261"/>
      <c r="B489" s="261"/>
      <c r="C489" s="115"/>
      <c r="D489" s="1"/>
      <c r="E489" s="1"/>
      <c r="F489" s="1"/>
      <c r="G489" s="1"/>
      <c r="H489" s="1"/>
      <c r="I489" s="1"/>
      <c r="J489" s="1"/>
      <c r="K489" s="1"/>
      <c r="L489" s="2"/>
      <c r="M489" s="2"/>
      <c r="N489" s="2"/>
      <c r="O489" s="2"/>
      <c r="P489" s="2"/>
      <c r="Q489" s="2"/>
      <c r="R489" s="2"/>
      <c r="S489" s="2"/>
      <c r="T489" s="3"/>
      <c r="U489" s="1"/>
      <c r="V489" s="1"/>
      <c r="W489" s="1"/>
      <c r="X489" s="1"/>
      <c r="Y489" s="1"/>
      <c r="Z489" s="1"/>
      <c r="AA489" s="1"/>
      <c r="AB489" s="1"/>
    </row>
    <row r="490" spans="1:28">
      <c r="A490" s="261"/>
      <c r="B490" s="261"/>
      <c r="C490" s="115"/>
      <c r="D490" s="1"/>
      <c r="E490" s="1"/>
      <c r="F490" s="1"/>
      <c r="G490" s="1"/>
      <c r="H490" s="1"/>
      <c r="I490" s="1"/>
      <c r="J490" s="1"/>
      <c r="K490" s="1"/>
      <c r="L490" s="2"/>
      <c r="M490" s="2"/>
      <c r="N490" s="2"/>
      <c r="O490" s="2"/>
      <c r="P490" s="2"/>
      <c r="Q490" s="2"/>
      <c r="R490" s="2"/>
      <c r="S490" s="2"/>
      <c r="T490" s="3"/>
      <c r="U490" s="1"/>
      <c r="V490" s="1"/>
      <c r="W490" s="1"/>
      <c r="X490" s="1"/>
      <c r="Y490" s="1"/>
      <c r="Z490" s="1"/>
      <c r="AA490" s="1"/>
      <c r="AB490" s="1"/>
    </row>
    <row r="491" spans="1:28">
      <c r="A491" s="261"/>
      <c r="B491" s="261"/>
      <c r="C491" s="115"/>
      <c r="D491" s="1"/>
      <c r="E491" s="1"/>
      <c r="F491" s="1"/>
      <c r="G491" s="1"/>
      <c r="H491" s="1"/>
      <c r="I491" s="1"/>
      <c r="J491" s="1"/>
      <c r="K491" s="1"/>
      <c r="L491" s="2"/>
      <c r="M491" s="2"/>
      <c r="N491" s="2"/>
      <c r="O491" s="2"/>
      <c r="P491" s="2"/>
      <c r="Q491" s="2"/>
      <c r="R491" s="2"/>
      <c r="S491" s="2"/>
      <c r="T491" s="3"/>
      <c r="U491" s="1"/>
      <c r="V491" s="1"/>
      <c r="W491" s="1"/>
      <c r="X491" s="1"/>
      <c r="Y491" s="1"/>
      <c r="Z491" s="1"/>
      <c r="AA491" s="1"/>
      <c r="AB491" s="1"/>
    </row>
    <row r="492" spans="1:28">
      <c r="A492" s="261"/>
      <c r="B492" s="261"/>
      <c r="C492" s="115"/>
      <c r="D492" s="1"/>
      <c r="E492" s="1"/>
      <c r="F492" s="1"/>
      <c r="G492" s="1"/>
      <c r="H492" s="1"/>
      <c r="I492" s="1"/>
      <c r="J492" s="1"/>
      <c r="K492" s="1"/>
      <c r="L492" s="2"/>
      <c r="M492" s="2"/>
      <c r="N492" s="2"/>
      <c r="O492" s="2"/>
      <c r="P492" s="2"/>
      <c r="Q492" s="2"/>
      <c r="R492" s="2"/>
      <c r="S492" s="2"/>
      <c r="T492" s="3"/>
      <c r="U492" s="1"/>
      <c r="V492" s="1"/>
      <c r="W492" s="1"/>
      <c r="X492" s="1"/>
      <c r="Y492" s="1"/>
      <c r="Z492" s="1"/>
      <c r="AA492" s="1"/>
      <c r="AB492" s="1"/>
    </row>
    <row r="493" spans="1:28">
      <c r="A493" s="261"/>
      <c r="B493" s="261"/>
      <c r="C493" s="115"/>
      <c r="D493" s="1"/>
      <c r="E493" s="1"/>
      <c r="F493" s="1"/>
      <c r="G493" s="1"/>
      <c r="H493" s="1"/>
      <c r="I493" s="1"/>
      <c r="J493" s="1"/>
      <c r="K493" s="1"/>
      <c r="L493" s="2"/>
      <c r="M493" s="2"/>
      <c r="N493" s="2"/>
      <c r="O493" s="2"/>
      <c r="P493" s="2"/>
      <c r="Q493" s="2"/>
      <c r="R493" s="2"/>
      <c r="S493" s="2"/>
      <c r="T493" s="3"/>
      <c r="U493" s="1"/>
      <c r="V493" s="1"/>
      <c r="W493" s="1"/>
      <c r="X493" s="1"/>
      <c r="Y493" s="1"/>
      <c r="Z493" s="1"/>
      <c r="AA493" s="1"/>
      <c r="AB493" s="1"/>
    </row>
    <row r="494" spans="1:28">
      <c r="A494" s="261"/>
      <c r="B494" s="261"/>
      <c r="C494" s="115"/>
      <c r="D494" s="1"/>
      <c r="E494" s="1"/>
      <c r="F494" s="1"/>
      <c r="G494" s="1"/>
      <c r="H494" s="1"/>
      <c r="I494" s="1"/>
      <c r="J494" s="1"/>
      <c r="K494" s="1"/>
      <c r="L494" s="2"/>
      <c r="M494" s="2"/>
      <c r="N494" s="2"/>
      <c r="O494" s="2"/>
      <c r="P494" s="2"/>
      <c r="Q494" s="2"/>
      <c r="R494" s="2"/>
      <c r="S494" s="2"/>
      <c r="T494" s="3"/>
      <c r="U494" s="1"/>
      <c r="V494" s="1"/>
      <c r="W494" s="1"/>
      <c r="X494" s="1"/>
      <c r="Y494" s="1"/>
      <c r="Z494" s="1"/>
      <c r="AA494" s="1"/>
      <c r="AB494" s="1"/>
    </row>
    <row r="495" spans="1:28">
      <c r="A495" s="261"/>
      <c r="B495" s="261"/>
      <c r="C495" s="115"/>
      <c r="D495" s="1"/>
      <c r="E495" s="1"/>
      <c r="F495" s="1"/>
      <c r="G495" s="1"/>
      <c r="H495" s="1"/>
      <c r="I495" s="1"/>
      <c r="J495" s="1"/>
      <c r="K495" s="1"/>
      <c r="L495" s="2"/>
      <c r="M495" s="2"/>
      <c r="N495" s="2"/>
      <c r="O495" s="2"/>
      <c r="P495" s="2"/>
      <c r="Q495" s="2"/>
      <c r="R495" s="2"/>
      <c r="S495" s="2"/>
      <c r="T495" s="3"/>
      <c r="U495" s="1"/>
      <c r="V495" s="1"/>
      <c r="W495" s="1"/>
      <c r="X495" s="1"/>
      <c r="Y495" s="1"/>
      <c r="Z495" s="1"/>
      <c r="AA495" s="1"/>
      <c r="AB495" s="1"/>
    </row>
    <row r="496" spans="1:28">
      <c r="A496" s="261"/>
      <c r="B496" s="261"/>
      <c r="C496" s="115"/>
      <c r="D496" s="1"/>
      <c r="E496" s="1"/>
      <c r="F496" s="1"/>
      <c r="G496" s="1"/>
      <c r="H496" s="1"/>
      <c r="I496" s="1"/>
      <c r="J496" s="1"/>
      <c r="K496" s="1"/>
      <c r="L496" s="2"/>
      <c r="M496" s="2"/>
      <c r="N496" s="2"/>
      <c r="O496" s="2"/>
      <c r="P496" s="2"/>
      <c r="Q496" s="2"/>
      <c r="R496" s="2"/>
      <c r="S496" s="2"/>
      <c r="T496" s="3"/>
      <c r="U496" s="1"/>
      <c r="V496" s="1"/>
      <c r="W496" s="1"/>
      <c r="X496" s="1"/>
      <c r="Y496" s="1"/>
      <c r="Z496" s="1"/>
      <c r="AA496" s="1"/>
      <c r="AB496" s="1"/>
    </row>
    <row r="497" spans="1:28">
      <c r="A497" s="261"/>
      <c r="B497" s="261"/>
      <c r="C497" s="115"/>
      <c r="D497" s="1"/>
      <c r="E497" s="1"/>
      <c r="F497" s="1"/>
      <c r="G497" s="1"/>
      <c r="H497" s="1"/>
      <c r="I497" s="1"/>
      <c r="J497" s="1"/>
      <c r="K497" s="1"/>
      <c r="L497" s="2"/>
      <c r="M497" s="2"/>
      <c r="N497" s="2"/>
      <c r="O497" s="2"/>
      <c r="P497" s="2"/>
      <c r="Q497" s="2"/>
      <c r="R497" s="2"/>
      <c r="S497" s="2"/>
      <c r="T497" s="3"/>
      <c r="U497" s="1"/>
      <c r="V497" s="1"/>
      <c r="W497" s="1"/>
      <c r="X497" s="1"/>
      <c r="Y497" s="1"/>
      <c r="Z497" s="1"/>
      <c r="AA497" s="1"/>
      <c r="AB497" s="1"/>
    </row>
    <row r="498" spans="1:28">
      <c r="A498" s="261"/>
      <c r="B498" s="261"/>
      <c r="C498" s="115"/>
      <c r="D498" s="1"/>
      <c r="E498" s="1"/>
      <c r="F498" s="1"/>
      <c r="G498" s="1"/>
      <c r="H498" s="1"/>
      <c r="I498" s="1"/>
      <c r="J498" s="1"/>
      <c r="K498" s="1"/>
      <c r="L498" s="2"/>
      <c r="M498" s="2"/>
      <c r="N498" s="2"/>
      <c r="O498" s="2"/>
      <c r="P498" s="2"/>
      <c r="Q498" s="2"/>
      <c r="R498" s="2"/>
      <c r="S498" s="2"/>
      <c r="T498" s="3"/>
      <c r="U498" s="1"/>
      <c r="V498" s="1"/>
      <c r="W498" s="1"/>
      <c r="X498" s="1"/>
      <c r="Y498" s="1"/>
      <c r="Z498" s="1"/>
      <c r="AA498" s="1"/>
      <c r="AB498" s="1"/>
    </row>
    <row r="499" spans="1:28">
      <c r="A499" s="261"/>
      <c r="B499" s="261"/>
      <c r="C499" s="115"/>
      <c r="D499" s="1"/>
      <c r="E499" s="1"/>
      <c r="F499" s="1"/>
      <c r="G499" s="1"/>
      <c r="H499" s="1"/>
      <c r="I499" s="1"/>
      <c r="J499" s="1"/>
      <c r="K499" s="1"/>
      <c r="L499" s="2"/>
      <c r="M499" s="2"/>
      <c r="N499" s="2"/>
      <c r="O499" s="2"/>
      <c r="P499" s="2"/>
      <c r="Q499" s="2"/>
      <c r="R499" s="2"/>
      <c r="S499" s="2"/>
      <c r="T499" s="3"/>
      <c r="U499" s="1"/>
      <c r="V499" s="1"/>
      <c r="W499" s="1"/>
      <c r="X499" s="1"/>
      <c r="Y499" s="1"/>
      <c r="Z499" s="1"/>
      <c r="AA499" s="1"/>
      <c r="AB499" s="1"/>
    </row>
    <row r="500" spans="1:28">
      <c r="A500" s="261"/>
      <c r="B500" s="261"/>
      <c r="C500" s="115"/>
      <c r="D500" s="1"/>
      <c r="E500" s="1"/>
      <c r="F500" s="1"/>
      <c r="G500" s="1"/>
      <c r="H500" s="1"/>
      <c r="I500" s="1"/>
      <c r="J500" s="1"/>
      <c r="K500" s="1"/>
      <c r="L500" s="2"/>
      <c r="M500" s="2"/>
      <c r="N500" s="2"/>
      <c r="O500" s="2"/>
      <c r="P500" s="2"/>
      <c r="Q500" s="2"/>
      <c r="R500" s="2"/>
      <c r="S500" s="2"/>
      <c r="T500" s="3"/>
      <c r="U500" s="1"/>
      <c r="V500" s="1"/>
      <c r="W500" s="1"/>
      <c r="X500" s="1"/>
      <c r="Y500" s="1"/>
      <c r="Z500" s="1"/>
      <c r="AA500" s="1"/>
      <c r="AB500" s="1"/>
    </row>
    <row r="501" spans="1:28">
      <c r="A501" s="261"/>
      <c r="B501" s="261"/>
      <c r="C501" s="115"/>
      <c r="D501" s="1"/>
      <c r="E501" s="1"/>
      <c r="F501" s="1"/>
      <c r="G501" s="1"/>
      <c r="H501" s="1"/>
      <c r="I501" s="1"/>
      <c r="J501" s="1"/>
      <c r="K501" s="1"/>
      <c r="L501" s="2"/>
      <c r="M501" s="2"/>
      <c r="N501" s="2"/>
      <c r="O501" s="2"/>
      <c r="P501" s="2"/>
      <c r="Q501" s="2"/>
      <c r="R501" s="2"/>
      <c r="S501" s="2"/>
      <c r="T501" s="3"/>
      <c r="U501" s="1"/>
      <c r="V501" s="1"/>
      <c r="W501" s="1"/>
      <c r="X501" s="1"/>
      <c r="Y501" s="1"/>
      <c r="Z501" s="1"/>
      <c r="AA501" s="1"/>
      <c r="AB501" s="1"/>
    </row>
    <row r="502" spans="1:28">
      <c r="A502" s="261"/>
      <c r="B502" s="261"/>
      <c r="C502" s="115"/>
      <c r="D502" s="1"/>
      <c r="E502" s="1"/>
      <c r="F502" s="1"/>
      <c r="G502" s="1"/>
      <c r="H502" s="1"/>
      <c r="I502" s="1"/>
      <c r="J502" s="1"/>
      <c r="K502" s="1"/>
      <c r="L502" s="2"/>
      <c r="M502" s="2"/>
      <c r="N502" s="2"/>
      <c r="O502" s="2"/>
      <c r="P502" s="2"/>
      <c r="Q502" s="2"/>
      <c r="R502" s="2"/>
      <c r="S502" s="2"/>
      <c r="T502" s="3"/>
      <c r="U502" s="1"/>
      <c r="V502" s="1"/>
      <c r="W502" s="1"/>
      <c r="X502" s="1"/>
      <c r="Y502" s="1"/>
      <c r="Z502" s="1"/>
      <c r="AA502" s="1"/>
      <c r="AB502" s="1"/>
    </row>
    <row r="503" spans="1:28">
      <c r="A503" s="261"/>
      <c r="B503" s="261"/>
      <c r="C503" s="115"/>
      <c r="D503" s="1"/>
      <c r="E503" s="1"/>
      <c r="F503" s="1"/>
      <c r="G503" s="1"/>
      <c r="H503" s="1"/>
      <c r="I503" s="1"/>
      <c r="J503" s="1"/>
      <c r="K503" s="1"/>
      <c r="L503" s="2"/>
      <c r="M503" s="2"/>
      <c r="N503" s="2"/>
      <c r="O503" s="2"/>
      <c r="P503" s="2"/>
      <c r="Q503" s="2"/>
      <c r="R503" s="2"/>
      <c r="S503" s="2"/>
      <c r="T503" s="3"/>
      <c r="U503" s="1"/>
      <c r="V503" s="1"/>
      <c r="W503" s="1"/>
      <c r="X503" s="1"/>
      <c r="Y503" s="1"/>
      <c r="Z503" s="1"/>
      <c r="AA503" s="1"/>
      <c r="AB503" s="1"/>
    </row>
    <row r="504" spans="1:28">
      <c r="A504" s="261"/>
      <c r="B504" s="261"/>
      <c r="C504" s="115"/>
      <c r="D504" s="1"/>
      <c r="E504" s="1"/>
      <c r="F504" s="1"/>
      <c r="G504" s="1"/>
      <c r="H504" s="1"/>
      <c r="I504" s="1"/>
      <c r="J504" s="1"/>
      <c r="K504" s="1"/>
      <c r="L504" s="2"/>
      <c r="M504" s="2"/>
      <c r="N504" s="2"/>
      <c r="O504" s="2"/>
      <c r="P504" s="2"/>
      <c r="Q504" s="2"/>
      <c r="R504" s="2"/>
      <c r="S504" s="2"/>
      <c r="T504" s="3"/>
      <c r="U504" s="1"/>
      <c r="V504" s="1"/>
      <c r="W504" s="1"/>
      <c r="X504" s="1"/>
      <c r="Y504" s="1"/>
      <c r="Z504" s="1"/>
      <c r="AA504" s="1"/>
      <c r="AB504" s="1"/>
    </row>
    <row r="505" spans="1:28">
      <c r="A505" s="261"/>
      <c r="B505" s="261"/>
      <c r="C505" s="115"/>
      <c r="D505" s="1"/>
      <c r="E505" s="1"/>
      <c r="F505" s="1"/>
      <c r="G505" s="1"/>
      <c r="H505" s="1"/>
      <c r="I505" s="1"/>
      <c r="J505" s="1"/>
      <c r="K505" s="1"/>
      <c r="L505" s="2"/>
      <c r="M505" s="2"/>
      <c r="N505" s="2"/>
      <c r="O505" s="2"/>
      <c r="P505" s="2"/>
      <c r="Q505" s="2"/>
      <c r="R505" s="2"/>
      <c r="S505" s="2"/>
      <c r="T505" s="3"/>
      <c r="U505" s="1"/>
      <c r="V505" s="1"/>
      <c r="W505" s="1"/>
      <c r="X505" s="1"/>
      <c r="Y505" s="1"/>
      <c r="Z505" s="1"/>
      <c r="AA505" s="1"/>
      <c r="AB505" s="1"/>
    </row>
    <row r="506" spans="1:28">
      <c r="A506" s="261"/>
      <c r="B506" s="261"/>
      <c r="C506" s="115"/>
      <c r="D506" s="1"/>
      <c r="E506" s="1"/>
      <c r="F506" s="1"/>
      <c r="G506" s="1"/>
      <c r="H506" s="1"/>
      <c r="I506" s="1"/>
      <c r="J506" s="1"/>
      <c r="K506" s="1"/>
      <c r="L506" s="2"/>
      <c r="M506" s="2"/>
      <c r="N506" s="2"/>
      <c r="O506" s="2"/>
      <c r="P506" s="2"/>
      <c r="Q506" s="2"/>
      <c r="R506" s="2"/>
      <c r="S506" s="2"/>
      <c r="T506" s="3"/>
      <c r="U506" s="1"/>
      <c r="V506" s="1"/>
      <c r="W506" s="1"/>
      <c r="X506" s="1"/>
      <c r="Y506" s="1"/>
      <c r="Z506" s="1"/>
      <c r="AA506" s="1"/>
      <c r="AB506" s="1"/>
    </row>
    <row r="507" spans="1:28">
      <c r="A507" s="261"/>
      <c r="B507" s="261"/>
      <c r="C507" s="115"/>
      <c r="D507" s="1"/>
      <c r="E507" s="1"/>
      <c r="F507" s="1"/>
      <c r="G507" s="1"/>
      <c r="H507" s="1"/>
      <c r="I507" s="1"/>
      <c r="J507" s="1"/>
      <c r="K507" s="1"/>
      <c r="L507" s="2"/>
      <c r="M507" s="2"/>
      <c r="N507" s="2"/>
      <c r="O507" s="2"/>
      <c r="P507" s="2"/>
      <c r="Q507" s="2"/>
      <c r="R507" s="2"/>
      <c r="S507" s="2"/>
      <c r="T507" s="3"/>
      <c r="U507" s="1"/>
      <c r="V507" s="1"/>
      <c r="W507" s="1"/>
      <c r="X507" s="1"/>
      <c r="Y507" s="1"/>
      <c r="Z507" s="1"/>
      <c r="AA507" s="1"/>
      <c r="AB507" s="1"/>
    </row>
    <row r="508" spans="1:28">
      <c r="A508" s="261"/>
      <c r="B508" s="261"/>
      <c r="C508" s="115"/>
      <c r="D508" s="1"/>
      <c r="E508" s="1"/>
      <c r="F508" s="1"/>
      <c r="G508" s="1"/>
      <c r="H508" s="1"/>
      <c r="I508" s="1"/>
      <c r="J508" s="1"/>
      <c r="K508" s="1"/>
      <c r="L508" s="2"/>
      <c r="M508" s="2"/>
      <c r="N508" s="2"/>
      <c r="O508" s="2"/>
      <c r="P508" s="2"/>
      <c r="Q508" s="2"/>
      <c r="R508" s="2"/>
      <c r="S508" s="2"/>
      <c r="T508" s="3"/>
      <c r="U508" s="1"/>
      <c r="V508" s="1"/>
      <c r="W508" s="1"/>
      <c r="X508" s="1"/>
      <c r="Y508" s="1"/>
      <c r="Z508" s="1"/>
      <c r="AA508" s="1"/>
      <c r="AB508" s="1"/>
    </row>
    <row r="509" spans="1:28">
      <c r="A509" s="261"/>
      <c r="B509" s="261"/>
      <c r="C509" s="115"/>
      <c r="D509" s="1"/>
      <c r="E509" s="1"/>
      <c r="F509" s="1"/>
      <c r="G509" s="1"/>
      <c r="H509" s="1"/>
      <c r="I509" s="1"/>
      <c r="J509" s="1"/>
      <c r="K509" s="1"/>
      <c r="L509" s="2"/>
      <c r="M509" s="2"/>
      <c r="N509" s="2"/>
      <c r="O509" s="2"/>
      <c r="P509" s="2"/>
      <c r="Q509" s="2"/>
      <c r="R509" s="2"/>
      <c r="S509" s="2"/>
      <c r="T509" s="3"/>
      <c r="U509" s="1"/>
      <c r="V509" s="1"/>
      <c r="W509" s="1"/>
      <c r="X509" s="1"/>
      <c r="Y509" s="1"/>
      <c r="Z509" s="1"/>
      <c r="AA509" s="1"/>
      <c r="AB509" s="1"/>
    </row>
    <row r="510" spans="1:28">
      <c r="A510" s="261"/>
      <c r="B510" s="261"/>
      <c r="C510" s="115"/>
      <c r="D510" s="1"/>
      <c r="E510" s="1"/>
      <c r="F510" s="1"/>
      <c r="G510" s="1"/>
      <c r="H510" s="1"/>
      <c r="I510" s="1"/>
      <c r="J510" s="1"/>
      <c r="K510" s="1"/>
      <c r="L510" s="2"/>
      <c r="M510" s="2"/>
      <c r="N510" s="2"/>
      <c r="O510" s="2"/>
      <c r="P510" s="2"/>
      <c r="Q510" s="2"/>
      <c r="R510" s="2"/>
      <c r="S510" s="2"/>
      <c r="T510" s="3"/>
      <c r="U510" s="1"/>
      <c r="V510" s="1"/>
      <c r="W510" s="1"/>
      <c r="X510" s="1"/>
      <c r="Y510" s="1"/>
      <c r="Z510" s="1"/>
      <c r="AA510" s="1"/>
      <c r="AB510" s="1"/>
    </row>
    <row r="511" spans="1:28">
      <c r="A511" s="261"/>
      <c r="B511" s="261"/>
      <c r="C511" s="115"/>
      <c r="D511" s="1"/>
      <c r="E511" s="1"/>
      <c r="F511" s="1"/>
      <c r="G511" s="1"/>
      <c r="H511" s="1"/>
      <c r="I511" s="1"/>
      <c r="J511" s="1"/>
      <c r="K511" s="1"/>
      <c r="L511" s="2"/>
      <c r="M511" s="2"/>
      <c r="N511" s="2"/>
      <c r="O511" s="2"/>
      <c r="P511" s="2"/>
      <c r="Q511" s="2"/>
      <c r="R511" s="2"/>
      <c r="S511" s="2"/>
      <c r="T511" s="3"/>
      <c r="U511" s="1"/>
      <c r="V511" s="1"/>
      <c r="W511" s="1"/>
      <c r="X511" s="1"/>
      <c r="Y511" s="1"/>
      <c r="Z511" s="1"/>
      <c r="AA511" s="1"/>
      <c r="AB511" s="1"/>
    </row>
    <row r="512" spans="1:28">
      <c r="A512" s="261"/>
      <c r="B512" s="261"/>
      <c r="C512" s="115"/>
      <c r="D512" s="1"/>
      <c r="E512" s="1"/>
      <c r="F512" s="1"/>
      <c r="G512" s="1"/>
      <c r="H512" s="1"/>
      <c r="I512" s="1"/>
      <c r="J512" s="1"/>
      <c r="K512" s="1"/>
      <c r="L512" s="2"/>
      <c r="M512" s="2"/>
      <c r="N512" s="2"/>
      <c r="O512" s="2"/>
      <c r="P512" s="2"/>
      <c r="Q512" s="2"/>
      <c r="R512" s="2"/>
      <c r="S512" s="2"/>
      <c r="T512" s="3"/>
      <c r="U512" s="1"/>
      <c r="V512" s="1"/>
      <c r="W512" s="1"/>
      <c r="X512" s="1"/>
      <c r="Y512" s="1"/>
      <c r="Z512" s="1"/>
      <c r="AA512" s="1"/>
      <c r="AB512" s="1"/>
    </row>
    <row r="513" spans="1:28">
      <c r="A513" s="261"/>
      <c r="B513" s="261"/>
      <c r="C513" s="115"/>
      <c r="D513" s="1"/>
      <c r="E513" s="1"/>
      <c r="F513" s="1"/>
      <c r="G513" s="1"/>
      <c r="H513" s="1"/>
      <c r="I513" s="1"/>
      <c r="J513" s="1"/>
      <c r="K513" s="1"/>
      <c r="L513" s="2"/>
      <c r="M513" s="2"/>
      <c r="N513" s="2"/>
      <c r="O513" s="2"/>
      <c r="P513" s="2"/>
      <c r="Q513" s="2"/>
      <c r="R513" s="2"/>
      <c r="S513" s="2"/>
      <c r="T513" s="3"/>
      <c r="U513" s="1"/>
      <c r="V513" s="1"/>
      <c r="W513" s="1"/>
      <c r="X513" s="1"/>
      <c r="Y513" s="1"/>
      <c r="Z513" s="1"/>
      <c r="AA513" s="1"/>
      <c r="AB513" s="1"/>
    </row>
    <row r="514" spans="1:28">
      <c r="A514" s="261"/>
      <c r="B514" s="261"/>
      <c r="C514" s="115"/>
      <c r="D514" s="1"/>
      <c r="E514" s="1"/>
      <c r="F514" s="1"/>
      <c r="G514" s="1"/>
      <c r="H514" s="1"/>
      <c r="I514" s="1"/>
      <c r="J514" s="1"/>
      <c r="K514" s="1"/>
      <c r="L514" s="2"/>
      <c r="M514" s="2"/>
      <c r="N514" s="2"/>
      <c r="O514" s="2"/>
      <c r="P514" s="2"/>
      <c r="Q514" s="2"/>
      <c r="R514" s="2"/>
      <c r="S514" s="2"/>
      <c r="T514" s="3"/>
      <c r="U514" s="1"/>
      <c r="V514" s="1"/>
      <c r="W514" s="1"/>
      <c r="X514" s="1"/>
      <c r="Y514" s="1"/>
      <c r="Z514" s="1"/>
      <c r="AA514" s="1"/>
      <c r="AB514" s="1"/>
    </row>
    <row r="515" spans="1:28">
      <c r="A515" s="261"/>
      <c r="B515" s="261"/>
      <c r="C515" s="115"/>
      <c r="D515" s="1"/>
      <c r="E515" s="1"/>
      <c r="F515" s="1"/>
      <c r="G515" s="1"/>
      <c r="H515" s="1"/>
      <c r="I515" s="1"/>
      <c r="J515" s="1"/>
      <c r="K515" s="1"/>
      <c r="L515" s="2"/>
      <c r="M515" s="2"/>
      <c r="N515" s="2"/>
      <c r="O515" s="2"/>
      <c r="P515" s="2"/>
      <c r="Q515" s="2"/>
      <c r="R515" s="2"/>
      <c r="S515" s="2"/>
      <c r="T515" s="3"/>
      <c r="U515" s="1"/>
      <c r="V515" s="1"/>
      <c r="W515" s="1"/>
      <c r="X515" s="1"/>
      <c r="Y515" s="1"/>
      <c r="Z515" s="1"/>
      <c r="AA515" s="1"/>
      <c r="AB515" s="1"/>
    </row>
    <row r="516" spans="1:28">
      <c r="A516" s="261"/>
      <c r="B516" s="261"/>
      <c r="C516" s="115"/>
      <c r="D516" s="1"/>
      <c r="E516" s="1"/>
      <c r="F516" s="1"/>
      <c r="G516" s="1"/>
      <c r="H516" s="1"/>
      <c r="I516" s="1"/>
      <c r="J516" s="1"/>
      <c r="K516" s="1"/>
      <c r="L516" s="2"/>
      <c r="M516" s="2"/>
      <c r="N516" s="2"/>
      <c r="O516" s="2"/>
      <c r="P516" s="2"/>
      <c r="Q516" s="2"/>
      <c r="R516" s="2"/>
      <c r="S516" s="2"/>
      <c r="T516" s="3"/>
      <c r="U516" s="1"/>
      <c r="V516" s="1"/>
      <c r="W516" s="1"/>
      <c r="X516" s="1"/>
      <c r="Y516" s="1"/>
      <c r="Z516" s="1"/>
      <c r="AA516" s="1"/>
      <c r="AB516" s="1"/>
    </row>
    <row r="517" spans="1:28">
      <c r="A517" s="261"/>
      <c r="B517" s="261"/>
      <c r="C517" s="115"/>
      <c r="D517" s="1"/>
      <c r="E517" s="1"/>
      <c r="F517" s="1"/>
      <c r="G517" s="1"/>
      <c r="H517" s="1"/>
      <c r="I517" s="1"/>
      <c r="J517" s="1"/>
      <c r="K517" s="1"/>
      <c r="L517" s="2"/>
      <c r="M517" s="2"/>
      <c r="N517" s="2"/>
      <c r="O517" s="2"/>
      <c r="P517" s="2"/>
      <c r="Q517" s="2"/>
      <c r="R517" s="2"/>
      <c r="S517" s="2"/>
      <c r="T517" s="3"/>
      <c r="U517" s="1"/>
      <c r="V517" s="1"/>
      <c r="W517" s="1"/>
      <c r="X517" s="1"/>
      <c r="Y517" s="1"/>
      <c r="Z517" s="1"/>
      <c r="AA517" s="1"/>
      <c r="AB517" s="1"/>
    </row>
    <row r="518" spans="1:28">
      <c r="A518" s="261"/>
      <c r="B518" s="261"/>
      <c r="C518" s="115"/>
      <c r="D518" s="1"/>
      <c r="E518" s="1"/>
      <c r="F518" s="1"/>
      <c r="G518" s="1"/>
      <c r="H518" s="1"/>
      <c r="I518" s="1"/>
      <c r="J518" s="1"/>
      <c r="K518" s="1"/>
      <c r="L518" s="2"/>
      <c r="M518" s="2"/>
      <c r="N518" s="2"/>
      <c r="O518" s="2"/>
      <c r="P518" s="2"/>
      <c r="Q518" s="2"/>
      <c r="R518" s="2"/>
      <c r="S518" s="2"/>
      <c r="T518" s="3"/>
      <c r="U518" s="1"/>
      <c r="V518" s="1"/>
      <c r="W518" s="1"/>
      <c r="X518" s="1"/>
      <c r="Y518" s="1"/>
      <c r="Z518" s="1"/>
      <c r="AA518" s="1"/>
      <c r="AB518" s="1"/>
    </row>
    <row r="519" spans="1:28">
      <c r="A519" s="261"/>
      <c r="B519" s="261"/>
      <c r="C519" s="115"/>
      <c r="D519" s="1"/>
      <c r="E519" s="1"/>
      <c r="F519" s="1"/>
      <c r="G519" s="1"/>
      <c r="H519" s="1"/>
      <c r="I519" s="1"/>
      <c r="J519" s="1"/>
      <c r="K519" s="1"/>
      <c r="L519" s="2"/>
      <c r="M519" s="2"/>
      <c r="N519" s="2"/>
      <c r="O519" s="2"/>
      <c r="P519" s="2"/>
      <c r="Q519" s="2"/>
      <c r="R519" s="2"/>
      <c r="S519" s="2"/>
      <c r="T519" s="3"/>
      <c r="U519" s="1"/>
      <c r="V519" s="1"/>
      <c r="W519" s="1"/>
      <c r="X519" s="1"/>
      <c r="Y519" s="1"/>
      <c r="Z519" s="1"/>
      <c r="AA519" s="1"/>
      <c r="AB519" s="1"/>
    </row>
    <row r="520" spans="1:28">
      <c r="A520" s="261"/>
      <c r="B520" s="261"/>
      <c r="C520" s="115"/>
      <c r="D520" s="1"/>
      <c r="E520" s="1"/>
      <c r="F520" s="1"/>
      <c r="G520" s="1"/>
      <c r="H520" s="1"/>
      <c r="I520" s="1"/>
      <c r="J520" s="1"/>
      <c r="K520" s="1"/>
      <c r="L520" s="2"/>
      <c r="M520" s="2"/>
      <c r="N520" s="2"/>
      <c r="O520" s="2"/>
      <c r="P520" s="2"/>
      <c r="Q520" s="2"/>
      <c r="R520" s="2"/>
      <c r="S520" s="2"/>
      <c r="T520" s="3"/>
      <c r="U520" s="1"/>
      <c r="V520" s="1"/>
      <c r="W520" s="1"/>
      <c r="X520" s="1"/>
      <c r="Y520" s="1"/>
      <c r="Z520" s="1"/>
      <c r="AA520" s="1"/>
      <c r="AB520" s="1"/>
    </row>
    <row r="521" spans="1:28">
      <c r="A521" s="261"/>
      <c r="B521" s="261"/>
      <c r="C521" s="115"/>
      <c r="D521" s="1"/>
      <c r="E521" s="1"/>
      <c r="F521" s="1"/>
      <c r="G521" s="1"/>
      <c r="H521" s="1"/>
      <c r="I521" s="1"/>
      <c r="J521" s="1"/>
      <c r="K521" s="1"/>
      <c r="L521" s="2"/>
      <c r="M521" s="2"/>
      <c r="N521" s="2"/>
      <c r="O521" s="2"/>
      <c r="P521" s="2"/>
      <c r="Q521" s="2"/>
      <c r="R521" s="2"/>
      <c r="S521" s="2"/>
      <c r="T521" s="3"/>
      <c r="U521" s="1"/>
      <c r="V521" s="1"/>
      <c r="W521" s="1"/>
      <c r="X521" s="1"/>
      <c r="Y521" s="1"/>
      <c r="Z521" s="1"/>
      <c r="AA521" s="1"/>
      <c r="AB521" s="1"/>
    </row>
    <row r="522" spans="1:28">
      <c r="A522" s="261"/>
      <c r="B522" s="261"/>
      <c r="C522" s="115"/>
      <c r="D522" s="1"/>
      <c r="E522" s="1"/>
      <c r="F522" s="1"/>
      <c r="G522" s="1"/>
      <c r="H522" s="1"/>
      <c r="I522" s="1"/>
      <c r="J522" s="1"/>
      <c r="K522" s="1"/>
      <c r="L522" s="2"/>
      <c r="M522" s="2"/>
      <c r="N522" s="2"/>
      <c r="O522" s="2"/>
      <c r="P522" s="2"/>
      <c r="Q522" s="2"/>
      <c r="R522" s="2"/>
      <c r="S522" s="2"/>
      <c r="T522" s="3"/>
      <c r="U522" s="1"/>
      <c r="V522" s="1"/>
      <c r="W522" s="1"/>
      <c r="X522" s="1"/>
      <c r="Y522" s="1"/>
      <c r="Z522" s="1"/>
      <c r="AA522" s="1"/>
      <c r="AB522" s="1"/>
    </row>
    <row r="523" spans="1:28">
      <c r="A523" s="261"/>
      <c r="B523" s="261"/>
      <c r="C523" s="115"/>
      <c r="D523" s="1"/>
      <c r="E523" s="1"/>
      <c r="F523" s="1"/>
      <c r="G523" s="1"/>
      <c r="H523" s="1"/>
      <c r="I523" s="1"/>
      <c r="J523" s="1"/>
      <c r="K523" s="1"/>
      <c r="L523" s="2"/>
      <c r="M523" s="2"/>
      <c r="N523" s="2"/>
      <c r="O523" s="2"/>
      <c r="P523" s="2"/>
      <c r="Q523" s="2"/>
      <c r="R523" s="2"/>
      <c r="S523" s="2"/>
      <c r="T523" s="3"/>
      <c r="U523" s="1"/>
      <c r="V523" s="1"/>
      <c r="W523" s="1"/>
      <c r="X523" s="1"/>
      <c r="Y523" s="1"/>
      <c r="Z523" s="1"/>
      <c r="AA523" s="1"/>
      <c r="AB523" s="1"/>
    </row>
    <row r="524" spans="1:28">
      <c r="A524" s="261"/>
      <c r="B524" s="261"/>
      <c r="C524" s="115"/>
      <c r="D524" s="1"/>
      <c r="E524" s="1"/>
      <c r="F524" s="1"/>
      <c r="G524" s="1"/>
      <c r="H524" s="1"/>
      <c r="I524" s="1"/>
      <c r="J524" s="1"/>
      <c r="K524" s="1"/>
      <c r="L524" s="2"/>
      <c r="M524" s="2"/>
      <c r="N524" s="2"/>
      <c r="O524" s="2"/>
      <c r="P524" s="2"/>
      <c r="Q524" s="2"/>
      <c r="R524" s="2"/>
      <c r="S524" s="2"/>
      <c r="T524" s="3"/>
      <c r="U524" s="1"/>
      <c r="V524" s="1"/>
      <c r="W524" s="1"/>
      <c r="X524" s="1"/>
      <c r="Y524" s="1"/>
      <c r="Z524" s="1"/>
      <c r="AA524" s="1"/>
      <c r="AB524" s="1"/>
    </row>
    <row r="525" spans="1:28">
      <c r="A525" s="261"/>
      <c r="B525" s="261"/>
      <c r="C525" s="115"/>
      <c r="D525" s="1"/>
      <c r="E525" s="1"/>
      <c r="F525" s="1"/>
      <c r="G525" s="1"/>
      <c r="H525" s="1"/>
      <c r="I525" s="1"/>
      <c r="J525" s="1"/>
      <c r="K525" s="1"/>
      <c r="L525" s="2"/>
      <c r="M525" s="2"/>
      <c r="N525" s="2"/>
      <c r="O525" s="2"/>
      <c r="P525" s="2"/>
      <c r="Q525" s="2"/>
      <c r="R525" s="2"/>
      <c r="S525" s="2"/>
      <c r="T525" s="3"/>
      <c r="U525" s="1"/>
      <c r="V525" s="1"/>
      <c r="W525" s="1"/>
      <c r="X525" s="1"/>
      <c r="Y525" s="1"/>
      <c r="Z525" s="1"/>
      <c r="AA525" s="1"/>
      <c r="AB525" s="1"/>
    </row>
    <row r="526" spans="1:28">
      <c r="A526" s="261"/>
      <c r="B526" s="261"/>
      <c r="C526" s="115"/>
      <c r="D526" s="1"/>
      <c r="E526" s="1"/>
      <c r="F526" s="1"/>
      <c r="G526" s="1"/>
      <c r="H526" s="1"/>
      <c r="I526" s="1"/>
      <c r="J526" s="1"/>
      <c r="K526" s="1"/>
      <c r="L526" s="2"/>
      <c r="M526" s="2"/>
      <c r="N526" s="2"/>
      <c r="O526" s="2"/>
      <c r="P526" s="2"/>
      <c r="Q526" s="2"/>
      <c r="R526" s="2"/>
      <c r="S526" s="2"/>
      <c r="T526" s="3"/>
      <c r="U526" s="1"/>
      <c r="V526" s="1"/>
      <c r="W526" s="1"/>
      <c r="X526" s="1"/>
      <c r="Y526" s="1"/>
      <c r="Z526" s="1"/>
      <c r="AA526" s="1"/>
      <c r="AB526" s="1"/>
    </row>
    <row r="527" spans="1:28">
      <c r="A527" s="261"/>
      <c r="B527" s="261"/>
      <c r="C527" s="115"/>
      <c r="D527" s="1"/>
      <c r="E527" s="1"/>
      <c r="F527" s="1"/>
      <c r="G527" s="1"/>
      <c r="H527" s="1"/>
      <c r="I527" s="1"/>
      <c r="J527" s="1"/>
      <c r="K527" s="1"/>
      <c r="L527" s="2"/>
      <c r="M527" s="2"/>
      <c r="N527" s="2"/>
      <c r="O527" s="2"/>
      <c r="P527" s="2"/>
      <c r="Q527" s="2"/>
      <c r="R527" s="2"/>
      <c r="S527" s="2"/>
      <c r="T527" s="3"/>
      <c r="U527" s="1"/>
      <c r="V527" s="1"/>
      <c r="W527" s="1"/>
      <c r="X527" s="1"/>
      <c r="Y527" s="1"/>
      <c r="Z527" s="1"/>
      <c r="AA527" s="1"/>
      <c r="AB527" s="1"/>
    </row>
    <row r="528" spans="1:28">
      <c r="A528" s="261"/>
      <c r="B528" s="261"/>
      <c r="C528" s="115"/>
      <c r="D528" s="1"/>
      <c r="E528" s="1"/>
      <c r="F528" s="1"/>
      <c r="G528" s="1"/>
      <c r="H528" s="1"/>
      <c r="I528" s="1"/>
      <c r="J528" s="1"/>
      <c r="K528" s="1"/>
      <c r="L528" s="2"/>
      <c r="M528" s="2"/>
      <c r="N528" s="2"/>
      <c r="O528" s="2"/>
      <c r="P528" s="2"/>
      <c r="Q528" s="2"/>
      <c r="R528" s="2"/>
      <c r="S528" s="2"/>
      <c r="T528" s="3"/>
      <c r="U528" s="1"/>
      <c r="V528" s="1"/>
      <c r="W528" s="1"/>
      <c r="X528" s="1"/>
      <c r="Y528" s="1"/>
      <c r="Z528" s="1"/>
      <c r="AA528" s="1"/>
      <c r="AB528" s="1"/>
    </row>
    <row r="529" spans="1:28">
      <c r="A529" s="261"/>
      <c r="B529" s="261"/>
      <c r="C529" s="115"/>
      <c r="D529" s="1"/>
      <c r="E529" s="1"/>
      <c r="F529" s="1"/>
      <c r="G529" s="1"/>
      <c r="H529" s="1"/>
      <c r="I529" s="1"/>
      <c r="J529" s="1"/>
      <c r="K529" s="1"/>
      <c r="L529" s="2"/>
      <c r="M529" s="2"/>
      <c r="N529" s="2"/>
      <c r="O529" s="2"/>
      <c r="P529" s="2"/>
      <c r="Q529" s="2"/>
      <c r="R529" s="2"/>
      <c r="S529" s="2"/>
      <c r="T529" s="3"/>
      <c r="U529" s="1"/>
      <c r="V529" s="1"/>
      <c r="W529" s="1"/>
      <c r="X529" s="1"/>
      <c r="Y529" s="1"/>
      <c r="Z529" s="1"/>
      <c r="AA529" s="1"/>
      <c r="AB529" s="1"/>
    </row>
    <row r="530" spans="1:28">
      <c r="A530" s="261"/>
      <c r="B530" s="261"/>
      <c r="C530" s="115"/>
      <c r="D530" s="1"/>
      <c r="E530" s="1"/>
      <c r="F530" s="1"/>
      <c r="G530" s="1"/>
      <c r="H530" s="1"/>
      <c r="I530" s="1"/>
      <c r="J530" s="1"/>
      <c r="K530" s="1"/>
      <c r="L530" s="2"/>
      <c r="M530" s="2"/>
      <c r="N530" s="2"/>
      <c r="O530" s="2"/>
      <c r="P530" s="2"/>
      <c r="Q530" s="2"/>
      <c r="R530" s="2"/>
      <c r="S530" s="2"/>
      <c r="T530" s="3"/>
      <c r="U530" s="1"/>
      <c r="V530" s="1"/>
      <c r="W530" s="1"/>
      <c r="X530" s="1"/>
      <c r="Y530" s="1"/>
      <c r="Z530" s="1"/>
      <c r="AA530" s="1"/>
      <c r="AB530" s="1"/>
    </row>
    <row r="531" spans="1:28">
      <c r="A531" s="261"/>
      <c r="B531" s="261"/>
      <c r="C531" s="115"/>
      <c r="D531" s="1"/>
      <c r="E531" s="1"/>
      <c r="F531" s="1"/>
      <c r="G531" s="1"/>
      <c r="H531" s="1"/>
      <c r="I531" s="1"/>
      <c r="J531" s="1"/>
      <c r="K531" s="1"/>
      <c r="L531" s="2"/>
      <c r="M531" s="2"/>
      <c r="N531" s="2"/>
      <c r="O531" s="2"/>
      <c r="P531" s="2"/>
      <c r="Q531" s="2"/>
      <c r="R531" s="2"/>
      <c r="S531" s="2"/>
      <c r="T531" s="3"/>
      <c r="U531" s="1"/>
      <c r="V531" s="1"/>
      <c r="W531" s="1"/>
      <c r="X531" s="1"/>
      <c r="Y531" s="1"/>
      <c r="Z531" s="1"/>
      <c r="AA531" s="1"/>
      <c r="AB531" s="1"/>
    </row>
    <row r="532" spans="1:28">
      <c r="A532" s="261"/>
      <c r="B532" s="261"/>
      <c r="C532" s="115"/>
      <c r="D532" s="1"/>
      <c r="E532" s="1"/>
      <c r="F532" s="1"/>
      <c r="G532" s="1"/>
      <c r="H532" s="1"/>
      <c r="I532" s="1"/>
      <c r="J532" s="1"/>
      <c r="K532" s="1"/>
      <c r="L532" s="2"/>
      <c r="M532" s="2"/>
      <c r="N532" s="2"/>
      <c r="O532" s="2"/>
      <c r="P532" s="2"/>
      <c r="Q532" s="2"/>
      <c r="R532" s="2"/>
      <c r="S532" s="2"/>
      <c r="T532" s="3"/>
      <c r="U532" s="1"/>
      <c r="V532" s="1"/>
      <c r="W532" s="1"/>
      <c r="X532" s="1"/>
      <c r="Y532" s="1"/>
      <c r="Z532" s="1"/>
      <c r="AA532" s="1"/>
      <c r="AB532" s="1"/>
    </row>
    <row r="533" spans="1:28">
      <c r="A533" s="261"/>
      <c r="B533" s="261"/>
      <c r="C533" s="115"/>
      <c r="D533" s="1"/>
      <c r="E533" s="1"/>
      <c r="F533" s="1"/>
      <c r="G533" s="1"/>
      <c r="H533" s="1"/>
      <c r="I533" s="1"/>
      <c r="J533" s="1"/>
      <c r="K533" s="1"/>
      <c r="L533" s="2"/>
      <c r="M533" s="2"/>
      <c r="N533" s="2"/>
      <c r="O533" s="2"/>
      <c r="P533" s="2"/>
      <c r="Q533" s="2"/>
      <c r="R533" s="2"/>
      <c r="S533" s="2"/>
      <c r="T533" s="3"/>
      <c r="U533" s="1"/>
      <c r="V533" s="1"/>
      <c r="W533" s="1"/>
      <c r="X533" s="1"/>
      <c r="Y533" s="1"/>
      <c r="Z533" s="1"/>
      <c r="AA533" s="1"/>
      <c r="AB533" s="1"/>
    </row>
    <row r="534" spans="1:28">
      <c r="A534" s="261"/>
      <c r="B534" s="261"/>
      <c r="C534" s="115"/>
      <c r="D534" s="1"/>
      <c r="E534" s="1"/>
      <c r="F534" s="1"/>
      <c r="G534" s="1"/>
      <c r="H534" s="1"/>
      <c r="I534" s="1"/>
      <c r="J534" s="1"/>
      <c r="K534" s="1"/>
      <c r="L534" s="2"/>
      <c r="M534" s="2"/>
      <c r="N534" s="2"/>
      <c r="O534" s="2"/>
      <c r="P534" s="2"/>
      <c r="Q534" s="2"/>
      <c r="R534" s="2"/>
      <c r="S534" s="2"/>
      <c r="T534" s="3"/>
      <c r="U534" s="1"/>
      <c r="V534" s="1"/>
      <c r="W534" s="1"/>
      <c r="X534" s="1"/>
      <c r="Y534" s="1"/>
      <c r="Z534" s="1"/>
      <c r="AA534" s="1"/>
      <c r="AB534" s="1"/>
    </row>
    <row r="535" spans="1:28">
      <c r="A535" s="261"/>
      <c r="B535" s="261"/>
      <c r="C535" s="115"/>
      <c r="D535" s="1"/>
      <c r="E535" s="1"/>
      <c r="F535" s="1"/>
      <c r="G535" s="1"/>
      <c r="H535" s="1"/>
      <c r="I535" s="1"/>
      <c r="J535" s="1"/>
      <c r="K535" s="1"/>
      <c r="L535" s="2"/>
      <c r="M535" s="2"/>
      <c r="N535" s="2"/>
      <c r="O535" s="2"/>
      <c r="P535" s="2"/>
      <c r="Q535" s="2"/>
      <c r="R535" s="2"/>
      <c r="S535" s="2"/>
      <c r="T535" s="3"/>
      <c r="U535" s="1"/>
      <c r="V535" s="1"/>
      <c r="W535" s="1"/>
      <c r="X535" s="1"/>
      <c r="Y535" s="1"/>
      <c r="Z535" s="1"/>
      <c r="AA535" s="1"/>
      <c r="AB535" s="1"/>
    </row>
    <row r="536" spans="1:28">
      <c r="A536" s="261"/>
      <c r="B536" s="261"/>
      <c r="C536" s="115"/>
      <c r="D536" s="1"/>
      <c r="E536" s="1"/>
      <c r="F536" s="1"/>
      <c r="G536" s="1"/>
      <c r="H536" s="1"/>
      <c r="I536" s="1"/>
      <c r="J536" s="1"/>
      <c r="K536" s="1"/>
      <c r="L536" s="2"/>
      <c r="M536" s="2"/>
      <c r="N536" s="2"/>
      <c r="O536" s="2"/>
      <c r="P536" s="2"/>
      <c r="Q536" s="2"/>
      <c r="R536" s="2"/>
      <c r="S536" s="2"/>
      <c r="T536" s="3"/>
      <c r="U536" s="1"/>
      <c r="V536" s="1"/>
      <c r="W536" s="1"/>
      <c r="X536" s="1"/>
      <c r="Y536" s="1"/>
      <c r="Z536" s="1"/>
      <c r="AA536" s="1"/>
      <c r="AB536" s="1"/>
    </row>
    <row r="537" spans="1:28">
      <c r="A537" s="261"/>
      <c r="B537" s="261"/>
      <c r="C537" s="115"/>
      <c r="D537" s="1"/>
      <c r="E537" s="1"/>
      <c r="F537" s="1"/>
      <c r="G537" s="1"/>
      <c r="H537" s="1"/>
      <c r="I537" s="1"/>
      <c r="J537" s="1"/>
      <c r="K537" s="1"/>
      <c r="L537" s="2"/>
      <c r="M537" s="2"/>
      <c r="N537" s="2"/>
      <c r="O537" s="2"/>
      <c r="P537" s="2"/>
      <c r="Q537" s="2"/>
      <c r="R537" s="2"/>
      <c r="S537" s="2"/>
      <c r="T537" s="3"/>
      <c r="U537" s="1"/>
      <c r="V537" s="1"/>
      <c r="W537" s="1"/>
      <c r="X537" s="1"/>
      <c r="Y537" s="1"/>
      <c r="Z537" s="1"/>
      <c r="AA537" s="1"/>
      <c r="AB537" s="1"/>
    </row>
    <row r="538" spans="1:28">
      <c r="A538" s="261"/>
      <c r="B538" s="261"/>
      <c r="C538" s="115"/>
      <c r="D538" s="1"/>
      <c r="E538" s="1"/>
      <c r="F538" s="1"/>
      <c r="G538" s="1"/>
      <c r="H538" s="1"/>
      <c r="I538" s="1"/>
      <c r="J538" s="1"/>
      <c r="K538" s="1"/>
      <c r="L538" s="2"/>
      <c r="M538" s="2"/>
      <c r="N538" s="2"/>
      <c r="O538" s="2"/>
      <c r="P538" s="2"/>
      <c r="Q538" s="2"/>
      <c r="R538" s="2"/>
      <c r="S538" s="2"/>
      <c r="T538" s="3"/>
      <c r="U538" s="1"/>
      <c r="V538" s="1"/>
      <c r="W538" s="1"/>
      <c r="X538" s="1"/>
      <c r="Y538" s="1"/>
      <c r="Z538" s="1"/>
      <c r="AA538" s="1"/>
      <c r="AB538" s="1"/>
    </row>
    <row r="539" spans="1:28">
      <c r="A539" s="261"/>
      <c r="B539" s="261"/>
      <c r="C539" s="115"/>
      <c r="D539" s="1"/>
      <c r="E539" s="1"/>
      <c r="F539" s="1"/>
      <c r="G539" s="1"/>
      <c r="H539" s="1"/>
      <c r="I539" s="1"/>
      <c r="J539" s="1"/>
      <c r="K539" s="1"/>
      <c r="L539" s="2"/>
      <c r="M539" s="2"/>
      <c r="N539" s="2"/>
      <c r="O539" s="2"/>
      <c r="P539" s="2"/>
      <c r="Q539" s="2"/>
      <c r="R539" s="2"/>
      <c r="S539" s="2"/>
      <c r="T539" s="3"/>
      <c r="U539" s="1"/>
      <c r="V539" s="1"/>
      <c r="W539" s="1"/>
      <c r="X539" s="1"/>
      <c r="Y539" s="1"/>
      <c r="Z539" s="1"/>
      <c r="AA539" s="1"/>
      <c r="AB539" s="1"/>
    </row>
    <row r="540" spans="1:28">
      <c r="A540" s="261"/>
      <c r="B540" s="261"/>
      <c r="C540" s="115"/>
      <c r="D540" s="1"/>
      <c r="E540" s="1"/>
      <c r="F540" s="1"/>
      <c r="G540" s="1"/>
      <c r="H540" s="1"/>
      <c r="I540" s="1"/>
      <c r="J540" s="1"/>
      <c r="K540" s="1"/>
      <c r="L540" s="2"/>
      <c r="M540" s="2"/>
      <c r="N540" s="2"/>
      <c r="O540" s="2"/>
      <c r="P540" s="2"/>
      <c r="Q540" s="2"/>
      <c r="R540" s="2"/>
      <c r="S540" s="2"/>
      <c r="T540" s="3"/>
      <c r="U540" s="1"/>
      <c r="V540" s="1"/>
      <c r="W540" s="1"/>
      <c r="X540" s="1"/>
      <c r="Y540" s="1"/>
      <c r="Z540" s="1"/>
      <c r="AA540" s="1"/>
      <c r="AB540" s="1"/>
    </row>
    <row r="541" spans="1:28">
      <c r="A541" s="260"/>
      <c r="B541" s="260"/>
      <c r="C541" s="38"/>
      <c r="D541" s="4"/>
      <c r="E541" s="4"/>
      <c r="F541" s="4"/>
      <c r="G541" s="4"/>
      <c r="H541" s="4"/>
      <c r="I541" s="4"/>
      <c r="J541" s="4"/>
      <c r="K541" s="4"/>
      <c r="L541" s="5"/>
      <c r="M541" s="5"/>
      <c r="N541" s="5"/>
      <c r="O541" s="5"/>
      <c r="P541" s="5"/>
      <c r="Q541" s="5"/>
      <c r="R541" s="5"/>
      <c r="S541" s="5"/>
      <c r="T541" s="6"/>
      <c r="U541" s="1"/>
      <c r="V541" s="1"/>
      <c r="W541" s="1"/>
      <c r="X541" s="1"/>
      <c r="Y541" s="1"/>
      <c r="Z541" s="1"/>
      <c r="AA541" s="1"/>
      <c r="AB541" s="1"/>
    </row>
    <row r="542" spans="1:28">
      <c r="A542" s="261"/>
      <c r="B542" s="261"/>
      <c r="C542" s="115"/>
      <c r="D542" s="1"/>
      <c r="E542" s="1"/>
      <c r="F542" s="1"/>
      <c r="G542" s="1"/>
      <c r="H542" s="1"/>
      <c r="I542" s="1"/>
      <c r="J542" s="1"/>
      <c r="K542" s="1"/>
      <c r="L542" s="2"/>
      <c r="M542" s="2"/>
      <c r="N542" s="2"/>
      <c r="O542" s="2"/>
      <c r="P542" s="2"/>
      <c r="Q542" s="2"/>
      <c r="R542" s="2"/>
      <c r="S542" s="2"/>
      <c r="T542" s="3"/>
      <c r="U542" s="1"/>
      <c r="V542" s="1"/>
      <c r="W542" s="1"/>
      <c r="X542" s="1"/>
      <c r="Y542" s="1"/>
      <c r="Z542" s="1"/>
      <c r="AA542" s="1"/>
      <c r="AB542" s="1"/>
    </row>
    <row r="543" spans="1:28">
      <c r="A543" s="261"/>
      <c r="B543" s="261"/>
      <c r="C543" s="115"/>
      <c r="D543" s="1"/>
      <c r="E543" s="1"/>
      <c r="F543" s="1"/>
      <c r="G543" s="1"/>
      <c r="H543" s="1"/>
      <c r="I543" s="1"/>
      <c r="J543" s="1"/>
      <c r="K543" s="1"/>
      <c r="L543" s="2"/>
      <c r="M543" s="2"/>
      <c r="N543" s="2"/>
      <c r="O543" s="2"/>
      <c r="P543" s="2"/>
      <c r="Q543" s="2"/>
      <c r="R543" s="2"/>
      <c r="S543" s="2"/>
      <c r="T543" s="3"/>
      <c r="U543" s="1"/>
      <c r="V543" s="1"/>
      <c r="W543" s="1"/>
      <c r="X543" s="1"/>
      <c r="Y543" s="1"/>
      <c r="Z543" s="1"/>
      <c r="AA543" s="1"/>
      <c r="AB543" s="1"/>
    </row>
    <row r="544" spans="1:28">
      <c r="A544" s="261"/>
      <c r="B544" s="261"/>
      <c r="C544" s="115"/>
      <c r="D544" s="1"/>
      <c r="E544" s="1"/>
      <c r="F544" s="1"/>
      <c r="G544" s="1"/>
      <c r="H544" s="1"/>
      <c r="I544" s="1"/>
      <c r="J544" s="1"/>
      <c r="K544" s="1"/>
      <c r="L544" s="2"/>
      <c r="M544" s="2"/>
      <c r="N544" s="2"/>
      <c r="O544" s="2"/>
      <c r="P544" s="2"/>
      <c r="Q544" s="2"/>
      <c r="R544" s="2"/>
      <c r="S544" s="2"/>
      <c r="T544" s="3"/>
      <c r="U544" s="1"/>
      <c r="V544" s="1"/>
      <c r="W544" s="1"/>
      <c r="X544" s="1"/>
      <c r="Y544" s="1"/>
      <c r="Z544" s="1"/>
      <c r="AA544" s="1"/>
      <c r="AB544" s="1"/>
    </row>
    <row r="545" spans="1:28">
      <c r="A545" s="261"/>
      <c r="B545" s="261"/>
      <c r="C545" s="115"/>
      <c r="D545" s="1"/>
      <c r="E545" s="1"/>
      <c r="F545" s="1"/>
      <c r="G545" s="1"/>
      <c r="H545" s="1"/>
      <c r="I545" s="1"/>
      <c r="J545" s="1"/>
      <c r="K545" s="1"/>
      <c r="L545" s="2"/>
      <c r="M545" s="2"/>
      <c r="N545" s="2"/>
      <c r="O545" s="2"/>
      <c r="P545" s="2"/>
      <c r="Q545" s="2"/>
      <c r="R545" s="2"/>
      <c r="S545" s="2"/>
      <c r="T545" s="3"/>
      <c r="U545" s="1"/>
      <c r="V545" s="1"/>
      <c r="W545" s="1"/>
      <c r="X545" s="1"/>
      <c r="Y545" s="1"/>
      <c r="Z545" s="1"/>
      <c r="AA545" s="1"/>
      <c r="AB545" s="1"/>
    </row>
    <row r="546" spans="1:28">
      <c r="A546" s="261"/>
      <c r="B546" s="261"/>
      <c r="C546" s="115"/>
      <c r="D546" s="1"/>
      <c r="E546" s="1"/>
      <c r="F546" s="1"/>
      <c r="G546" s="1"/>
      <c r="H546" s="1"/>
      <c r="I546" s="1"/>
      <c r="J546" s="1"/>
      <c r="K546" s="1"/>
      <c r="L546" s="2"/>
      <c r="M546" s="2"/>
      <c r="N546" s="2"/>
      <c r="O546" s="2"/>
      <c r="P546" s="2"/>
      <c r="Q546" s="2"/>
      <c r="R546" s="2"/>
      <c r="S546" s="2"/>
      <c r="T546" s="3"/>
      <c r="U546" s="1"/>
      <c r="V546" s="1"/>
      <c r="W546" s="1"/>
      <c r="X546" s="1"/>
      <c r="Y546" s="1"/>
      <c r="Z546" s="1"/>
      <c r="AA546" s="1"/>
      <c r="AB546" s="1"/>
    </row>
    <row r="547" spans="1:28">
      <c r="A547" s="261"/>
      <c r="B547" s="261"/>
      <c r="C547" s="115"/>
      <c r="D547" s="1"/>
      <c r="E547" s="1"/>
      <c r="F547" s="1"/>
      <c r="G547" s="1"/>
      <c r="H547" s="1"/>
      <c r="I547" s="1"/>
      <c r="J547" s="1"/>
      <c r="K547" s="1"/>
      <c r="L547" s="2"/>
      <c r="M547" s="2"/>
      <c r="N547" s="2"/>
      <c r="O547" s="2"/>
      <c r="P547" s="2"/>
      <c r="Q547" s="2"/>
      <c r="R547" s="2"/>
      <c r="S547" s="2"/>
      <c r="T547" s="3"/>
      <c r="U547" s="1"/>
      <c r="V547" s="1"/>
      <c r="W547" s="1"/>
      <c r="X547" s="1"/>
      <c r="Y547" s="1"/>
      <c r="Z547" s="1"/>
      <c r="AA547" s="1"/>
      <c r="AB547" s="1"/>
    </row>
    <row r="548" spans="1:28">
      <c r="A548" s="261"/>
      <c r="B548" s="261"/>
      <c r="C548" s="115"/>
      <c r="D548" s="1"/>
      <c r="E548" s="1"/>
      <c r="F548" s="1"/>
      <c r="G548" s="1"/>
      <c r="H548" s="1"/>
      <c r="I548" s="1"/>
      <c r="J548" s="1"/>
      <c r="K548" s="1"/>
      <c r="L548" s="2"/>
      <c r="M548" s="2"/>
      <c r="N548" s="2"/>
      <c r="O548" s="2"/>
      <c r="P548" s="2"/>
      <c r="Q548" s="2"/>
      <c r="R548" s="2"/>
      <c r="S548" s="2"/>
      <c r="T548" s="3"/>
      <c r="U548" s="1"/>
      <c r="V548" s="1"/>
      <c r="W548" s="1"/>
      <c r="X548" s="1"/>
      <c r="Y548" s="1"/>
      <c r="Z548" s="1"/>
      <c r="AA548" s="1"/>
      <c r="AB548" s="1"/>
    </row>
    <row r="549" spans="1:28">
      <c r="A549" s="261"/>
      <c r="B549" s="261"/>
      <c r="C549" s="115"/>
      <c r="D549" s="1"/>
      <c r="E549" s="1"/>
      <c r="F549" s="1"/>
      <c r="G549" s="1"/>
      <c r="H549" s="1"/>
      <c r="I549" s="1"/>
      <c r="J549" s="1"/>
      <c r="K549" s="1"/>
      <c r="L549" s="2"/>
      <c r="M549" s="2"/>
      <c r="N549" s="2"/>
      <c r="O549" s="2"/>
      <c r="P549" s="2"/>
      <c r="Q549" s="2"/>
      <c r="R549" s="2"/>
      <c r="S549" s="2"/>
      <c r="T549" s="3"/>
      <c r="U549" s="1"/>
      <c r="V549" s="1"/>
      <c r="W549" s="1"/>
      <c r="X549" s="1"/>
      <c r="Y549" s="1"/>
      <c r="Z549" s="1"/>
      <c r="AA549" s="1"/>
      <c r="AB549" s="1"/>
    </row>
    <row r="550" spans="1:28">
      <c r="A550" s="261"/>
      <c r="B550" s="261"/>
      <c r="C550" s="115"/>
      <c r="D550" s="1"/>
      <c r="E550" s="1"/>
      <c r="F550" s="1"/>
      <c r="G550" s="1"/>
      <c r="H550" s="1"/>
      <c r="I550" s="1"/>
      <c r="J550" s="1"/>
      <c r="K550" s="1"/>
      <c r="L550" s="2"/>
      <c r="M550" s="2"/>
      <c r="N550" s="2"/>
      <c r="O550" s="2"/>
      <c r="P550" s="2"/>
      <c r="Q550" s="2"/>
      <c r="R550" s="2"/>
      <c r="S550" s="2"/>
      <c r="T550" s="3"/>
      <c r="U550" s="1"/>
      <c r="V550" s="1"/>
      <c r="W550" s="1"/>
      <c r="X550" s="1"/>
      <c r="Y550" s="1"/>
      <c r="Z550" s="1"/>
      <c r="AA550" s="1"/>
      <c r="AB550" s="1"/>
    </row>
    <row r="551" spans="1:28">
      <c r="A551" s="261"/>
      <c r="B551" s="261"/>
      <c r="C551" s="115"/>
      <c r="D551" s="1"/>
      <c r="E551" s="1"/>
      <c r="F551" s="1"/>
      <c r="G551" s="1"/>
      <c r="H551" s="1"/>
      <c r="I551" s="1"/>
      <c r="J551" s="1"/>
      <c r="K551" s="1"/>
      <c r="L551" s="2"/>
      <c r="M551" s="2"/>
      <c r="N551" s="2"/>
      <c r="O551" s="2"/>
      <c r="P551" s="2"/>
      <c r="Q551" s="2"/>
      <c r="R551" s="2"/>
      <c r="S551" s="2"/>
      <c r="T551" s="3"/>
      <c r="U551" s="1"/>
      <c r="V551" s="1"/>
      <c r="W551" s="1"/>
      <c r="X551" s="1"/>
      <c r="Y551" s="1"/>
      <c r="Z551" s="1"/>
      <c r="AA551" s="1"/>
      <c r="AB551" s="1"/>
    </row>
    <row r="552" spans="1:28">
      <c r="A552" s="261"/>
      <c r="B552" s="261"/>
      <c r="C552" s="115"/>
      <c r="D552" s="1"/>
      <c r="E552" s="1"/>
      <c r="F552" s="1"/>
      <c r="G552" s="1"/>
      <c r="H552" s="1"/>
      <c r="I552" s="1"/>
      <c r="J552" s="1"/>
      <c r="K552" s="1"/>
      <c r="L552" s="2"/>
      <c r="M552" s="2"/>
      <c r="N552" s="2"/>
      <c r="O552" s="2"/>
      <c r="P552" s="2"/>
      <c r="Q552" s="2"/>
      <c r="R552" s="2"/>
      <c r="S552" s="2"/>
      <c r="T552" s="3"/>
      <c r="U552" s="1"/>
      <c r="V552" s="1"/>
      <c r="W552" s="1"/>
      <c r="X552" s="1"/>
      <c r="Y552" s="1"/>
      <c r="Z552" s="1"/>
      <c r="AA552" s="1"/>
      <c r="AB552" s="1"/>
    </row>
    <row r="553" spans="1:28">
      <c r="A553" s="261"/>
      <c r="B553" s="261"/>
      <c r="C553" s="115"/>
      <c r="D553" s="1"/>
      <c r="E553" s="1"/>
      <c r="F553" s="1"/>
      <c r="G553" s="1"/>
      <c r="H553" s="1"/>
      <c r="I553" s="1"/>
      <c r="J553" s="1"/>
      <c r="K553" s="1"/>
      <c r="L553" s="2"/>
      <c r="M553" s="2"/>
      <c r="N553" s="2"/>
      <c r="O553" s="2"/>
      <c r="P553" s="2"/>
      <c r="Q553" s="2"/>
      <c r="R553" s="2"/>
      <c r="S553" s="2"/>
      <c r="T553" s="3"/>
      <c r="U553" s="1"/>
      <c r="V553" s="1"/>
      <c r="W553" s="1"/>
      <c r="X553" s="1"/>
      <c r="Y553" s="1"/>
      <c r="Z553" s="1"/>
      <c r="AA553" s="1"/>
      <c r="AB553" s="1"/>
    </row>
    <row r="554" spans="1:28">
      <c r="A554" s="261"/>
      <c r="B554" s="261"/>
      <c r="C554" s="115"/>
      <c r="D554" s="1"/>
      <c r="E554" s="1"/>
      <c r="F554" s="1"/>
      <c r="G554" s="1"/>
      <c r="H554" s="1"/>
      <c r="I554" s="1"/>
      <c r="J554" s="1"/>
      <c r="K554" s="1"/>
      <c r="L554" s="2"/>
      <c r="M554" s="2"/>
      <c r="N554" s="2"/>
      <c r="O554" s="2"/>
      <c r="P554" s="2"/>
      <c r="Q554" s="2"/>
      <c r="R554" s="2"/>
      <c r="S554" s="2"/>
      <c r="T554" s="3"/>
      <c r="U554" s="1"/>
      <c r="V554" s="1"/>
      <c r="W554" s="1"/>
      <c r="X554" s="1"/>
      <c r="Y554" s="1"/>
      <c r="Z554" s="1"/>
      <c r="AA554" s="1"/>
      <c r="AB554" s="1"/>
    </row>
    <row r="555" spans="1:28">
      <c r="A555" s="261"/>
      <c r="B555" s="261"/>
      <c r="C555" s="115"/>
      <c r="D555" s="1"/>
      <c r="E555" s="1"/>
      <c r="F555" s="1"/>
      <c r="G555" s="1"/>
      <c r="H555" s="1"/>
      <c r="I555" s="1"/>
      <c r="J555" s="1"/>
      <c r="K555" s="1"/>
      <c r="L555" s="2"/>
      <c r="M555" s="2"/>
      <c r="N555" s="2"/>
      <c r="O555" s="2"/>
      <c r="P555" s="2"/>
      <c r="Q555" s="2"/>
      <c r="R555" s="2"/>
      <c r="S555" s="2"/>
      <c r="T555" s="3"/>
      <c r="U555" s="1"/>
      <c r="V555" s="1"/>
      <c r="W555" s="1"/>
      <c r="X555" s="1"/>
      <c r="Y555" s="1"/>
      <c r="Z555" s="1"/>
      <c r="AA555" s="1"/>
      <c r="AB555" s="1"/>
    </row>
    <row r="556" spans="1:28">
      <c r="A556" s="261"/>
      <c r="B556" s="261"/>
      <c r="C556" s="115"/>
      <c r="D556" s="1"/>
      <c r="E556" s="1"/>
      <c r="F556" s="1"/>
      <c r="G556" s="1"/>
      <c r="H556" s="1"/>
      <c r="I556" s="1"/>
      <c r="J556" s="1"/>
      <c r="K556" s="1"/>
      <c r="L556" s="2"/>
      <c r="M556" s="2"/>
      <c r="N556" s="2"/>
      <c r="O556" s="2"/>
      <c r="P556" s="2"/>
      <c r="Q556" s="2"/>
      <c r="R556" s="2"/>
      <c r="S556" s="2"/>
      <c r="T556" s="3"/>
      <c r="U556" s="1"/>
      <c r="V556" s="1"/>
      <c r="W556" s="1"/>
      <c r="X556" s="1"/>
      <c r="Y556" s="1"/>
      <c r="Z556" s="1"/>
      <c r="AA556" s="1"/>
      <c r="AB556" s="1"/>
    </row>
    <row r="557" spans="1:28">
      <c r="A557" s="261"/>
      <c r="B557" s="261"/>
      <c r="C557" s="115"/>
      <c r="D557" s="1"/>
      <c r="E557" s="1"/>
      <c r="F557" s="1"/>
      <c r="G557" s="1"/>
      <c r="H557" s="1"/>
      <c r="I557" s="1"/>
      <c r="J557" s="1"/>
      <c r="K557" s="1"/>
      <c r="L557" s="2"/>
      <c r="M557" s="2"/>
      <c r="N557" s="2"/>
      <c r="O557" s="2"/>
      <c r="P557" s="2"/>
      <c r="Q557" s="2"/>
      <c r="R557" s="2"/>
      <c r="S557" s="2"/>
      <c r="T557" s="3"/>
      <c r="U557" s="1"/>
      <c r="V557" s="1"/>
      <c r="W557" s="1"/>
      <c r="X557" s="1"/>
      <c r="Y557" s="1"/>
      <c r="Z557" s="1"/>
      <c r="AA557" s="1"/>
      <c r="AB557" s="1"/>
    </row>
    <row r="558" spans="1:28">
      <c r="A558" s="261"/>
      <c r="B558" s="261"/>
      <c r="C558" s="115"/>
      <c r="D558" s="1"/>
      <c r="E558" s="1"/>
      <c r="F558" s="1"/>
      <c r="G558" s="1"/>
      <c r="H558" s="1"/>
      <c r="I558" s="1"/>
      <c r="J558" s="1"/>
      <c r="K558" s="1"/>
      <c r="L558" s="2"/>
      <c r="M558" s="2"/>
      <c r="N558" s="2"/>
      <c r="O558" s="2"/>
      <c r="P558" s="2"/>
      <c r="Q558" s="2"/>
      <c r="R558" s="2"/>
      <c r="S558" s="2"/>
      <c r="T558" s="3"/>
      <c r="U558" s="1"/>
      <c r="V558" s="1"/>
      <c r="W558" s="1"/>
      <c r="X558" s="1"/>
      <c r="Y558" s="1"/>
      <c r="Z558" s="1"/>
      <c r="AA558" s="1"/>
      <c r="AB558" s="1"/>
    </row>
    <row r="559" spans="1:28">
      <c r="A559" s="261"/>
      <c r="B559" s="261"/>
      <c r="C559" s="115"/>
      <c r="D559" s="1"/>
      <c r="E559" s="1"/>
      <c r="F559" s="1"/>
      <c r="G559" s="1"/>
      <c r="H559" s="1"/>
      <c r="I559" s="1"/>
      <c r="J559" s="1"/>
      <c r="K559" s="1"/>
      <c r="L559" s="2"/>
      <c r="M559" s="2"/>
      <c r="N559" s="2"/>
      <c r="O559" s="2"/>
      <c r="P559" s="2"/>
      <c r="Q559" s="2"/>
      <c r="R559" s="2"/>
      <c r="S559" s="2"/>
      <c r="T559" s="3"/>
      <c r="U559" s="1"/>
      <c r="V559" s="1"/>
      <c r="W559" s="1"/>
      <c r="X559" s="1"/>
      <c r="Y559" s="1"/>
      <c r="Z559" s="1"/>
      <c r="AA559" s="1"/>
      <c r="AB559" s="1"/>
    </row>
    <row r="560" spans="1:28">
      <c r="A560" s="261"/>
      <c r="B560" s="261"/>
      <c r="C560" s="115"/>
      <c r="D560" s="1"/>
      <c r="E560" s="1"/>
      <c r="F560" s="1"/>
      <c r="G560" s="1"/>
      <c r="H560" s="1"/>
      <c r="I560" s="1"/>
      <c r="J560" s="1"/>
      <c r="K560" s="1"/>
      <c r="L560" s="2"/>
      <c r="M560" s="2"/>
      <c r="N560" s="2"/>
      <c r="O560" s="2"/>
      <c r="P560" s="2"/>
      <c r="Q560" s="2"/>
      <c r="R560" s="2"/>
      <c r="S560" s="2"/>
      <c r="T560" s="3"/>
      <c r="U560" s="1"/>
      <c r="V560" s="1"/>
      <c r="W560" s="1"/>
      <c r="X560" s="1"/>
      <c r="Y560" s="1"/>
      <c r="Z560" s="1"/>
      <c r="AA560" s="1"/>
      <c r="AB560" s="1"/>
    </row>
    <row r="561" spans="1:28">
      <c r="A561" s="261"/>
      <c r="B561" s="261"/>
      <c r="C561" s="115"/>
      <c r="D561" s="1"/>
      <c r="E561" s="1"/>
      <c r="F561" s="1"/>
      <c r="G561" s="1"/>
      <c r="H561" s="1"/>
      <c r="I561" s="1"/>
      <c r="J561" s="1"/>
      <c r="K561" s="1"/>
      <c r="L561" s="2"/>
      <c r="M561" s="2"/>
      <c r="N561" s="2"/>
      <c r="O561" s="2"/>
      <c r="P561" s="2"/>
      <c r="Q561" s="2"/>
      <c r="R561" s="2"/>
      <c r="S561" s="2"/>
      <c r="T561" s="3"/>
      <c r="U561" s="1"/>
      <c r="V561" s="1"/>
      <c r="W561" s="1"/>
      <c r="X561" s="1"/>
      <c r="Y561" s="1"/>
      <c r="Z561" s="1"/>
      <c r="AA561" s="1"/>
      <c r="AB561" s="1"/>
    </row>
    <row r="562" spans="1:28">
      <c r="A562" s="261"/>
      <c r="B562" s="261"/>
      <c r="C562" s="115"/>
      <c r="D562" s="1"/>
      <c r="E562" s="1"/>
      <c r="F562" s="1"/>
      <c r="G562" s="1"/>
      <c r="H562" s="1"/>
      <c r="I562" s="1"/>
      <c r="J562" s="1"/>
      <c r="K562" s="1"/>
      <c r="L562" s="2"/>
      <c r="M562" s="2"/>
      <c r="N562" s="2"/>
      <c r="O562" s="2"/>
      <c r="P562" s="2"/>
      <c r="Q562" s="2"/>
      <c r="R562" s="2"/>
      <c r="S562" s="2"/>
      <c r="T562" s="3"/>
      <c r="U562" s="1"/>
      <c r="V562" s="1"/>
      <c r="W562" s="1"/>
      <c r="X562" s="1"/>
      <c r="Y562" s="1"/>
      <c r="Z562" s="1"/>
      <c r="AA562" s="1"/>
      <c r="AB562" s="1"/>
    </row>
    <row r="563" spans="1:28">
      <c r="A563" s="261"/>
      <c r="B563" s="261"/>
      <c r="C563" s="115"/>
      <c r="D563" s="1"/>
      <c r="E563" s="1"/>
      <c r="F563" s="1"/>
      <c r="G563" s="1"/>
      <c r="H563" s="1"/>
      <c r="I563" s="1"/>
      <c r="J563" s="1"/>
      <c r="K563" s="1"/>
      <c r="L563" s="2"/>
      <c r="M563" s="2"/>
      <c r="N563" s="2"/>
      <c r="O563" s="2"/>
      <c r="P563" s="2"/>
      <c r="Q563" s="2"/>
      <c r="R563" s="2"/>
      <c r="S563" s="2"/>
      <c r="T563" s="3"/>
      <c r="U563" s="1"/>
      <c r="V563" s="1"/>
      <c r="W563" s="1"/>
      <c r="X563" s="1"/>
      <c r="Y563" s="1"/>
      <c r="Z563" s="1"/>
      <c r="AA563" s="1"/>
      <c r="AB563" s="1"/>
    </row>
    <row r="564" spans="1:28">
      <c r="A564" s="261"/>
      <c r="B564" s="261"/>
      <c r="C564" s="115"/>
      <c r="D564" s="1"/>
      <c r="E564" s="1"/>
      <c r="F564" s="1"/>
      <c r="G564" s="1"/>
      <c r="H564" s="1"/>
      <c r="I564" s="1"/>
      <c r="J564" s="1"/>
      <c r="K564" s="1"/>
      <c r="L564" s="2"/>
      <c r="M564" s="2"/>
      <c r="N564" s="2"/>
      <c r="O564" s="2"/>
      <c r="P564" s="2"/>
      <c r="Q564" s="2"/>
      <c r="R564" s="2"/>
      <c r="S564" s="2"/>
      <c r="T564" s="3"/>
      <c r="U564" s="1"/>
      <c r="V564" s="1"/>
      <c r="W564" s="1"/>
      <c r="X564" s="1"/>
      <c r="Y564" s="1"/>
      <c r="Z564" s="1"/>
      <c r="AA564" s="1"/>
      <c r="AB564" s="1"/>
    </row>
    <row r="565" spans="1:28">
      <c r="A565" s="260"/>
      <c r="B565" s="260"/>
      <c r="C565" s="38"/>
      <c r="D565" s="4"/>
      <c r="E565" s="4"/>
      <c r="F565" s="4"/>
      <c r="G565" s="4"/>
      <c r="H565" s="4"/>
      <c r="I565" s="4"/>
      <c r="J565" s="4"/>
      <c r="K565" s="4"/>
      <c r="L565" s="5"/>
      <c r="M565" s="5"/>
      <c r="N565" s="5"/>
      <c r="O565" s="5"/>
      <c r="P565" s="5"/>
      <c r="Q565" s="5"/>
      <c r="R565" s="5"/>
      <c r="S565" s="5"/>
      <c r="T565" s="6"/>
      <c r="U565" s="1"/>
      <c r="V565" s="1"/>
      <c r="W565" s="1"/>
      <c r="X565" s="1"/>
      <c r="Y565" s="1"/>
      <c r="Z565" s="1"/>
      <c r="AA565" s="1"/>
      <c r="AB565" s="1"/>
    </row>
    <row r="566" spans="1:28">
      <c r="A566" s="261"/>
      <c r="B566" s="261"/>
      <c r="C566" s="115"/>
      <c r="D566" s="1"/>
      <c r="E566" s="1"/>
      <c r="F566" s="1"/>
      <c r="G566" s="1"/>
      <c r="H566" s="1"/>
      <c r="I566" s="1"/>
      <c r="J566" s="1"/>
      <c r="K566" s="1"/>
      <c r="L566" s="2"/>
      <c r="M566" s="2"/>
      <c r="N566" s="2"/>
      <c r="O566" s="2"/>
      <c r="P566" s="2"/>
      <c r="Q566" s="2"/>
      <c r="R566" s="2"/>
      <c r="S566" s="2"/>
      <c r="T566" s="3"/>
      <c r="U566" s="1"/>
      <c r="V566" s="1"/>
      <c r="W566" s="1"/>
      <c r="X566" s="1"/>
      <c r="Y566" s="1"/>
      <c r="Z566" s="1"/>
      <c r="AA566" s="1"/>
      <c r="AB566" s="1"/>
    </row>
    <row r="567" spans="1:28">
      <c r="A567" s="261"/>
      <c r="B567" s="261"/>
      <c r="C567" s="115"/>
      <c r="D567" s="1"/>
      <c r="E567" s="1"/>
      <c r="F567" s="1"/>
      <c r="G567" s="1"/>
      <c r="H567" s="1"/>
      <c r="I567" s="1"/>
      <c r="J567" s="1"/>
      <c r="K567" s="1"/>
      <c r="L567" s="2"/>
      <c r="M567" s="2"/>
      <c r="N567" s="2"/>
      <c r="O567" s="2"/>
      <c r="P567" s="2"/>
      <c r="Q567" s="2"/>
      <c r="R567" s="2"/>
      <c r="S567" s="2"/>
      <c r="T567" s="3"/>
      <c r="U567" s="1"/>
      <c r="V567" s="1"/>
      <c r="W567" s="1"/>
      <c r="X567" s="1"/>
      <c r="Y567" s="1"/>
      <c r="Z567" s="1"/>
      <c r="AA567" s="1"/>
      <c r="AB567" s="1"/>
    </row>
    <row r="568" spans="1:28">
      <c r="A568" s="261"/>
      <c r="B568" s="261"/>
      <c r="C568" s="115"/>
      <c r="D568" s="1"/>
      <c r="E568" s="1"/>
      <c r="F568" s="1"/>
      <c r="G568" s="1"/>
      <c r="H568" s="1"/>
      <c r="I568" s="1"/>
      <c r="J568" s="1"/>
      <c r="K568" s="1"/>
      <c r="L568" s="2"/>
      <c r="M568" s="2"/>
      <c r="N568" s="2"/>
      <c r="O568" s="2"/>
      <c r="P568" s="2"/>
      <c r="Q568" s="2"/>
      <c r="R568" s="2"/>
      <c r="S568" s="2"/>
      <c r="T568" s="3"/>
      <c r="U568" s="1"/>
      <c r="V568" s="1"/>
      <c r="W568" s="1"/>
      <c r="X568" s="1"/>
      <c r="Y568" s="1"/>
      <c r="Z568" s="1"/>
      <c r="AA568" s="1"/>
      <c r="AB568" s="1"/>
    </row>
    <row r="569" spans="1:28">
      <c r="A569" s="261"/>
      <c r="B569" s="261"/>
      <c r="C569" s="115"/>
      <c r="D569" s="1"/>
      <c r="E569" s="1"/>
      <c r="F569" s="1"/>
      <c r="G569" s="1"/>
      <c r="H569" s="1"/>
      <c r="I569" s="1"/>
      <c r="J569" s="1"/>
      <c r="K569" s="1"/>
      <c r="L569" s="2"/>
      <c r="M569" s="2"/>
      <c r="N569" s="2"/>
      <c r="O569" s="2"/>
      <c r="P569" s="2"/>
      <c r="Q569" s="2"/>
      <c r="R569" s="2"/>
      <c r="S569" s="2"/>
      <c r="T569" s="3"/>
      <c r="U569" s="1"/>
      <c r="V569" s="1"/>
      <c r="W569" s="1"/>
      <c r="X569" s="1"/>
      <c r="Y569" s="1"/>
      <c r="Z569" s="1"/>
      <c r="AA569" s="1"/>
      <c r="AB569" s="1"/>
    </row>
    <row r="570" spans="1:28">
      <c r="A570" s="261"/>
      <c r="B570" s="261"/>
      <c r="C570" s="115"/>
      <c r="D570" s="1"/>
      <c r="E570" s="1"/>
      <c r="F570" s="1"/>
      <c r="G570" s="1"/>
      <c r="H570" s="1"/>
      <c r="I570" s="1"/>
      <c r="J570" s="1"/>
      <c r="K570" s="1"/>
      <c r="L570" s="2"/>
      <c r="M570" s="2"/>
      <c r="N570" s="2"/>
      <c r="O570" s="2"/>
      <c r="P570" s="2"/>
      <c r="Q570" s="2"/>
      <c r="R570" s="2"/>
      <c r="S570" s="2"/>
      <c r="T570" s="3"/>
      <c r="U570" s="1"/>
      <c r="V570" s="1"/>
      <c r="W570" s="1"/>
      <c r="X570" s="1"/>
      <c r="Y570" s="1"/>
      <c r="Z570" s="1"/>
      <c r="AA570" s="1"/>
      <c r="AB570" s="1"/>
    </row>
    <row r="571" spans="1:28">
      <c r="A571" s="261"/>
      <c r="B571" s="261"/>
      <c r="C571" s="115"/>
      <c r="D571" s="1"/>
      <c r="E571" s="1"/>
      <c r="F571" s="1"/>
      <c r="G571" s="1"/>
      <c r="H571" s="1"/>
      <c r="I571" s="1"/>
      <c r="J571" s="1"/>
      <c r="K571" s="1"/>
      <c r="L571" s="2"/>
      <c r="M571" s="2"/>
      <c r="N571" s="2"/>
      <c r="O571" s="2"/>
      <c r="P571" s="2"/>
      <c r="Q571" s="2"/>
      <c r="R571" s="2"/>
      <c r="S571" s="2"/>
      <c r="T571" s="3"/>
      <c r="U571" s="1"/>
      <c r="V571" s="1"/>
      <c r="W571" s="1"/>
      <c r="X571" s="1"/>
      <c r="Y571" s="1"/>
      <c r="Z571" s="1"/>
      <c r="AA571" s="1"/>
      <c r="AB571" s="1"/>
    </row>
    <row r="572" spans="1:28">
      <c r="A572" s="261"/>
      <c r="B572" s="261"/>
      <c r="C572" s="115"/>
      <c r="D572" s="1"/>
      <c r="E572" s="1"/>
      <c r="F572" s="1"/>
      <c r="G572" s="1"/>
      <c r="H572" s="1"/>
      <c r="I572" s="1"/>
      <c r="J572" s="1"/>
      <c r="K572" s="1"/>
      <c r="L572" s="2"/>
      <c r="M572" s="2"/>
      <c r="N572" s="2"/>
      <c r="O572" s="2"/>
      <c r="P572" s="2"/>
      <c r="Q572" s="2"/>
      <c r="R572" s="2"/>
      <c r="S572" s="2"/>
      <c r="T572" s="3"/>
      <c r="U572" s="1"/>
      <c r="V572" s="1"/>
      <c r="W572" s="1"/>
      <c r="X572" s="1"/>
      <c r="Y572" s="1"/>
      <c r="Z572" s="1"/>
      <c r="AA572" s="1"/>
      <c r="AB572" s="1"/>
    </row>
    <row r="573" spans="1:28">
      <c r="A573" s="261"/>
      <c r="B573" s="261"/>
      <c r="C573" s="115"/>
      <c r="D573" s="1"/>
      <c r="E573" s="1"/>
      <c r="F573" s="1"/>
      <c r="G573" s="1"/>
      <c r="H573" s="1"/>
      <c r="I573" s="1"/>
      <c r="J573" s="1"/>
      <c r="K573" s="1"/>
      <c r="L573" s="2"/>
      <c r="M573" s="2"/>
      <c r="N573" s="2"/>
      <c r="O573" s="2"/>
      <c r="P573" s="2"/>
      <c r="Q573" s="2"/>
      <c r="R573" s="2"/>
      <c r="S573" s="2"/>
      <c r="T573" s="3"/>
      <c r="U573" s="1"/>
      <c r="V573" s="1"/>
      <c r="W573" s="1"/>
      <c r="X573" s="1"/>
      <c r="Y573" s="1"/>
      <c r="Z573" s="1"/>
      <c r="AA573" s="1"/>
      <c r="AB573" s="1"/>
    </row>
    <row r="574" spans="1:28">
      <c r="A574" s="261"/>
      <c r="B574" s="261"/>
      <c r="C574" s="115"/>
      <c r="D574" s="1"/>
      <c r="E574" s="1"/>
      <c r="F574" s="1"/>
      <c r="G574" s="1"/>
      <c r="H574" s="1"/>
      <c r="I574" s="1"/>
      <c r="J574" s="1"/>
      <c r="K574" s="1"/>
      <c r="L574" s="2"/>
      <c r="M574" s="2"/>
      <c r="N574" s="2"/>
      <c r="O574" s="2"/>
      <c r="P574" s="2"/>
      <c r="Q574" s="2"/>
      <c r="R574" s="2"/>
      <c r="S574" s="2"/>
      <c r="T574" s="3"/>
      <c r="U574" s="1"/>
      <c r="V574" s="1"/>
      <c r="W574" s="1"/>
      <c r="X574" s="1"/>
      <c r="Y574" s="1"/>
      <c r="Z574" s="1"/>
      <c r="AA574" s="1"/>
      <c r="AB574" s="1"/>
    </row>
    <row r="575" spans="1:28">
      <c r="A575" s="261"/>
      <c r="B575" s="261"/>
      <c r="C575" s="115"/>
      <c r="D575" s="1"/>
      <c r="E575" s="1"/>
      <c r="F575" s="1"/>
      <c r="G575" s="1"/>
      <c r="H575" s="1"/>
      <c r="I575" s="1"/>
      <c r="J575" s="1"/>
      <c r="K575" s="1"/>
      <c r="L575" s="2"/>
      <c r="M575" s="2"/>
      <c r="N575" s="2"/>
      <c r="O575" s="2"/>
      <c r="P575" s="2"/>
      <c r="Q575" s="2"/>
      <c r="R575" s="2"/>
      <c r="S575" s="2"/>
      <c r="T575" s="3"/>
      <c r="U575" s="1"/>
      <c r="V575" s="1"/>
      <c r="W575" s="1"/>
      <c r="X575" s="1"/>
      <c r="Y575" s="1"/>
      <c r="Z575" s="1"/>
      <c r="AA575" s="1"/>
      <c r="AB575" s="1"/>
    </row>
    <row r="576" spans="1:28">
      <c r="A576" s="261"/>
      <c r="B576" s="261"/>
      <c r="C576" s="115"/>
      <c r="D576" s="1"/>
      <c r="E576" s="1"/>
      <c r="F576" s="1"/>
      <c r="G576" s="1"/>
      <c r="H576" s="1"/>
      <c r="I576" s="1"/>
      <c r="J576" s="1"/>
      <c r="K576" s="1"/>
      <c r="L576" s="2"/>
      <c r="M576" s="2"/>
      <c r="N576" s="2"/>
      <c r="O576" s="2"/>
      <c r="P576" s="2"/>
      <c r="Q576" s="2"/>
      <c r="R576" s="2"/>
      <c r="S576" s="2"/>
      <c r="T576" s="3"/>
      <c r="U576" s="1"/>
      <c r="V576" s="1"/>
      <c r="W576" s="1"/>
      <c r="X576" s="1"/>
      <c r="Y576" s="1"/>
      <c r="Z576" s="1"/>
      <c r="AA576" s="1"/>
      <c r="AB576" s="1"/>
    </row>
    <row r="577" spans="1:28">
      <c r="A577" s="261"/>
      <c r="B577" s="261"/>
      <c r="C577" s="115"/>
      <c r="D577" s="1"/>
      <c r="E577" s="1"/>
      <c r="F577" s="1"/>
      <c r="G577" s="1"/>
      <c r="H577" s="1"/>
      <c r="I577" s="1"/>
      <c r="J577" s="1"/>
      <c r="K577" s="1"/>
      <c r="L577" s="2"/>
      <c r="M577" s="2"/>
      <c r="N577" s="2"/>
      <c r="O577" s="2"/>
      <c r="P577" s="2"/>
      <c r="Q577" s="2"/>
      <c r="R577" s="2"/>
      <c r="S577" s="2"/>
      <c r="T577" s="3"/>
      <c r="U577" s="1"/>
      <c r="V577" s="1"/>
      <c r="W577" s="1"/>
      <c r="X577" s="1"/>
      <c r="Y577" s="1"/>
      <c r="Z577" s="1"/>
      <c r="AA577" s="1"/>
      <c r="AB577" s="1"/>
    </row>
    <row r="578" spans="1:28">
      <c r="A578" s="261"/>
      <c r="B578" s="261"/>
      <c r="C578" s="115"/>
      <c r="D578" s="1"/>
      <c r="E578" s="1"/>
      <c r="F578" s="1"/>
      <c r="G578" s="1"/>
      <c r="H578" s="1"/>
      <c r="I578" s="1"/>
      <c r="J578" s="1"/>
      <c r="K578" s="1"/>
      <c r="L578" s="2"/>
      <c r="M578" s="2"/>
      <c r="N578" s="2"/>
      <c r="O578" s="2"/>
      <c r="P578" s="2"/>
      <c r="Q578" s="2"/>
      <c r="R578" s="2"/>
      <c r="S578" s="2"/>
      <c r="T578" s="3"/>
      <c r="U578" s="1"/>
      <c r="V578" s="1"/>
      <c r="W578" s="1"/>
      <c r="X578" s="1"/>
      <c r="Y578" s="1"/>
      <c r="Z578" s="1"/>
      <c r="AA578" s="1"/>
      <c r="AB578" s="1"/>
    </row>
    <row r="579" spans="1:28">
      <c r="A579" s="261"/>
      <c r="B579" s="261"/>
      <c r="C579" s="115"/>
      <c r="D579" s="1"/>
      <c r="E579" s="1"/>
      <c r="F579" s="1"/>
      <c r="G579" s="1"/>
      <c r="H579" s="1"/>
      <c r="I579" s="1"/>
      <c r="J579" s="1"/>
      <c r="K579" s="1"/>
      <c r="L579" s="2"/>
      <c r="M579" s="2"/>
      <c r="N579" s="2"/>
      <c r="O579" s="2"/>
      <c r="P579" s="2"/>
      <c r="Q579" s="2"/>
      <c r="R579" s="2"/>
      <c r="S579" s="2"/>
      <c r="T579" s="3"/>
      <c r="U579" s="1"/>
      <c r="V579" s="1"/>
      <c r="W579" s="1"/>
      <c r="X579" s="1"/>
      <c r="Y579" s="1"/>
      <c r="Z579" s="1"/>
      <c r="AA579" s="1"/>
      <c r="AB579" s="1"/>
    </row>
    <row r="580" spans="1:28">
      <c r="A580" s="261"/>
      <c r="B580" s="261"/>
      <c r="C580" s="115"/>
      <c r="D580" s="1"/>
      <c r="E580" s="1"/>
      <c r="F580" s="1"/>
      <c r="G580" s="1"/>
      <c r="H580" s="1"/>
      <c r="I580" s="1"/>
      <c r="J580" s="1"/>
      <c r="K580" s="1"/>
      <c r="L580" s="2"/>
      <c r="M580" s="2"/>
      <c r="N580" s="2"/>
      <c r="O580" s="2"/>
      <c r="P580" s="2"/>
      <c r="Q580" s="2"/>
      <c r="R580" s="2"/>
      <c r="S580" s="2"/>
      <c r="T580" s="3"/>
      <c r="U580" s="1"/>
      <c r="V580" s="1"/>
      <c r="W580" s="1"/>
      <c r="X580" s="1"/>
      <c r="Y580" s="1"/>
      <c r="Z580" s="1"/>
      <c r="AA580" s="1"/>
      <c r="AB580" s="1"/>
    </row>
    <row r="581" spans="1:28">
      <c r="A581" s="261"/>
      <c r="B581" s="261"/>
      <c r="C581" s="115"/>
      <c r="D581" s="1"/>
      <c r="E581" s="1"/>
      <c r="F581" s="1"/>
      <c r="G581" s="1"/>
      <c r="H581" s="1"/>
      <c r="I581" s="1"/>
      <c r="J581" s="1"/>
      <c r="K581" s="1"/>
      <c r="L581" s="2"/>
      <c r="M581" s="2"/>
      <c r="N581" s="2"/>
      <c r="O581" s="2"/>
      <c r="P581" s="2"/>
      <c r="Q581" s="2"/>
      <c r="R581" s="2"/>
      <c r="S581" s="2"/>
      <c r="T581" s="3"/>
      <c r="U581" s="1"/>
      <c r="V581" s="1"/>
      <c r="W581" s="1"/>
      <c r="X581" s="1"/>
      <c r="Y581" s="1"/>
      <c r="Z581" s="1"/>
      <c r="AA581" s="1"/>
      <c r="AB581" s="1"/>
    </row>
    <row r="582" spans="1:28">
      <c r="A582" s="261"/>
      <c r="B582" s="261"/>
      <c r="C582" s="115"/>
      <c r="D582" s="1"/>
      <c r="E582" s="1"/>
      <c r="F582" s="1"/>
      <c r="G582" s="1"/>
      <c r="H582" s="1"/>
      <c r="I582" s="1"/>
      <c r="J582" s="1"/>
      <c r="K582" s="1"/>
      <c r="L582" s="2"/>
      <c r="M582" s="2"/>
      <c r="N582" s="2"/>
      <c r="O582" s="2"/>
      <c r="P582" s="2"/>
      <c r="Q582" s="2"/>
      <c r="R582" s="2"/>
      <c r="S582" s="2"/>
      <c r="T582" s="3"/>
      <c r="U582" s="1"/>
      <c r="V582" s="1"/>
      <c r="W582" s="1"/>
      <c r="X582" s="1"/>
      <c r="Y582" s="1"/>
      <c r="Z582" s="1"/>
      <c r="AA582" s="1"/>
      <c r="AB582" s="1"/>
    </row>
    <row r="583" spans="1:28">
      <c r="A583" s="261"/>
      <c r="B583" s="261"/>
      <c r="C583" s="115"/>
      <c r="D583" s="1"/>
      <c r="E583" s="1"/>
      <c r="F583" s="1"/>
      <c r="G583" s="1"/>
      <c r="H583" s="1"/>
      <c r="I583" s="1"/>
      <c r="J583" s="1"/>
      <c r="K583" s="1"/>
      <c r="L583" s="2"/>
      <c r="M583" s="2"/>
      <c r="N583" s="2"/>
      <c r="O583" s="2"/>
      <c r="P583" s="2"/>
      <c r="Q583" s="2"/>
      <c r="R583" s="2"/>
      <c r="S583" s="2"/>
      <c r="T583" s="3"/>
      <c r="U583" s="1"/>
      <c r="V583" s="1"/>
      <c r="W583" s="1"/>
      <c r="X583" s="1"/>
      <c r="Y583" s="1"/>
      <c r="Z583" s="1"/>
      <c r="AA583" s="1"/>
      <c r="AB583" s="1"/>
    </row>
    <row r="584" spans="1:28">
      <c r="A584" s="261"/>
      <c r="B584" s="261"/>
      <c r="C584" s="115"/>
      <c r="D584" s="1"/>
      <c r="E584" s="1"/>
      <c r="F584" s="1"/>
      <c r="G584" s="1"/>
      <c r="H584" s="1"/>
      <c r="I584" s="1"/>
      <c r="J584" s="1"/>
      <c r="K584" s="1"/>
      <c r="L584" s="2"/>
      <c r="M584" s="2"/>
      <c r="N584" s="2"/>
      <c r="O584" s="2"/>
      <c r="P584" s="2"/>
      <c r="Q584" s="2"/>
      <c r="R584" s="2"/>
      <c r="S584" s="2"/>
      <c r="T584" s="3"/>
      <c r="U584" s="1"/>
      <c r="V584" s="1"/>
      <c r="W584" s="1"/>
      <c r="X584" s="1"/>
      <c r="Y584" s="1"/>
      <c r="Z584" s="1"/>
      <c r="AA584" s="1"/>
      <c r="AB584" s="1"/>
    </row>
    <row r="585" spans="1:28">
      <c r="A585" s="261"/>
      <c r="B585" s="261"/>
      <c r="C585" s="115"/>
      <c r="D585" s="1"/>
      <c r="E585" s="1"/>
      <c r="F585" s="1"/>
      <c r="G585" s="1"/>
      <c r="H585" s="1"/>
      <c r="I585" s="1"/>
      <c r="J585" s="1"/>
      <c r="K585" s="1"/>
      <c r="L585" s="2"/>
      <c r="M585" s="2"/>
      <c r="N585" s="2"/>
      <c r="O585" s="2"/>
      <c r="P585" s="2"/>
      <c r="Q585" s="2"/>
      <c r="R585" s="2"/>
      <c r="S585" s="2"/>
      <c r="T585" s="3"/>
      <c r="U585" s="1"/>
      <c r="V585" s="1"/>
      <c r="W585" s="1"/>
      <c r="X585" s="1"/>
      <c r="Y585" s="1"/>
      <c r="Z585" s="1"/>
      <c r="AA585" s="1"/>
      <c r="AB585" s="1"/>
    </row>
    <row r="586" spans="1:28">
      <c r="A586" s="261"/>
      <c r="B586" s="261"/>
      <c r="C586" s="115"/>
      <c r="D586" s="1"/>
      <c r="E586" s="1"/>
      <c r="F586" s="1"/>
      <c r="G586" s="1"/>
      <c r="H586" s="1"/>
      <c r="I586" s="1"/>
      <c r="J586" s="1"/>
      <c r="K586" s="1"/>
      <c r="L586" s="2"/>
      <c r="M586" s="2"/>
      <c r="N586" s="2"/>
      <c r="O586" s="2"/>
      <c r="P586" s="2"/>
      <c r="Q586" s="2"/>
      <c r="R586" s="2"/>
      <c r="S586" s="2"/>
      <c r="T586" s="3"/>
      <c r="U586" s="1"/>
      <c r="V586" s="1"/>
      <c r="W586" s="1"/>
      <c r="X586" s="1"/>
      <c r="Y586" s="1"/>
      <c r="Z586" s="1"/>
      <c r="AA586" s="1"/>
      <c r="AB586" s="1"/>
    </row>
    <row r="587" spans="1:28">
      <c r="A587" s="261"/>
      <c r="B587" s="261"/>
      <c r="C587" s="115"/>
      <c r="D587" s="1"/>
      <c r="E587" s="1"/>
      <c r="F587" s="1"/>
      <c r="G587" s="1"/>
      <c r="H587" s="1"/>
      <c r="I587" s="1"/>
      <c r="J587" s="1"/>
      <c r="K587" s="1"/>
      <c r="L587" s="2"/>
      <c r="M587" s="2"/>
      <c r="N587" s="2"/>
      <c r="O587" s="2"/>
      <c r="P587" s="2"/>
      <c r="Q587" s="2"/>
      <c r="R587" s="2"/>
      <c r="S587" s="2"/>
      <c r="T587" s="3"/>
      <c r="U587" s="1"/>
      <c r="V587" s="1"/>
      <c r="W587" s="1"/>
      <c r="X587" s="1"/>
      <c r="Y587" s="1"/>
      <c r="Z587" s="1"/>
      <c r="AA587" s="1"/>
      <c r="AB587" s="1"/>
    </row>
    <row r="588" spans="1:28">
      <c r="A588" s="261"/>
      <c r="B588" s="261"/>
      <c r="C588" s="115"/>
      <c r="D588" s="1"/>
      <c r="E588" s="1"/>
      <c r="F588" s="1"/>
      <c r="G588" s="1"/>
      <c r="H588" s="1"/>
      <c r="I588" s="1"/>
      <c r="J588" s="1"/>
      <c r="K588" s="1"/>
      <c r="L588" s="2"/>
      <c r="M588" s="2"/>
      <c r="N588" s="2"/>
      <c r="O588" s="2"/>
      <c r="P588" s="2"/>
      <c r="Q588" s="2"/>
      <c r="R588" s="2"/>
      <c r="S588" s="2"/>
      <c r="T588" s="3"/>
      <c r="U588" s="1"/>
      <c r="V588" s="1"/>
      <c r="W588" s="1"/>
      <c r="X588" s="1"/>
      <c r="Y588" s="1"/>
      <c r="Z588" s="1"/>
      <c r="AA588" s="1"/>
      <c r="AB588" s="1"/>
    </row>
    <row r="589" spans="1:28">
      <c r="A589" s="261"/>
      <c r="B589" s="261"/>
      <c r="C589" s="115"/>
      <c r="D589" s="1"/>
      <c r="E589" s="1"/>
      <c r="F589" s="1"/>
      <c r="G589" s="1"/>
      <c r="H589" s="1"/>
      <c r="I589" s="1"/>
      <c r="J589" s="1"/>
      <c r="K589" s="1"/>
      <c r="L589" s="2"/>
      <c r="M589" s="2"/>
      <c r="N589" s="2"/>
      <c r="O589" s="2"/>
      <c r="P589" s="2"/>
      <c r="Q589" s="2"/>
      <c r="R589" s="2"/>
      <c r="S589" s="2"/>
      <c r="T589" s="3"/>
      <c r="U589" s="1"/>
      <c r="V589" s="1"/>
      <c r="W589" s="1"/>
      <c r="X589" s="1"/>
      <c r="Y589" s="1"/>
      <c r="Z589" s="1"/>
      <c r="AA589" s="1"/>
      <c r="AB589" s="1"/>
    </row>
    <row r="590" spans="1:28">
      <c r="A590" s="261"/>
      <c r="B590" s="261"/>
      <c r="C590" s="115"/>
      <c r="D590" s="1"/>
      <c r="E590" s="1"/>
      <c r="F590" s="1"/>
      <c r="G590" s="1"/>
      <c r="H590" s="1"/>
      <c r="I590" s="1"/>
      <c r="J590" s="1"/>
      <c r="K590" s="1"/>
      <c r="L590" s="2"/>
      <c r="M590" s="2"/>
      <c r="N590" s="2"/>
      <c r="O590" s="2"/>
      <c r="P590" s="2"/>
      <c r="Q590" s="2"/>
      <c r="R590" s="2"/>
      <c r="S590" s="2"/>
      <c r="T590" s="3"/>
      <c r="U590" s="1"/>
      <c r="V590" s="1"/>
      <c r="W590" s="1"/>
      <c r="X590" s="1"/>
      <c r="Y590" s="1"/>
      <c r="Z590" s="1"/>
      <c r="AA590" s="1"/>
      <c r="AB590" s="1"/>
    </row>
    <row r="591" spans="1:28">
      <c r="A591" s="261"/>
      <c r="B591" s="261"/>
      <c r="C591" s="115"/>
      <c r="D591" s="1"/>
      <c r="E591" s="1"/>
      <c r="F591" s="1"/>
      <c r="G591" s="1"/>
      <c r="H591" s="1"/>
      <c r="I591" s="1"/>
      <c r="J591" s="1"/>
      <c r="K591" s="1"/>
      <c r="L591" s="2"/>
      <c r="M591" s="2"/>
      <c r="N591" s="2"/>
      <c r="O591" s="2"/>
      <c r="P591" s="2"/>
      <c r="Q591" s="2"/>
      <c r="R591" s="2"/>
      <c r="S591" s="2"/>
      <c r="T591" s="3"/>
      <c r="U591" s="1"/>
      <c r="V591" s="1"/>
      <c r="W591" s="1"/>
      <c r="X591" s="1"/>
      <c r="Y591" s="1"/>
      <c r="Z591" s="1"/>
      <c r="AA591" s="1"/>
      <c r="AB591" s="1"/>
    </row>
    <row r="592" spans="1:28">
      <c r="A592" s="261"/>
      <c r="B592" s="261"/>
      <c r="C592" s="115"/>
      <c r="D592" s="1"/>
      <c r="E592" s="1"/>
      <c r="F592" s="1"/>
      <c r="G592" s="1"/>
      <c r="H592" s="1"/>
      <c r="I592" s="1"/>
      <c r="J592" s="1"/>
      <c r="K592" s="1"/>
      <c r="L592" s="2"/>
      <c r="M592" s="2"/>
      <c r="N592" s="2"/>
      <c r="O592" s="2"/>
      <c r="P592" s="2"/>
      <c r="Q592" s="2"/>
      <c r="R592" s="2"/>
      <c r="S592" s="2"/>
      <c r="T592" s="3"/>
      <c r="U592" s="1"/>
      <c r="V592" s="1"/>
      <c r="W592" s="1"/>
      <c r="X592" s="1"/>
      <c r="Y592" s="1"/>
      <c r="Z592" s="1"/>
      <c r="AA592" s="1"/>
      <c r="AB592" s="1"/>
    </row>
    <row r="593" spans="1:28">
      <c r="A593" s="261"/>
      <c r="B593" s="261"/>
      <c r="C593" s="115"/>
      <c r="D593" s="1"/>
      <c r="E593" s="1"/>
      <c r="F593" s="1"/>
      <c r="G593" s="1"/>
      <c r="H593" s="1"/>
      <c r="I593" s="1"/>
      <c r="J593" s="1"/>
      <c r="K593" s="1"/>
      <c r="L593" s="2"/>
      <c r="M593" s="2"/>
      <c r="N593" s="2"/>
      <c r="O593" s="2"/>
      <c r="P593" s="2"/>
      <c r="Q593" s="2"/>
      <c r="R593" s="2"/>
      <c r="S593" s="2"/>
      <c r="T593" s="3"/>
      <c r="U593" s="1"/>
      <c r="V593" s="1"/>
      <c r="W593" s="1"/>
      <c r="X593" s="1"/>
      <c r="Y593" s="1"/>
      <c r="Z593" s="1"/>
      <c r="AA593" s="1"/>
      <c r="AB593" s="1"/>
    </row>
    <row r="594" spans="1:28">
      <c r="A594" s="261"/>
      <c r="B594" s="261"/>
      <c r="C594" s="115"/>
      <c r="D594" s="1"/>
      <c r="E594" s="1"/>
      <c r="F594" s="1"/>
      <c r="G594" s="1"/>
      <c r="H594" s="1"/>
      <c r="I594" s="1"/>
      <c r="J594" s="1"/>
      <c r="K594" s="1"/>
      <c r="L594" s="2"/>
      <c r="M594" s="2"/>
      <c r="N594" s="2"/>
      <c r="O594" s="2"/>
      <c r="P594" s="2"/>
      <c r="Q594" s="2"/>
      <c r="R594" s="2"/>
      <c r="S594" s="2"/>
      <c r="T594" s="3"/>
      <c r="U594" s="1"/>
      <c r="V594" s="1"/>
      <c r="W594" s="1"/>
      <c r="X594" s="1"/>
      <c r="Y594" s="1"/>
      <c r="Z594" s="1"/>
      <c r="AA594" s="1"/>
      <c r="AB594" s="1"/>
    </row>
    <row r="595" spans="1:28">
      <c r="A595" s="261"/>
      <c r="B595" s="261"/>
      <c r="C595" s="115"/>
      <c r="D595" s="1"/>
      <c r="E595" s="1"/>
      <c r="F595" s="1"/>
      <c r="G595" s="1"/>
      <c r="H595" s="1"/>
      <c r="I595" s="1"/>
      <c r="J595" s="1"/>
      <c r="K595" s="1"/>
      <c r="L595" s="2"/>
      <c r="M595" s="2"/>
      <c r="N595" s="2"/>
      <c r="O595" s="2"/>
      <c r="P595" s="2"/>
      <c r="Q595" s="2"/>
      <c r="R595" s="2"/>
      <c r="S595" s="2"/>
      <c r="T595" s="3"/>
      <c r="U595" s="1"/>
      <c r="V595" s="1"/>
      <c r="W595" s="1"/>
      <c r="X595" s="1"/>
      <c r="Y595" s="1"/>
      <c r="Z595" s="1"/>
      <c r="AA595" s="1"/>
      <c r="AB595" s="1"/>
    </row>
    <row r="596" spans="1:28">
      <c r="A596" s="261"/>
      <c r="B596" s="261"/>
      <c r="C596" s="115"/>
      <c r="D596" s="1"/>
      <c r="E596" s="1"/>
      <c r="F596" s="1"/>
      <c r="G596" s="1"/>
      <c r="H596" s="1"/>
      <c r="I596" s="1"/>
      <c r="J596" s="1"/>
      <c r="K596" s="1"/>
      <c r="L596" s="2"/>
      <c r="M596" s="2"/>
      <c r="N596" s="2"/>
      <c r="O596" s="2"/>
      <c r="P596" s="2"/>
      <c r="Q596" s="2"/>
      <c r="R596" s="2"/>
      <c r="S596" s="2"/>
      <c r="T596" s="3"/>
      <c r="U596" s="1"/>
      <c r="V596" s="1"/>
      <c r="W596" s="1"/>
      <c r="X596" s="1"/>
      <c r="Y596" s="1"/>
      <c r="Z596" s="1"/>
      <c r="AA596" s="1"/>
      <c r="AB596" s="1"/>
    </row>
    <row r="597" spans="1:28">
      <c r="A597" s="261"/>
      <c r="B597" s="261"/>
      <c r="C597" s="115"/>
      <c r="D597" s="1"/>
      <c r="E597" s="1"/>
      <c r="F597" s="1"/>
      <c r="G597" s="1"/>
      <c r="H597" s="1"/>
      <c r="I597" s="1"/>
      <c r="J597" s="1"/>
      <c r="K597" s="1"/>
      <c r="L597" s="2"/>
      <c r="M597" s="2"/>
      <c r="N597" s="2"/>
      <c r="O597" s="2"/>
      <c r="P597" s="2"/>
      <c r="Q597" s="2"/>
      <c r="R597" s="2"/>
      <c r="S597" s="2"/>
      <c r="T597" s="3"/>
      <c r="U597" s="1"/>
      <c r="V597" s="1"/>
      <c r="W597" s="1"/>
      <c r="X597" s="1"/>
      <c r="Y597" s="1"/>
      <c r="Z597" s="1"/>
      <c r="AA597" s="1"/>
      <c r="AB597" s="1"/>
    </row>
    <row r="598" spans="1:28">
      <c r="A598" s="261"/>
      <c r="B598" s="261"/>
      <c r="C598" s="115"/>
      <c r="D598" s="1"/>
      <c r="E598" s="1"/>
      <c r="F598" s="1"/>
      <c r="G598" s="1"/>
      <c r="H598" s="1"/>
      <c r="I598" s="1"/>
      <c r="J598" s="1"/>
      <c r="K598" s="1"/>
      <c r="L598" s="2"/>
      <c r="M598" s="2"/>
      <c r="N598" s="2"/>
      <c r="O598" s="2"/>
      <c r="P598" s="2"/>
      <c r="Q598" s="2"/>
      <c r="R598" s="2"/>
      <c r="S598" s="2"/>
      <c r="T598" s="3"/>
      <c r="U598" s="1"/>
      <c r="V598" s="1"/>
      <c r="W598" s="1"/>
      <c r="X598" s="1"/>
      <c r="Y598" s="1"/>
      <c r="Z598" s="1"/>
      <c r="AA598" s="1"/>
      <c r="AB598" s="1"/>
    </row>
    <row r="599" spans="1:28">
      <c r="A599" s="261"/>
      <c r="B599" s="261"/>
      <c r="C599" s="115"/>
      <c r="D599" s="1"/>
      <c r="E599" s="1"/>
      <c r="F599" s="1"/>
      <c r="G599" s="1"/>
      <c r="H599" s="1"/>
      <c r="I599" s="1"/>
      <c r="J599" s="1"/>
      <c r="K599" s="1"/>
      <c r="L599" s="2"/>
      <c r="M599" s="2"/>
      <c r="N599" s="2"/>
      <c r="O599" s="2"/>
      <c r="P599" s="2"/>
      <c r="Q599" s="2"/>
      <c r="R599" s="2"/>
      <c r="S599" s="2"/>
      <c r="T599" s="3"/>
      <c r="U599" s="1"/>
      <c r="V599" s="1"/>
      <c r="W599" s="1"/>
      <c r="X599" s="1"/>
      <c r="Y599" s="1"/>
      <c r="Z599" s="1"/>
      <c r="AA599" s="1"/>
      <c r="AB599" s="1"/>
    </row>
    <row r="600" spans="1:28">
      <c r="A600" s="261"/>
      <c r="B600" s="261"/>
      <c r="C600" s="115"/>
      <c r="D600" s="1"/>
      <c r="E600" s="1"/>
      <c r="F600" s="1"/>
      <c r="G600" s="1"/>
      <c r="H600" s="1"/>
      <c r="I600" s="1"/>
      <c r="J600" s="1"/>
      <c r="K600" s="1"/>
      <c r="L600" s="2"/>
      <c r="M600" s="2"/>
      <c r="N600" s="2"/>
      <c r="O600" s="2"/>
      <c r="P600" s="2"/>
      <c r="Q600" s="2"/>
      <c r="R600" s="2"/>
      <c r="S600" s="2"/>
      <c r="T600" s="3"/>
      <c r="U600" s="1"/>
      <c r="V600" s="1"/>
      <c r="W600" s="1"/>
      <c r="X600" s="1"/>
      <c r="Y600" s="1"/>
      <c r="Z600" s="1"/>
      <c r="AA600" s="1"/>
      <c r="AB600" s="1"/>
    </row>
    <row r="601" spans="1:28">
      <c r="A601" s="261"/>
      <c r="B601" s="261"/>
      <c r="C601" s="115"/>
      <c r="D601" s="1"/>
      <c r="E601" s="1"/>
      <c r="F601" s="1"/>
      <c r="G601" s="1"/>
      <c r="H601" s="1"/>
      <c r="I601" s="1"/>
      <c r="J601" s="1"/>
      <c r="K601" s="1"/>
      <c r="L601" s="2"/>
      <c r="M601" s="2"/>
      <c r="N601" s="2"/>
      <c r="O601" s="2"/>
      <c r="P601" s="2"/>
      <c r="Q601" s="2"/>
      <c r="R601" s="2"/>
      <c r="S601" s="2"/>
      <c r="T601" s="3"/>
      <c r="U601" s="1"/>
      <c r="V601" s="1"/>
      <c r="W601" s="1"/>
      <c r="X601" s="1"/>
      <c r="Y601" s="1"/>
      <c r="Z601" s="1"/>
      <c r="AA601" s="1"/>
      <c r="AB601" s="1"/>
    </row>
    <row r="602" spans="1:28">
      <c r="A602" s="261"/>
      <c r="B602" s="261"/>
      <c r="C602" s="115"/>
      <c r="D602" s="1"/>
      <c r="E602" s="1"/>
      <c r="F602" s="1"/>
      <c r="G602" s="1"/>
      <c r="H602" s="1"/>
      <c r="I602" s="1"/>
      <c r="J602" s="1"/>
      <c r="K602" s="1"/>
      <c r="L602" s="2"/>
      <c r="M602" s="2"/>
      <c r="N602" s="2"/>
      <c r="O602" s="2"/>
      <c r="P602" s="2"/>
      <c r="Q602" s="2"/>
      <c r="R602" s="2"/>
      <c r="S602" s="2"/>
      <c r="T602" s="3"/>
      <c r="U602" s="1"/>
      <c r="V602" s="1"/>
      <c r="W602" s="1"/>
      <c r="X602" s="1"/>
      <c r="Y602" s="1"/>
      <c r="Z602" s="1"/>
      <c r="AA602" s="1"/>
      <c r="AB602" s="1"/>
    </row>
    <row r="603" spans="1:28">
      <c r="A603" s="261"/>
      <c r="B603" s="261"/>
      <c r="C603" s="115"/>
      <c r="D603" s="1"/>
      <c r="E603" s="1"/>
      <c r="F603" s="1"/>
      <c r="G603" s="1"/>
      <c r="H603" s="1"/>
      <c r="I603" s="1"/>
      <c r="J603" s="1"/>
      <c r="K603" s="1"/>
      <c r="L603" s="2"/>
      <c r="M603" s="2"/>
      <c r="N603" s="2"/>
      <c r="O603" s="2"/>
      <c r="P603" s="2"/>
      <c r="Q603" s="2"/>
      <c r="R603" s="2"/>
      <c r="S603" s="2"/>
      <c r="T603" s="3"/>
      <c r="U603" s="1"/>
      <c r="V603" s="1"/>
      <c r="W603" s="1"/>
      <c r="X603" s="1"/>
      <c r="Y603" s="1"/>
      <c r="Z603" s="1"/>
      <c r="AA603" s="1"/>
      <c r="AB603" s="1"/>
    </row>
    <row r="604" spans="1:28">
      <c r="A604" s="261"/>
      <c r="B604" s="261"/>
      <c r="C604" s="115"/>
      <c r="D604" s="1"/>
      <c r="E604" s="1"/>
      <c r="F604" s="1"/>
      <c r="G604" s="1"/>
      <c r="H604" s="1"/>
      <c r="I604" s="1"/>
      <c r="J604" s="1"/>
      <c r="K604" s="1"/>
      <c r="L604" s="2"/>
      <c r="M604" s="2"/>
      <c r="N604" s="2"/>
      <c r="O604" s="2"/>
      <c r="P604" s="2"/>
      <c r="Q604" s="2"/>
      <c r="R604" s="2"/>
      <c r="S604" s="2"/>
      <c r="T604" s="3"/>
      <c r="U604" s="1"/>
      <c r="V604" s="1"/>
      <c r="W604" s="1"/>
      <c r="X604" s="1"/>
      <c r="Y604" s="1"/>
      <c r="Z604" s="1"/>
      <c r="AA604" s="1"/>
      <c r="AB604" s="1"/>
    </row>
    <row r="605" spans="1:28">
      <c r="A605" s="261"/>
      <c r="B605" s="261"/>
      <c r="C605" s="115"/>
      <c r="D605" s="1"/>
      <c r="E605" s="1"/>
      <c r="F605" s="1"/>
      <c r="G605" s="1"/>
      <c r="H605" s="1"/>
      <c r="I605" s="1"/>
      <c r="J605" s="1"/>
      <c r="K605" s="1"/>
      <c r="L605" s="2"/>
      <c r="M605" s="2"/>
      <c r="N605" s="2"/>
      <c r="O605" s="2"/>
      <c r="P605" s="2"/>
      <c r="Q605" s="2"/>
      <c r="R605" s="2"/>
      <c r="S605" s="2"/>
      <c r="T605" s="3"/>
      <c r="U605" s="1"/>
      <c r="V605" s="1"/>
      <c r="W605" s="1"/>
      <c r="X605" s="1"/>
      <c r="Y605" s="1"/>
      <c r="Z605" s="1"/>
      <c r="AA605" s="1"/>
      <c r="AB605" s="1"/>
    </row>
    <row r="606" spans="1:28">
      <c r="A606" s="261"/>
      <c r="B606" s="261"/>
      <c r="C606" s="115"/>
      <c r="D606" s="1"/>
      <c r="E606" s="1"/>
      <c r="F606" s="1"/>
      <c r="G606" s="1"/>
      <c r="H606" s="1"/>
      <c r="I606" s="1"/>
      <c r="J606" s="1"/>
      <c r="K606" s="1"/>
      <c r="L606" s="2"/>
      <c r="M606" s="2"/>
      <c r="N606" s="2"/>
      <c r="O606" s="2"/>
      <c r="P606" s="2"/>
      <c r="Q606" s="2"/>
      <c r="R606" s="2"/>
      <c r="S606" s="2"/>
      <c r="T606" s="3"/>
      <c r="U606" s="1"/>
      <c r="V606" s="1"/>
      <c r="W606" s="1"/>
      <c r="X606" s="1"/>
      <c r="Y606" s="1"/>
      <c r="Z606" s="1"/>
      <c r="AA606" s="1"/>
      <c r="AB606" s="1"/>
    </row>
    <row r="607" spans="1:28">
      <c r="A607" s="261"/>
      <c r="B607" s="261"/>
      <c r="C607" s="115"/>
      <c r="D607" s="1"/>
      <c r="E607" s="1"/>
      <c r="F607" s="1"/>
      <c r="G607" s="1"/>
      <c r="H607" s="1"/>
      <c r="I607" s="1"/>
      <c r="J607" s="1"/>
      <c r="K607" s="1"/>
      <c r="L607" s="2"/>
      <c r="M607" s="2"/>
      <c r="N607" s="2"/>
      <c r="O607" s="2"/>
      <c r="P607" s="2"/>
      <c r="Q607" s="2"/>
      <c r="R607" s="2"/>
      <c r="S607" s="2"/>
      <c r="T607" s="3"/>
      <c r="U607" s="1"/>
      <c r="V607" s="1"/>
      <c r="W607" s="1"/>
      <c r="X607" s="1"/>
      <c r="Y607" s="1"/>
      <c r="Z607" s="1"/>
      <c r="AA607" s="1"/>
      <c r="AB607" s="1"/>
    </row>
    <row r="608" spans="1:28">
      <c r="A608" s="261"/>
      <c r="B608" s="261"/>
      <c r="C608" s="115"/>
      <c r="D608" s="1"/>
      <c r="E608" s="1"/>
      <c r="F608" s="1"/>
      <c r="G608" s="1"/>
      <c r="H608" s="1"/>
      <c r="I608" s="1"/>
      <c r="J608" s="1"/>
      <c r="K608" s="1"/>
      <c r="L608" s="2"/>
      <c r="M608" s="2"/>
      <c r="N608" s="2"/>
      <c r="O608" s="2"/>
      <c r="P608" s="2"/>
      <c r="Q608" s="2"/>
      <c r="R608" s="2"/>
      <c r="S608" s="2"/>
      <c r="T608" s="3"/>
      <c r="U608" s="1"/>
      <c r="V608" s="1"/>
      <c r="W608" s="1"/>
      <c r="X608" s="1"/>
      <c r="Y608" s="1"/>
      <c r="Z608" s="1"/>
      <c r="AA608" s="1"/>
      <c r="AB608" s="1"/>
    </row>
    <row r="609" spans="1:28">
      <c r="A609" s="260"/>
      <c r="B609" s="260"/>
      <c r="C609" s="38"/>
      <c r="D609" s="4"/>
      <c r="E609" s="4"/>
      <c r="F609" s="4"/>
      <c r="G609" s="4"/>
      <c r="H609" s="4"/>
      <c r="I609" s="4"/>
      <c r="J609" s="4"/>
      <c r="K609" s="4"/>
      <c r="L609" s="5"/>
      <c r="M609" s="5"/>
      <c r="N609" s="5"/>
      <c r="O609" s="5"/>
      <c r="P609" s="5"/>
      <c r="Q609" s="5"/>
      <c r="R609" s="5"/>
      <c r="S609" s="5"/>
      <c r="T609" s="6"/>
      <c r="U609" s="1"/>
      <c r="V609" s="1"/>
      <c r="W609" s="1"/>
      <c r="X609" s="1"/>
      <c r="Y609" s="1"/>
      <c r="Z609" s="1"/>
      <c r="AA609" s="1"/>
      <c r="AB609" s="1"/>
    </row>
    <row r="610" spans="1:28">
      <c r="A610" s="261"/>
      <c r="B610" s="261"/>
      <c r="C610" s="115"/>
      <c r="D610" s="1"/>
      <c r="E610" s="1"/>
      <c r="F610" s="1"/>
      <c r="G610" s="1"/>
      <c r="H610" s="1"/>
      <c r="I610" s="1"/>
      <c r="J610" s="1"/>
      <c r="K610" s="1"/>
      <c r="L610" s="2"/>
      <c r="M610" s="2"/>
      <c r="N610" s="2"/>
      <c r="O610" s="2"/>
      <c r="P610" s="2"/>
      <c r="Q610" s="2"/>
      <c r="R610" s="2"/>
      <c r="S610" s="2"/>
      <c r="T610" s="3"/>
      <c r="U610" s="1"/>
      <c r="V610" s="1"/>
      <c r="W610" s="1"/>
      <c r="X610" s="1"/>
      <c r="Y610" s="1"/>
      <c r="Z610" s="1"/>
      <c r="AA610" s="1"/>
      <c r="AB610" s="1"/>
    </row>
    <row r="611" spans="1:28">
      <c r="A611" s="261"/>
      <c r="B611" s="261"/>
      <c r="C611" s="115"/>
      <c r="D611" s="1"/>
      <c r="E611" s="1"/>
      <c r="F611" s="1"/>
      <c r="G611" s="1"/>
      <c r="H611" s="1"/>
      <c r="I611" s="1"/>
      <c r="J611" s="1"/>
      <c r="K611" s="1"/>
      <c r="L611" s="2"/>
      <c r="M611" s="2"/>
      <c r="N611" s="2"/>
      <c r="O611" s="2"/>
      <c r="P611" s="2"/>
      <c r="Q611" s="2"/>
      <c r="R611" s="2"/>
      <c r="S611" s="2"/>
      <c r="T611" s="3"/>
      <c r="U611" s="1"/>
      <c r="V611" s="1"/>
      <c r="W611" s="1"/>
      <c r="X611" s="1"/>
      <c r="Y611" s="1"/>
      <c r="Z611" s="1"/>
      <c r="AA611" s="1"/>
      <c r="AB611" s="1"/>
    </row>
    <row r="612" spans="1:28">
      <c r="A612" s="261"/>
      <c r="B612" s="261"/>
      <c r="C612" s="115"/>
      <c r="D612" s="1"/>
      <c r="E612" s="1"/>
      <c r="F612" s="1"/>
      <c r="G612" s="1"/>
      <c r="H612" s="1"/>
      <c r="I612" s="1"/>
      <c r="J612" s="1"/>
      <c r="K612" s="1"/>
      <c r="L612" s="2"/>
      <c r="M612" s="2"/>
      <c r="N612" s="2"/>
      <c r="O612" s="2"/>
      <c r="P612" s="2"/>
      <c r="Q612" s="2"/>
      <c r="R612" s="2"/>
      <c r="S612" s="2"/>
      <c r="T612" s="3"/>
      <c r="U612" s="1"/>
      <c r="V612" s="1"/>
      <c r="W612" s="1"/>
      <c r="X612" s="1"/>
      <c r="Y612" s="1"/>
      <c r="Z612" s="1"/>
      <c r="AA612" s="1"/>
      <c r="AB612" s="1"/>
    </row>
    <row r="613" spans="1:28">
      <c r="A613" s="261"/>
      <c r="B613" s="261"/>
      <c r="C613" s="115"/>
      <c r="D613" s="1"/>
      <c r="E613" s="1"/>
      <c r="F613" s="1"/>
      <c r="G613" s="1"/>
      <c r="H613" s="1"/>
      <c r="I613" s="1"/>
      <c r="J613" s="1"/>
      <c r="K613" s="1"/>
      <c r="L613" s="2"/>
      <c r="M613" s="2"/>
      <c r="N613" s="2"/>
      <c r="O613" s="2"/>
      <c r="P613" s="2"/>
      <c r="Q613" s="2"/>
      <c r="R613" s="2"/>
      <c r="S613" s="2"/>
      <c r="T613" s="3"/>
      <c r="U613" s="1"/>
      <c r="V613" s="1"/>
      <c r="W613" s="1"/>
      <c r="X613" s="1"/>
      <c r="Y613" s="1"/>
      <c r="Z613" s="1"/>
      <c r="AA613" s="1"/>
      <c r="AB613" s="1"/>
    </row>
    <row r="614" spans="1:28">
      <c r="A614" s="261"/>
      <c r="B614" s="261"/>
      <c r="C614" s="115"/>
      <c r="D614" s="1"/>
      <c r="E614" s="1"/>
      <c r="F614" s="1"/>
      <c r="G614" s="1"/>
      <c r="H614" s="1"/>
      <c r="I614" s="1"/>
      <c r="J614" s="1"/>
      <c r="K614" s="1"/>
      <c r="L614" s="2"/>
      <c r="M614" s="2"/>
      <c r="N614" s="2"/>
      <c r="O614" s="2"/>
      <c r="P614" s="2"/>
      <c r="Q614" s="2"/>
      <c r="R614" s="2"/>
      <c r="S614" s="2"/>
      <c r="T614" s="3"/>
      <c r="U614" s="1"/>
      <c r="V614" s="1"/>
      <c r="W614" s="1"/>
      <c r="X614" s="1"/>
      <c r="Y614" s="1"/>
      <c r="Z614" s="1"/>
      <c r="AA614" s="1"/>
      <c r="AB614" s="1"/>
    </row>
    <row r="615" spans="1:28">
      <c r="A615" s="261"/>
      <c r="B615" s="261"/>
      <c r="C615" s="115"/>
      <c r="D615" s="1"/>
      <c r="E615" s="1"/>
      <c r="F615" s="1"/>
      <c r="G615" s="1"/>
      <c r="H615" s="1"/>
      <c r="I615" s="1"/>
      <c r="J615" s="1"/>
      <c r="K615" s="1"/>
      <c r="L615" s="2"/>
      <c r="M615" s="2"/>
      <c r="N615" s="2"/>
      <c r="O615" s="2"/>
      <c r="P615" s="2"/>
      <c r="Q615" s="2"/>
      <c r="R615" s="2"/>
      <c r="S615" s="2"/>
      <c r="T615" s="3"/>
      <c r="U615" s="1"/>
      <c r="V615" s="1"/>
      <c r="W615" s="1"/>
      <c r="X615" s="1"/>
      <c r="Y615" s="1"/>
      <c r="Z615" s="1"/>
      <c r="AA615" s="1"/>
      <c r="AB615" s="1"/>
    </row>
    <row r="616" spans="1:28">
      <c r="A616" s="261"/>
      <c r="B616" s="261"/>
      <c r="C616" s="115"/>
      <c r="D616" s="1"/>
      <c r="E616" s="1"/>
      <c r="F616" s="1"/>
      <c r="G616" s="1"/>
      <c r="H616" s="1"/>
      <c r="I616" s="1"/>
      <c r="J616" s="1"/>
      <c r="K616" s="1"/>
      <c r="L616" s="2"/>
      <c r="M616" s="2"/>
      <c r="N616" s="2"/>
      <c r="O616" s="2"/>
      <c r="P616" s="2"/>
      <c r="Q616" s="2"/>
      <c r="R616" s="2"/>
      <c r="S616" s="2"/>
      <c r="T616" s="3"/>
      <c r="U616" s="1"/>
      <c r="V616" s="1"/>
      <c r="W616" s="1"/>
      <c r="X616" s="1"/>
      <c r="Y616" s="1"/>
      <c r="Z616" s="1"/>
      <c r="AA616" s="1"/>
      <c r="AB616" s="1"/>
    </row>
    <row r="617" spans="1:28">
      <c r="A617" s="261"/>
      <c r="B617" s="261"/>
      <c r="C617" s="115"/>
      <c r="D617" s="1"/>
      <c r="E617" s="1"/>
      <c r="F617" s="1"/>
      <c r="G617" s="1"/>
      <c r="H617" s="1"/>
      <c r="I617" s="1"/>
      <c r="J617" s="1"/>
      <c r="K617" s="1"/>
      <c r="L617" s="2"/>
      <c r="M617" s="2"/>
      <c r="N617" s="2"/>
      <c r="O617" s="2"/>
      <c r="P617" s="2"/>
      <c r="Q617" s="2"/>
      <c r="R617" s="2"/>
      <c r="S617" s="2"/>
      <c r="T617" s="3"/>
      <c r="U617" s="1"/>
      <c r="V617" s="1"/>
      <c r="W617" s="1"/>
      <c r="X617" s="1"/>
      <c r="Y617" s="1"/>
      <c r="Z617" s="1"/>
      <c r="AA617" s="1"/>
      <c r="AB617" s="1"/>
    </row>
    <row r="618" spans="1:28">
      <c r="A618" s="261"/>
      <c r="B618" s="261"/>
      <c r="C618" s="115"/>
      <c r="D618" s="1"/>
      <c r="E618" s="1"/>
      <c r="F618" s="1"/>
      <c r="G618" s="1"/>
      <c r="H618" s="1"/>
      <c r="I618" s="1"/>
      <c r="J618" s="1"/>
      <c r="K618" s="1"/>
      <c r="L618" s="2"/>
      <c r="M618" s="2"/>
      <c r="N618" s="2"/>
      <c r="O618" s="2"/>
      <c r="P618" s="2"/>
      <c r="Q618" s="2"/>
      <c r="R618" s="2"/>
      <c r="S618" s="2"/>
      <c r="T618" s="3"/>
      <c r="U618" s="1"/>
      <c r="V618" s="1"/>
      <c r="W618" s="1"/>
      <c r="X618" s="1"/>
      <c r="Y618" s="1"/>
      <c r="Z618" s="1"/>
      <c r="AA618" s="1"/>
      <c r="AB618" s="1"/>
    </row>
    <row r="619" spans="1:28">
      <c r="A619" s="261"/>
      <c r="B619" s="261"/>
      <c r="C619" s="115"/>
      <c r="D619" s="1"/>
      <c r="E619" s="1"/>
      <c r="F619" s="1"/>
      <c r="G619" s="1"/>
      <c r="H619" s="1"/>
      <c r="I619" s="1"/>
      <c r="J619" s="1"/>
      <c r="K619" s="1"/>
      <c r="L619" s="2"/>
      <c r="M619" s="2"/>
      <c r="N619" s="2"/>
      <c r="O619" s="2"/>
      <c r="P619" s="2"/>
      <c r="Q619" s="2"/>
      <c r="R619" s="2"/>
      <c r="S619" s="2"/>
      <c r="T619" s="3"/>
      <c r="U619" s="1"/>
      <c r="V619" s="1"/>
      <c r="W619" s="1"/>
      <c r="X619" s="1"/>
      <c r="Y619" s="1"/>
      <c r="Z619" s="1"/>
      <c r="AA619" s="1"/>
      <c r="AB619" s="1"/>
    </row>
    <row r="620" spans="1:28">
      <c r="A620" s="261"/>
      <c r="B620" s="261"/>
      <c r="C620" s="115"/>
      <c r="D620" s="1"/>
      <c r="E620" s="1"/>
      <c r="F620" s="1"/>
      <c r="G620" s="1"/>
      <c r="H620" s="1"/>
      <c r="I620" s="1"/>
      <c r="J620" s="1"/>
      <c r="K620" s="1"/>
      <c r="L620" s="2"/>
      <c r="M620" s="2"/>
      <c r="N620" s="2"/>
      <c r="O620" s="2"/>
      <c r="P620" s="2"/>
      <c r="Q620" s="2"/>
      <c r="R620" s="2"/>
      <c r="S620" s="2"/>
      <c r="T620" s="3"/>
      <c r="U620" s="1"/>
      <c r="V620" s="1"/>
      <c r="W620" s="1"/>
      <c r="X620" s="1"/>
      <c r="Y620" s="1"/>
      <c r="Z620" s="1"/>
      <c r="AA620" s="1"/>
      <c r="AB620" s="1"/>
    </row>
    <row r="621" spans="1:28">
      <c r="A621" s="261"/>
      <c r="B621" s="261"/>
      <c r="C621" s="115"/>
      <c r="D621" s="1"/>
      <c r="E621" s="1"/>
      <c r="F621" s="1"/>
      <c r="G621" s="1"/>
      <c r="H621" s="1"/>
      <c r="I621" s="1"/>
      <c r="J621" s="1"/>
      <c r="K621" s="1"/>
      <c r="L621" s="2"/>
      <c r="M621" s="2"/>
      <c r="N621" s="2"/>
      <c r="O621" s="2"/>
      <c r="P621" s="2"/>
      <c r="Q621" s="2"/>
      <c r="R621" s="2"/>
      <c r="S621" s="2"/>
      <c r="T621" s="3"/>
      <c r="U621" s="1"/>
      <c r="V621" s="1"/>
      <c r="W621" s="1"/>
      <c r="X621" s="1"/>
      <c r="Y621" s="1"/>
      <c r="Z621" s="1"/>
      <c r="AA621" s="1"/>
      <c r="AB621" s="1"/>
    </row>
    <row r="622" spans="1:28">
      <c r="A622" s="261"/>
      <c r="B622" s="261"/>
      <c r="C622" s="115"/>
      <c r="D622" s="1"/>
      <c r="E622" s="1"/>
      <c r="F622" s="1"/>
      <c r="G622" s="1"/>
      <c r="H622" s="1"/>
      <c r="I622" s="1"/>
      <c r="J622" s="1"/>
      <c r="K622" s="1"/>
      <c r="L622" s="2"/>
      <c r="M622" s="2"/>
      <c r="N622" s="2"/>
      <c r="O622" s="2"/>
      <c r="P622" s="2"/>
      <c r="Q622" s="2"/>
      <c r="R622" s="2"/>
      <c r="S622" s="2"/>
      <c r="T622" s="3"/>
      <c r="U622" s="1"/>
      <c r="V622" s="1"/>
      <c r="W622" s="1"/>
      <c r="X622" s="1"/>
      <c r="Y622" s="1"/>
      <c r="Z622" s="1"/>
      <c r="AA622" s="1"/>
      <c r="AB622" s="1"/>
    </row>
    <row r="623" spans="1:28">
      <c r="A623" s="261"/>
      <c r="B623" s="261"/>
      <c r="C623" s="115"/>
      <c r="D623" s="1"/>
      <c r="E623" s="1"/>
      <c r="F623" s="1"/>
      <c r="G623" s="1"/>
      <c r="H623" s="1"/>
      <c r="I623" s="1"/>
      <c r="J623" s="1"/>
      <c r="K623" s="1"/>
      <c r="L623" s="2"/>
      <c r="M623" s="2"/>
      <c r="N623" s="2"/>
      <c r="O623" s="2"/>
      <c r="P623" s="2"/>
      <c r="Q623" s="2"/>
      <c r="R623" s="2"/>
      <c r="S623" s="2"/>
      <c r="T623" s="3"/>
      <c r="U623" s="1"/>
      <c r="V623" s="1"/>
      <c r="W623" s="1"/>
      <c r="X623" s="1"/>
      <c r="Y623" s="1"/>
      <c r="Z623" s="1"/>
      <c r="AA623" s="1"/>
      <c r="AB623" s="1"/>
    </row>
    <row r="624" spans="1:28">
      <c r="A624" s="261"/>
      <c r="B624" s="261"/>
      <c r="C624" s="115"/>
      <c r="D624" s="1"/>
      <c r="E624" s="1"/>
      <c r="F624" s="1"/>
      <c r="G624" s="1"/>
      <c r="H624" s="1"/>
      <c r="I624" s="1"/>
      <c r="J624" s="1"/>
      <c r="K624" s="1"/>
      <c r="L624" s="2"/>
      <c r="M624" s="2"/>
      <c r="N624" s="2"/>
      <c r="O624" s="2"/>
      <c r="P624" s="2"/>
      <c r="Q624" s="2"/>
      <c r="R624" s="2"/>
      <c r="S624" s="2"/>
      <c r="T624" s="3"/>
      <c r="U624" s="1"/>
      <c r="V624" s="1"/>
      <c r="W624" s="1"/>
      <c r="X624" s="1"/>
      <c r="Y624" s="1"/>
      <c r="Z624" s="1"/>
      <c r="AA624" s="1"/>
      <c r="AB624" s="1"/>
    </row>
    <row r="625" spans="1:28">
      <c r="A625" s="261"/>
      <c r="B625" s="261"/>
      <c r="C625" s="115"/>
      <c r="D625" s="1"/>
      <c r="E625" s="1"/>
      <c r="F625" s="1"/>
      <c r="G625" s="1"/>
      <c r="H625" s="1"/>
      <c r="I625" s="1"/>
      <c r="J625" s="1"/>
      <c r="K625" s="1"/>
      <c r="L625" s="2"/>
      <c r="M625" s="2"/>
      <c r="N625" s="2"/>
      <c r="O625" s="2"/>
      <c r="P625" s="2"/>
      <c r="Q625" s="2"/>
      <c r="R625" s="2"/>
      <c r="S625" s="2"/>
      <c r="T625" s="3"/>
      <c r="U625" s="1"/>
      <c r="V625" s="1"/>
      <c r="W625" s="1"/>
      <c r="X625" s="1"/>
      <c r="Y625" s="1"/>
      <c r="Z625" s="1"/>
      <c r="AA625" s="1"/>
      <c r="AB625" s="1"/>
    </row>
    <row r="626" spans="1:28">
      <c r="A626" s="261"/>
      <c r="B626" s="261"/>
      <c r="C626" s="115"/>
      <c r="D626" s="1"/>
      <c r="E626" s="1"/>
      <c r="F626" s="1"/>
      <c r="G626" s="1"/>
      <c r="H626" s="1"/>
      <c r="I626" s="1"/>
      <c r="J626" s="1"/>
      <c r="K626" s="1"/>
      <c r="L626" s="2"/>
      <c r="M626" s="2"/>
      <c r="N626" s="2"/>
      <c r="O626" s="2"/>
      <c r="P626" s="2"/>
      <c r="Q626" s="2"/>
      <c r="R626" s="2"/>
      <c r="S626" s="2"/>
      <c r="T626" s="3"/>
      <c r="U626" s="1"/>
      <c r="V626" s="1"/>
      <c r="W626" s="1"/>
      <c r="X626" s="1"/>
      <c r="Y626" s="1"/>
      <c r="Z626" s="1"/>
      <c r="AA626" s="1"/>
      <c r="AB626" s="1"/>
    </row>
    <row r="627" spans="1:28">
      <c r="A627" s="261"/>
      <c r="B627" s="261"/>
      <c r="C627" s="115"/>
      <c r="D627" s="1"/>
      <c r="E627" s="1"/>
      <c r="F627" s="1"/>
      <c r="G627" s="1"/>
      <c r="H627" s="1"/>
      <c r="I627" s="1"/>
      <c r="J627" s="1"/>
      <c r="K627" s="1"/>
      <c r="L627" s="2"/>
      <c r="M627" s="2"/>
      <c r="N627" s="2"/>
      <c r="O627" s="2"/>
      <c r="P627" s="2"/>
      <c r="Q627" s="2"/>
      <c r="R627" s="2"/>
      <c r="S627" s="2"/>
      <c r="T627" s="3"/>
      <c r="U627" s="1"/>
      <c r="V627" s="1"/>
      <c r="W627" s="1"/>
      <c r="X627" s="1"/>
      <c r="Y627" s="1"/>
      <c r="Z627" s="1"/>
      <c r="AA627" s="1"/>
      <c r="AB627" s="1"/>
    </row>
    <row r="628" spans="1:28">
      <c r="A628" s="261"/>
      <c r="B628" s="261"/>
      <c r="C628" s="115"/>
      <c r="D628" s="1"/>
      <c r="E628" s="1"/>
      <c r="F628" s="1"/>
      <c r="G628" s="1"/>
      <c r="H628" s="1"/>
      <c r="I628" s="1"/>
      <c r="J628" s="1"/>
      <c r="K628" s="1"/>
      <c r="L628" s="2"/>
      <c r="M628" s="2"/>
      <c r="N628" s="2"/>
      <c r="O628" s="2"/>
      <c r="P628" s="2"/>
      <c r="Q628" s="2"/>
      <c r="R628" s="2"/>
      <c r="S628" s="2"/>
      <c r="T628" s="3"/>
      <c r="U628" s="1"/>
      <c r="V628" s="1"/>
      <c r="W628" s="1"/>
      <c r="X628" s="1"/>
      <c r="Y628" s="1"/>
      <c r="Z628" s="1"/>
      <c r="AA628" s="1"/>
      <c r="AB628" s="1"/>
    </row>
    <row r="629" spans="1:28">
      <c r="A629" s="261"/>
      <c r="B629" s="261"/>
      <c r="C629" s="115"/>
      <c r="D629" s="1"/>
      <c r="E629" s="1"/>
      <c r="F629" s="1"/>
      <c r="G629" s="1"/>
      <c r="H629" s="1"/>
      <c r="I629" s="1"/>
      <c r="J629" s="1"/>
      <c r="K629" s="1"/>
      <c r="L629" s="2"/>
      <c r="M629" s="2"/>
      <c r="N629" s="2"/>
      <c r="O629" s="2"/>
      <c r="P629" s="2"/>
      <c r="Q629" s="2"/>
      <c r="R629" s="2"/>
      <c r="S629" s="2"/>
      <c r="T629" s="3"/>
      <c r="U629" s="1"/>
      <c r="V629" s="1"/>
      <c r="W629" s="1"/>
      <c r="X629" s="1"/>
      <c r="Y629" s="1"/>
      <c r="Z629" s="1"/>
      <c r="AA629" s="1"/>
      <c r="AB629" s="1"/>
    </row>
    <row r="630" spans="1:28">
      <c r="A630" s="261"/>
      <c r="B630" s="261"/>
      <c r="C630" s="115"/>
      <c r="D630" s="1"/>
      <c r="E630" s="1"/>
      <c r="F630" s="1"/>
      <c r="G630" s="1"/>
      <c r="H630" s="1"/>
      <c r="I630" s="1"/>
      <c r="J630" s="1"/>
      <c r="K630" s="1"/>
      <c r="L630" s="2"/>
      <c r="M630" s="2"/>
      <c r="N630" s="2"/>
      <c r="O630" s="2"/>
      <c r="P630" s="2"/>
      <c r="Q630" s="2"/>
      <c r="R630" s="2"/>
      <c r="S630" s="2"/>
      <c r="T630" s="3"/>
      <c r="U630" s="1"/>
      <c r="V630" s="1"/>
      <c r="W630" s="1"/>
      <c r="X630" s="1"/>
      <c r="Y630" s="1"/>
      <c r="Z630" s="1"/>
      <c r="AA630" s="1"/>
      <c r="AB630" s="1"/>
    </row>
    <row r="631" spans="1:28">
      <c r="A631" s="261"/>
      <c r="B631" s="261"/>
      <c r="C631" s="115"/>
      <c r="D631" s="1"/>
      <c r="E631" s="1"/>
      <c r="F631" s="1"/>
      <c r="G631" s="1"/>
      <c r="H631" s="1"/>
      <c r="I631" s="1"/>
      <c r="J631" s="1"/>
      <c r="K631" s="1"/>
      <c r="L631" s="2"/>
      <c r="M631" s="2"/>
      <c r="N631" s="2"/>
      <c r="O631" s="2"/>
      <c r="P631" s="2"/>
      <c r="Q631" s="2"/>
      <c r="R631" s="2"/>
      <c r="S631" s="2"/>
      <c r="T631" s="3"/>
      <c r="U631" s="1"/>
      <c r="V631" s="1"/>
      <c r="W631" s="1"/>
      <c r="X631" s="1"/>
      <c r="Y631" s="1"/>
      <c r="Z631" s="1"/>
      <c r="AA631" s="1"/>
      <c r="AB631" s="1"/>
    </row>
    <row r="632" spans="1:28">
      <c r="A632" s="261"/>
      <c r="B632" s="261"/>
      <c r="C632" s="115"/>
      <c r="D632" s="1"/>
      <c r="E632" s="1"/>
      <c r="F632" s="1"/>
      <c r="G632" s="1"/>
      <c r="H632" s="1"/>
      <c r="I632" s="1"/>
      <c r="J632" s="1"/>
      <c r="K632" s="1"/>
      <c r="L632" s="2"/>
      <c r="M632" s="2"/>
      <c r="N632" s="2"/>
      <c r="O632" s="2"/>
      <c r="P632" s="2"/>
      <c r="Q632" s="2"/>
      <c r="R632" s="2"/>
      <c r="S632" s="2"/>
      <c r="T632" s="3"/>
      <c r="U632" s="1"/>
      <c r="V632" s="1"/>
      <c r="W632" s="1"/>
      <c r="X632" s="1"/>
      <c r="Y632" s="1"/>
      <c r="Z632" s="1"/>
      <c r="AA632" s="1"/>
      <c r="AB632" s="1"/>
    </row>
    <row r="633" spans="1:28">
      <c r="A633" s="261"/>
      <c r="B633" s="261"/>
      <c r="C633" s="115"/>
      <c r="D633" s="1"/>
      <c r="E633" s="1"/>
      <c r="F633" s="1"/>
      <c r="G633" s="1"/>
      <c r="H633" s="1"/>
      <c r="I633" s="1"/>
      <c r="J633" s="1"/>
      <c r="K633" s="1"/>
      <c r="L633" s="2"/>
      <c r="M633" s="2"/>
      <c r="N633" s="2"/>
      <c r="O633" s="2"/>
      <c r="P633" s="2"/>
      <c r="Q633" s="2"/>
      <c r="R633" s="2"/>
      <c r="S633" s="2"/>
      <c r="T633" s="3"/>
      <c r="U633" s="1"/>
      <c r="V633" s="1"/>
      <c r="W633" s="1"/>
      <c r="X633" s="1"/>
      <c r="Y633" s="1"/>
      <c r="Z633" s="1"/>
      <c r="AA633" s="1"/>
      <c r="AB633" s="1"/>
    </row>
    <row r="634" spans="1:28">
      <c r="A634" s="261"/>
      <c r="B634" s="261"/>
      <c r="C634" s="115"/>
      <c r="D634" s="1"/>
      <c r="E634" s="1"/>
      <c r="F634" s="1"/>
      <c r="G634" s="1"/>
      <c r="H634" s="1"/>
      <c r="I634" s="1"/>
      <c r="J634" s="1"/>
      <c r="K634" s="1"/>
      <c r="L634" s="2"/>
      <c r="M634" s="2"/>
      <c r="N634" s="2"/>
      <c r="O634" s="2"/>
      <c r="P634" s="2"/>
      <c r="Q634" s="2"/>
      <c r="R634" s="2"/>
      <c r="S634" s="2"/>
      <c r="T634" s="3"/>
      <c r="U634" s="1"/>
      <c r="V634" s="1"/>
      <c r="W634" s="1"/>
      <c r="X634" s="1"/>
      <c r="Y634" s="1"/>
      <c r="Z634" s="1"/>
      <c r="AA634" s="1"/>
      <c r="AB634" s="1"/>
    </row>
    <row r="635" spans="1:28">
      <c r="A635" s="260"/>
      <c r="B635" s="260"/>
      <c r="C635" s="38"/>
      <c r="D635" s="4"/>
      <c r="E635" s="4"/>
      <c r="F635" s="4"/>
      <c r="G635" s="4"/>
      <c r="H635" s="4"/>
      <c r="I635" s="4"/>
      <c r="J635" s="4"/>
      <c r="K635" s="4"/>
      <c r="L635" s="5"/>
      <c r="M635" s="5"/>
      <c r="N635" s="5"/>
      <c r="O635" s="5"/>
      <c r="P635" s="5"/>
      <c r="Q635" s="5"/>
      <c r="R635" s="5"/>
      <c r="S635" s="5"/>
      <c r="T635" s="6"/>
      <c r="U635" s="1"/>
      <c r="V635" s="1"/>
      <c r="W635" s="1"/>
      <c r="X635" s="1"/>
      <c r="Y635" s="1"/>
      <c r="Z635" s="1"/>
      <c r="AA635" s="1"/>
      <c r="AB635" s="1"/>
    </row>
    <row r="636" spans="1:28">
      <c r="A636" s="261"/>
      <c r="B636" s="261"/>
      <c r="C636" s="115"/>
      <c r="D636" s="1"/>
      <c r="E636" s="1"/>
      <c r="F636" s="1"/>
      <c r="G636" s="1"/>
      <c r="H636" s="1"/>
      <c r="I636" s="1"/>
      <c r="J636" s="1"/>
      <c r="K636" s="1"/>
      <c r="L636" s="2"/>
      <c r="M636" s="2"/>
      <c r="N636" s="2"/>
      <c r="O636" s="2"/>
      <c r="P636" s="2"/>
      <c r="Q636" s="2"/>
      <c r="R636" s="2"/>
      <c r="S636" s="2"/>
      <c r="T636" s="3"/>
      <c r="U636" s="1"/>
      <c r="V636" s="1"/>
      <c r="W636" s="1"/>
      <c r="X636" s="1"/>
      <c r="Y636" s="1"/>
      <c r="Z636" s="1"/>
      <c r="AA636" s="1"/>
      <c r="AB636" s="1"/>
    </row>
    <row r="637" spans="1:28">
      <c r="A637" s="261"/>
      <c r="B637" s="261"/>
      <c r="C637" s="115"/>
      <c r="D637" s="1"/>
      <c r="E637" s="1"/>
      <c r="F637" s="1"/>
      <c r="G637" s="1"/>
      <c r="H637" s="1"/>
      <c r="I637" s="1"/>
      <c r="J637" s="1"/>
      <c r="K637" s="1"/>
      <c r="L637" s="2"/>
      <c r="M637" s="2"/>
      <c r="N637" s="2"/>
      <c r="O637" s="2"/>
      <c r="P637" s="2"/>
      <c r="Q637" s="2"/>
      <c r="R637" s="2"/>
      <c r="S637" s="2"/>
      <c r="T637" s="3"/>
      <c r="U637" s="1"/>
      <c r="V637" s="1"/>
      <c r="W637" s="1"/>
      <c r="X637" s="1"/>
      <c r="Y637" s="1"/>
      <c r="Z637" s="1"/>
      <c r="AA637" s="1"/>
      <c r="AB637" s="1"/>
    </row>
    <row r="638" spans="1:28">
      <c r="A638" s="261"/>
      <c r="B638" s="261"/>
      <c r="C638" s="115"/>
      <c r="D638" s="1"/>
      <c r="E638" s="1"/>
      <c r="F638" s="1"/>
      <c r="G638" s="1"/>
      <c r="H638" s="1"/>
      <c r="I638" s="1"/>
      <c r="J638" s="1"/>
      <c r="K638" s="1"/>
      <c r="L638" s="2"/>
      <c r="M638" s="2"/>
      <c r="N638" s="2"/>
      <c r="O638" s="2"/>
      <c r="P638" s="2"/>
      <c r="Q638" s="2"/>
      <c r="R638" s="2"/>
      <c r="S638" s="2"/>
      <c r="T638" s="3"/>
      <c r="U638" s="1"/>
      <c r="V638" s="1"/>
      <c r="W638" s="1"/>
      <c r="X638" s="1"/>
      <c r="Y638" s="1"/>
      <c r="Z638" s="1"/>
      <c r="AA638" s="1"/>
      <c r="AB638" s="1"/>
    </row>
    <row r="639" spans="1:28">
      <c r="A639" s="261"/>
      <c r="B639" s="261"/>
      <c r="C639" s="115"/>
      <c r="D639" s="1"/>
      <c r="E639" s="1"/>
      <c r="F639" s="1"/>
      <c r="G639" s="1"/>
      <c r="H639" s="1"/>
      <c r="I639" s="1"/>
      <c r="J639" s="1"/>
      <c r="K639" s="1"/>
      <c r="L639" s="2"/>
      <c r="M639" s="2"/>
      <c r="N639" s="2"/>
      <c r="O639" s="2"/>
      <c r="P639" s="2"/>
      <c r="Q639" s="2"/>
      <c r="R639" s="2"/>
      <c r="S639" s="2"/>
      <c r="T639" s="3"/>
      <c r="U639" s="1"/>
      <c r="V639" s="1"/>
      <c r="W639" s="1"/>
      <c r="X639" s="1"/>
      <c r="Y639" s="1"/>
      <c r="Z639" s="1"/>
      <c r="AA639" s="1"/>
      <c r="AB639" s="1"/>
    </row>
    <row r="640" spans="1:28">
      <c r="A640" s="261"/>
      <c r="B640" s="261"/>
      <c r="C640" s="115"/>
      <c r="D640" s="1"/>
      <c r="E640" s="1"/>
      <c r="F640" s="1"/>
      <c r="G640" s="1"/>
      <c r="H640" s="1"/>
      <c r="I640" s="1"/>
      <c r="J640" s="1"/>
      <c r="K640" s="1"/>
      <c r="L640" s="2"/>
      <c r="M640" s="2"/>
      <c r="N640" s="2"/>
      <c r="O640" s="2"/>
      <c r="P640" s="2"/>
      <c r="Q640" s="2"/>
      <c r="R640" s="2"/>
      <c r="S640" s="2"/>
      <c r="T640" s="3"/>
      <c r="U640" s="1"/>
      <c r="V640" s="1"/>
      <c r="W640" s="1"/>
      <c r="X640" s="1"/>
      <c r="Y640" s="1"/>
      <c r="Z640" s="1"/>
      <c r="AA640" s="1"/>
      <c r="AB640" s="1"/>
    </row>
    <row r="641" spans="1:28">
      <c r="A641" s="261"/>
      <c r="B641" s="261"/>
      <c r="C641" s="115"/>
      <c r="D641" s="1"/>
      <c r="E641" s="1"/>
      <c r="F641" s="1"/>
      <c r="G641" s="1"/>
      <c r="H641" s="1"/>
      <c r="I641" s="1"/>
      <c r="J641" s="1"/>
      <c r="K641" s="1"/>
      <c r="L641" s="2"/>
      <c r="M641" s="2"/>
      <c r="N641" s="2"/>
      <c r="O641" s="2"/>
      <c r="P641" s="2"/>
      <c r="Q641" s="2"/>
      <c r="R641" s="2"/>
      <c r="S641" s="2"/>
      <c r="T641" s="3"/>
      <c r="U641" s="1"/>
      <c r="V641" s="1"/>
      <c r="W641" s="1"/>
      <c r="X641" s="1"/>
      <c r="Y641" s="1"/>
      <c r="Z641" s="1"/>
      <c r="AA641" s="1"/>
      <c r="AB641" s="1"/>
    </row>
    <row r="642" spans="1:28">
      <c r="A642" s="261"/>
      <c r="B642" s="261"/>
      <c r="C642" s="115"/>
      <c r="D642" s="1"/>
      <c r="E642" s="1"/>
      <c r="F642" s="1"/>
      <c r="G642" s="1"/>
      <c r="H642" s="1"/>
      <c r="I642" s="1"/>
      <c r="J642" s="1"/>
      <c r="K642" s="1"/>
      <c r="L642" s="2"/>
      <c r="M642" s="2"/>
      <c r="N642" s="2"/>
      <c r="O642" s="2"/>
      <c r="P642" s="2"/>
      <c r="Q642" s="2"/>
      <c r="R642" s="2"/>
      <c r="S642" s="2"/>
      <c r="T642" s="3"/>
      <c r="U642" s="1"/>
      <c r="V642" s="1"/>
      <c r="W642" s="1"/>
      <c r="X642" s="1"/>
      <c r="Y642" s="1"/>
      <c r="Z642" s="1"/>
      <c r="AA642" s="1"/>
      <c r="AB642" s="1"/>
    </row>
    <row r="643" spans="1:28">
      <c r="A643" s="261"/>
      <c r="B643" s="261"/>
      <c r="C643" s="115"/>
      <c r="D643" s="1"/>
      <c r="E643" s="1"/>
      <c r="F643" s="1"/>
      <c r="G643" s="1"/>
      <c r="H643" s="1"/>
      <c r="I643" s="1"/>
      <c r="J643" s="1"/>
      <c r="K643" s="1"/>
      <c r="L643" s="2"/>
      <c r="M643" s="2"/>
      <c r="N643" s="2"/>
      <c r="O643" s="2"/>
      <c r="P643" s="2"/>
      <c r="Q643" s="2"/>
      <c r="R643" s="2"/>
      <c r="S643" s="2"/>
      <c r="T643" s="3"/>
      <c r="U643" s="1"/>
      <c r="V643" s="1"/>
      <c r="W643" s="1"/>
      <c r="X643" s="1"/>
      <c r="Y643" s="1"/>
      <c r="Z643" s="1"/>
      <c r="AA643" s="1"/>
      <c r="AB643" s="1"/>
    </row>
    <row r="644" spans="1:28">
      <c r="A644" s="261"/>
      <c r="B644" s="261"/>
      <c r="C644" s="115"/>
      <c r="D644" s="1"/>
      <c r="E644" s="1"/>
      <c r="F644" s="1"/>
      <c r="G644" s="1"/>
      <c r="H644" s="1"/>
      <c r="I644" s="1"/>
      <c r="J644" s="1"/>
      <c r="K644" s="1"/>
      <c r="L644" s="2"/>
      <c r="M644" s="2"/>
      <c r="N644" s="2"/>
      <c r="O644" s="2"/>
      <c r="P644" s="2"/>
      <c r="Q644" s="2"/>
      <c r="R644" s="2"/>
      <c r="S644" s="2"/>
      <c r="T644" s="3"/>
      <c r="U644" s="1"/>
      <c r="V644" s="1"/>
      <c r="W644" s="1"/>
      <c r="X644" s="1"/>
      <c r="Y644" s="1"/>
      <c r="Z644" s="1"/>
      <c r="AA644" s="1"/>
      <c r="AB644" s="1"/>
    </row>
    <row r="645" spans="1:28">
      <c r="A645" s="261"/>
      <c r="B645" s="261"/>
      <c r="C645" s="115"/>
      <c r="D645" s="1"/>
      <c r="E645" s="1"/>
      <c r="F645" s="1"/>
      <c r="G645" s="1"/>
      <c r="H645" s="1"/>
      <c r="I645" s="1"/>
      <c r="J645" s="1"/>
      <c r="K645" s="1"/>
      <c r="L645" s="2"/>
      <c r="M645" s="2"/>
      <c r="N645" s="2"/>
      <c r="O645" s="2"/>
      <c r="P645" s="2"/>
      <c r="Q645" s="2"/>
      <c r="R645" s="2"/>
      <c r="S645" s="2"/>
      <c r="T645" s="3"/>
      <c r="U645" s="1"/>
      <c r="V645" s="1"/>
      <c r="W645" s="1"/>
      <c r="X645" s="1"/>
      <c r="Y645" s="1"/>
      <c r="Z645" s="1"/>
      <c r="AA645" s="1"/>
      <c r="AB645" s="1"/>
    </row>
    <row r="646" spans="1:28">
      <c r="A646" s="261"/>
      <c r="B646" s="261"/>
      <c r="C646" s="115"/>
      <c r="D646" s="1"/>
      <c r="E646" s="1"/>
      <c r="F646" s="1"/>
      <c r="G646" s="1"/>
      <c r="H646" s="1"/>
      <c r="I646" s="1"/>
      <c r="J646" s="1"/>
      <c r="K646" s="1"/>
      <c r="L646" s="2"/>
      <c r="M646" s="2"/>
      <c r="N646" s="2"/>
      <c r="O646" s="2"/>
      <c r="P646" s="2"/>
      <c r="Q646" s="2"/>
      <c r="R646" s="2"/>
      <c r="S646" s="2"/>
      <c r="T646" s="3"/>
      <c r="U646" s="1"/>
      <c r="V646" s="1"/>
      <c r="W646" s="1"/>
      <c r="X646" s="1"/>
      <c r="Y646" s="1"/>
      <c r="Z646" s="1"/>
      <c r="AA646" s="1"/>
      <c r="AB646" s="1"/>
    </row>
    <row r="647" spans="1:28">
      <c r="A647" s="261"/>
      <c r="B647" s="261"/>
      <c r="C647" s="115"/>
      <c r="D647" s="1"/>
      <c r="E647" s="1"/>
      <c r="F647" s="1"/>
      <c r="G647" s="1"/>
      <c r="H647" s="1"/>
      <c r="I647" s="1"/>
      <c r="J647" s="1"/>
      <c r="K647" s="1"/>
      <c r="L647" s="2"/>
      <c r="M647" s="2"/>
      <c r="N647" s="2"/>
      <c r="O647" s="2"/>
      <c r="P647" s="2"/>
      <c r="Q647" s="2"/>
      <c r="R647" s="2"/>
      <c r="S647" s="2"/>
      <c r="T647" s="3"/>
      <c r="U647" s="1"/>
      <c r="V647" s="1"/>
      <c r="W647" s="1"/>
      <c r="X647" s="1"/>
      <c r="Y647" s="1"/>
      <c r="Z647" s="1"/>
      <c r="AA647" s="1"/>
      <c r="AB647" s="1"/>
    </row>
    <row r="648" spans="1:28">
      <c r="A648" s="261"/>
      <c r="B648" s="261"/>
      <c r="C648" s="115"/>
      <c r="D648" s="1"/>
      <c r="E648" s="1"/>
      <c r="F648" s="1"/>
      <c r="G648" s="1"/>
      <c r="H648" s="1"/>
      <c r="I648" s="1"/>
      <c r="J648" s="1"/>
      <c r="K648" s="1"/>
      <c r="L648" s="2"/>
      <c r="M648" s="2"/>
      <c r="N648" s="2"/>
      <c r="O648" s="2"/>
      <c r="P648" s="2"/>
      <c r="Q648" s="2"/>
      <c r="R648" s="2"/>
      <c r="S648" s="2"/>
      <c r="T648" s="3"/>
      <c r="U648" s="1"/>
      <c r="V648" s="1"/>
      <c r="W648" s="1"/>
      <c r="X648" s="1"/>
      <c r="Y648" s="1"/>
      <c r="Z648" s="1"/>
      <c r="AA648" s="1"/>
      <c r="AB648" s="1"/>
    </row>
    <row r="649" spans="1:28">
      <c r="A649" s="261"/>
      <c r="B649" s="261"/>
      <c r="C649" s="115"/>
      <c r="D649" s="1"/>
      <c r="E649" s="1"/>
      <c r="F649" s="1"/>
      <c r="G649" s="1"/>
      <c r="H649" s="1"/>
      <c r="I649" s="1"/>
      <c r="J649" s="1"/>
      <c r="K649" s="1"/>
      <c r="L649" s="2"/>
      <c r="M649" s="2"/>
      <c r="N649" s="2"/>
      <c r="O649" s="2"/>
      <c r="P649" s="2"/>
      <c r="Q649" s="2"/>
      <c r="R649" s="2"/>
      <c r="S649" s="2"/>
      <c r="T649" s="3"/>
      <c r="U649" s="1"/>
      <c r="V649" s="1"/>
      <c r="W649" s="1"/>
      <c r="X649" s="1"/>
      <c r="Y649" s="1"/>
      <c r="Z649" s="1"/>
      <c r="AA649" s="1"/>
      <c r="AB649" s="1"/>
    </row>
    <row r="650" spans="1:28">
      <c r="A650" s="261"/>
      <c r="B650" s="261"/>
      <c r="C650" s="115"/>
      <c r="D650" s="1"/>
      <c r="E650" s="1"/>
      <c r="F650" s="1"/>
      <c r="G650" s="1"/>
      <c r="H650" s="1"/>
      <c r="I650" s="1"/>
      <c r="J650" s="1"/>
      <c r="K650" s="1"/>
      <c r="L650" s="2"/>
      <c r="M650" s="2"/>
      <c r="N650" s="2"/>
      <c r="O650" s="2"/>
      <c r="P650" s="2"/>
      <c r="Q650" s="2"/>
      <c r="R650" s="2"/>
      <c r="S650" s="2"/>
      <c r="T650" s="3"/>
      <c r="U650" s="1"/>
      <c r="V650" s="1"/>
      <c r="W650" s="1"/>
      <c r="X650" s="1"/>
      <c r="Y650" s="1"/>
      <c r="Z650" s="1"/>
      <c r="AA650" s="1"/>
      <c r="AB650" s="1"/>
    </row>
    <row r="651" spans="1:28">
      <c r="A651" s="261"/>
      <c r="B651" s="261"/>
      <c r="C651" s="115"/>
      <c r="D651" s="1"/>
      <c r="E651" s="1"/>
      <c r="F651" s="1"/>
      <c r="G651" s="1"/>
      <c r="H651" s="1"/>
      <c r="I651" s="1"/>
      <c r="J651" s="1"/>
      <c r="K651" s="1"/>
      <c r="L651" s="2"/>
      <c r="M651" s="2"/>
      <c r="N651" s="2"/>
      <c r="O651" s="2"/>
      <c r="P651" s="2"/>
      <c r="Q651" s="2"/>
      <c r="R651" s="2"/>
      <c r="S651" s="2"/>
      <c r="T651" s="3"/>
      <c r="U651" s="1"/>
      <c r="V651" s="1"/>
      <c r="W651" s="1"/>
      <c r="X651" s="1"/>
      <c r="Y651" s="1"/>
      <c r="Z651" s="1"/>
      <c r="AA651" s="1"/>
      <c r="AB651" s="1"/>
    </row>
    <row r="652" spans="1:28">
      <c r="A652" s="261"/>
      <c r="B652" s="261"/>
      <c r="C652" s="115"/>
      <c r="D652" s="1"/>
      <c r="E652" s="1"/>
      <c r="F652" s="1"/>
      <c r="G652" s="1"/>
      <c r="H652" s="1"/>
      <c r="I652" s="1"/>
      <c r="J652" s="1"/>
      <c r="K652" s="1"/>
      <c r="L652" s="2"/>
      <c r="M652" s="2"/>
      <c r="N652" s="2"/>
      <c r="O652" s="2"/>
      <c r="P652" s="2"/>
      <c r="Q652" s="2"/>
      <c r="R652" s="2"/>
      <c r="S652" s="2"/>
      <c r="T652" s="3"/>
      <c r="U652" s="1"/>
      <c r="V652" s="1"/>
      <c r="W652" s="1"/>
      <c r="X652" s="1"/>
      <c r="Y652" s="1"/>
      <c r="Z652" s="1"/>
      <c r="AA652" s="1"/>
      <c r="AB652" s="1"/>
    </row>
    <row r="653" spans="1:28">
      <c r="A653" s="261"/>
      <c r="B653" s="261"/>
      <c r="C653" s="115"/>
      <c r="D653" s="1"/>
      <c r="E653" s="1"/>
      <c r="F653" s="1"/>
      <c r="G653" s="1"/>
      <c r="H653" s="1"/>
      <c r="I653" s="1"/>
      <c r="J653" s="1"/>
      <c r="K653" s="1"/>
      <c r="L653" s="2"/>
      <c r="M653" s="2"/>
      <c r="N653" s="2"/>
      <c r="O653" s="2"/>
      <c r="P653" s="2"/>
      <c r="Q653" s="2"/>
      <c r="R653" s="2"/>
      <c r="S653" s="2"/>
      <c r="T653" s="3"/>
      <c r="U653" s="1"/>
      <c r="V653" s="1"/>
      <c r="W653" s="1"/>
      <c r="X653" s="1"/>
      <c r="Y653" s="1"/>
      <c r="Z653" s="1"/>
      <c r="AA653" s="1"/>
      <c r="AB653" s="1"/>
    </row>
    <row r="654" spans="1:28">
      <c r="A654" s="261"/>
      <c r="B654" s="261"/>
      <c r="C654" s="115"/>
      <c r="D654" s="1"/>
      <c r="E654" s="1"/>
      <c r="F654" s="1"/>
      <c r="G654" s="1"/>
      <c r="H654" s="1"/>
      <c r="I654" s="1"/>
      <c r="J654" s="1"/>
      <c r="K654" s="1"/>
      <c r="L654" s="2"/>
      <c r="M654" s="2"/>
      <c r="N654" s="2"/>
      <c r="O654" s="2"/>
      <c r="P654" s="2"/>
      <c r="Q654" s="2"/>
      <c r="R654" s="2"/>
      <c r="S654" s="2"/>
      <c r="T654" s="3"/>
      <c r="U654" s="1"/>
      <c r="V654" s="1"/>
      <c r="W654" s="1"/>
      <c r="X654" s="1"/>
      <c r="Y654" s="1"/>
      <c r="Z654" s="1"/>
      <c r="AA654" s="1"/>
      <c r="AB654" s="1"/>
    </row>
    <row r="655" spans="1:28">
      <c r="A655" s="261"/>
      <c r="B655" s="261"/>
      <c r="C655" s="115"/>
      <c r="D655" s="1"/>
      <c r="E655" s="1"/>
      <c r="F655" s="1"/>
      <c r="G655" s="1"/>
      <c r="H655" s="1"/>
      <c r="I655" s="1"/>
      <c r="J655" s="1"/>
      <c r="K655" s="1"/>
      <c r="L655" s="2"/>
      <c r="M655" s="2"/>
      <c r="N655" s="2"/>
      <c r="O655" s="2"/>
      <c r="P655" s="2"/>
      <c r="Q655" s="2"/>
      <c r="R655" s="2"/>
      <c r="S655" s="2"/>
      <c r="T655" s="3"/>
      <c r="U655" s="1"/>
      <c r="V655" s="1"/>
      <c r="W655" s="1"/>
      <c r="X655" s="1"/>
      <c r="Y655" s="1"/>
      <c r="Z655" s="1"/>
      <c r="AA655" s="1"/>
      <c r="AB655" s="1"/>
    </row>
    <row r="656" spans="1:28">
      <c r="A656" s="261"/>
      <c r="B656" s="261"/>
      <c r="C656" s="115"/>
      <c r="D656" s="1"/>
      <c r="E656" s="1"/>
      <c r="F656" s="1"/>
      <c r="G656" s="1"/>
      <c r="H656" s="1"/>
      <c r="I656" s="1"/>
      <c r="J656" s="1"/>
      <c r="K656" s="1"/>
      <c r="L656" s="2"/>
      <c r="M656" s="2"/>
      <c r="N656" s="2"/>
      <c r="O656" s="2"/>
      <c r="P656" s="2"/>
      <c r="Q656" s="2"/>
      <c r="R656" s="2"/>
      <c r="S656" s="2"/>
      <c r="T656" s="3"/>
      <c r="U656" s="1"/>
      <c r="V656" s="1"/>
      <c r="W656" s="1"/>
      <c r="X656" s="1"/>
      <c r="Y656" s="1"/>
      <c r="Z656" s="1"/>
      <c r="AA656" s="1"/>
      <c r="AB656" s="1"/>
    </row>
    <row r="657" spans="1:28">
      <c r="A657" s="260"/>
      <c r="B657" s="260"/>
      <c r="C657" s="38"/>
      <c r="D657" s="4"/>
      <c r="E657" s="4"/>
      <c r="F657" s="4"/>
      <c r="G657" s="4"/>
      <c r="H657" s="4"/>
      <c r="I657" s="4"/>
      <c r="J657" s="4"/>
      <c r="K657" s="4"/>
      <c r="L657" s="5"/>
      <c r="M657" s="5"/>
      <c r="N657" s="5"/>
      <c r="O657" s="5"/>
      <c r="P657" s="5"/>
      <c r="Q657" s="5"/>
      <c r="R657" s="5"/>
      <c r="S657" s="5"/>
      <c r="T657" s="6"/>
      <c r="U657" s="1"/>
      <c r="V657" s="1"/>
      <c r="W657" s="1"/>
      <c r="X657" s="1"/>
      <c r="Y657" s="1"/>
      <c r="Z657" s="1"/>
      <c r="AA657" s="1"/>
      <c r="AB657" s="1"/>
    </row>
    <row r="658" spans="1:28">
      <c r="A658" s="261"/>
      <c r="B658" s="261"/>
      <c r="C658" s="115"/>
      <c r="D658" s="1"/>
      <c r="E658" s="1"/>
      <c r="F658" s="1"/>
      <c r="G658" s="1"/>
      <c r="H658" s="1"/>
      <c r="I658" s="1"/>
      <c r="J658" s="1"/>
      <c r="K658" s="1"/>
      <c r="L658" s="2"/>
      <c r="M658" s="2"/>
      <c r="N658" s="2"/>
      <c r="O658" s="2"/>
      <c r="P658" s="2"/>
      <c r="Q658" s="2"/>
      <c r="R658" s="2"/>
      <c r="S658" s="2"/>
      <c r="T658" s="3"/>
      <c r="U658" s="1"/>
      <c r="V658" s="1"/>
      <c r="W658" s="1"/>
      <c r="X658" s="1"/>
      <c r="Y658" s="1"/>
      <c r="Z658" s="1"/>
      <c r="AA658" s="1"/>
      <c r="AB658" s="1"/>
    </row>
    <row r="659" spans="1:28">
      <c r="A659" s="261"/>
      <c r="B659" s="261"/>
      <c r="C659" s="115"/>
      <c r="D659" s="1"/>
      <c r="E659" s="1"/>
      <c r="F659" s="1"/>
      <c r="G659" s="1"/>
      <c r="H659" s="1"/>
      <c r="I659" s="1"/>
      <c r="J659" s="1"/>
      <c r="K659" s="1"/>
      <c r="L659" s="2"/>
      <c r="M659" s="2"/>
      <c r="N659" s="2"/>
      <c r="O659" s="2"/>
      <c r="P659" s="2"/>
      <c r="Q659" s="2"/>
      <c r="R659" s="2"/>
      <c r="S659" s="2"/>
      <c r="T659" s="3"/>
      <c r="U659" s="1"/>
      <c r="V659" s="1"/>
      <c r="W659" s="1"/>
      <c r="X659" s="1"/>
      <c r="Y659" s="1"/>
      <c r="Z659" s="1"/>
      <c r="AA659" s="1"/>
      <c r="AB659" s="1"/>
    </row>
    <row r="660" spans="1:28">
      <c r="A660" s="261"/>
      <c r="B660" s="261"/>
      <c r="C660" s="115"/>
      <c r="D660" s="1"/>
      <c r="E660" s="1"/>
      <c r="F660" s="1"/>
      <c r="G660" s="1"/>
      <c r="H660" s="1"/>
      <c r="I660" s="1"/>
      <c r="J660" s="1"/>
      <c r="K660" s="1"/>
      <c r="L660" s="2"/>
      <c r="M660" s="2"/>
      <c r="N660" s="2"/>
      <c r="O660" s="2"/>
      <c r="P660" s="2"/>
      <c r="Q660" s="2"/>
      <c r="R660" s="2"/>
      <c r="S660" s="2"/>
      <c r="T660" s="3"/>
      <c r="U660" s="1"/>
      <c r="V660" s="1"/>
      <c r="W660" s="1"/>
      <c r="X660" s="1"/>
      <c r="Y660" s="1"/>
      <c r="Z660" s="1"/>
      <c r="AA660" s="1"/>
      <c r="AB660" s="1"/>
    </row>
    <row r="661" spans="1:28">
      <c r="A661" s="261"/>
      <c r="B661" s="261"/>
      <c r="C661" s="115"/>
      <c r="D661" s="1"/>
      <c r="E661" s="1"/>
      <c r="F661" s="1"/>
      <c r="G661" s="1"/>
      <c r="H661" s="1"/>
      <c r="I661" s="1"/>
      <c r="J661" s="1"/>
      <c r="K661" s="1"/>
      <c r="L661" s="2"/>
      <c r="M661" s="2"/>
      <c r="N661" s="2"/>
      <c r="O661" s="2"/>
      <c r="P661" s="2"/>
      <c r="Q661" s="2"/>
      <c r="R661" s="2"/>
      <c r="S661" s="2"/>
      <c r="T661" s="3"/>
      <c r="U661" s="1"/>
      <c r="V661" s="1"/>
      <c r="W661" s="1"/>
      <c r="X661" s="1"/>
      <c r="Y661" s="1"/>
      <c r="Z661" s="1"/>
      <c r="AA661" s="1"/>
      <c r="AB661" s="1"/>
    </row>
    <row r="662" spans="1:28">
      <c r="A662" s="261"/>
      <c r="B662" s="261"/>
      <c r="C662" s="115"/>
      <c r="D662" s="1"/>
      <c r="E662" s="1"/>
      <c r="F662" s="1"/>
      <c r="G662" s="1"/>
      <c r="H662" s="1"/>
      <c r="I662" s="1"/>
      <c r="J662" s="1"/>
      <c r="K662" s="1"/>
      <c r="L662" s="2"/>
      <c r="M662" s="2"/>
      <c r="N662" s="2"/>
      <c r="O662" s="2"/>
      <c r="P662" s="2"/>
      <c r="Q662" s="2"/>
      <c r="R662" s="2"/>
      <c r="S662" s="2"/>
      <c r="T662" s="3"/>
      <c r="U662" s="1"/>
      <c r="V662" s="1"/>
      <c r="W662" s="1"/>
      <c r="X662" s="1"/>
      <c r="Y662" s="1"/>
      <c r="Z662" s="1"/>
      <c r="AA662" s="1"/>
      <c r="AB662" s="1"/>
    </row>
    <row r="663" spans="1:28">
      <c r="A663" s="261"/>
      <c r="B663" s="261"/>
      <c r="C663" s="115"/>
      <c r="D663" s="1"/>
      <c r="E663" s="1"/>
      <c r="F663" s="1"/>
      <c r="G663" s="1"/>
      <c r="H663" s="1"/>
      <c r="I663" s="1"/>
      <c r="J663" s="1"/>
      <c r="K663" s="1"/>
      <c r="L663" s="2"/>
      <c r="M663" s="2"/>
      <c r="N663" s="2"/>
      <c r="O663" s="2"/>
      <c r="P663" s="2"/>
      <c r="Q663" s="2"/>
      <c r="R663" s="2"/>
      <c r="S663" s="2"/>
      <c r="T663" s="3"/>
      <c r="U663" s="1"/>
      <c r="V663" s="1"/>
      <c r="W663" s="1"/>
      <c r="X663" s="1"/>
      <c r="Y663" s="1"/>
      <c r="Z663" s="1"/>
      <c r="AA663" s="1"/>
      <c r="AB663" s="1"/>
    </row>
    <row r="664" spans="1:28">
      <c r="A664" s="261"/>
      <c r="B664" s="261"/>
      <c r="C664" s="115"/>
      <c r="D664" s="1"/>
      <c r="E664" s="1"/>
      <c r="F664" s="1"/>
      <c r="G664" s="1"/>
      <c r="H664" s="1"/>
      <c r="I664" s="1"/>
      <c r="J664" s="1"/>
      <c r="K664" s="1"/>
      <c r="L664" s="2"/>
      <c r="M664" s="2"/>
      <c r="N664" s="2"/>
      <c r="O664" s="2"/>
      <c r="P664" s="2"/>
      <c r="Q664" s="2"/>
      <c r="R664" s="2"/>
      <c r="S664" s="2"/>
      <c r="T664" s="3"/>
      <c r="U664" s="1"/>
      <c r="V664" s="1"/>
      <c r="W664" s="1"/>
      <c r="X664" s="1"/>
      <c r="Y664" s="1"/>
      <c r="Z664" s="1"/>
      <c r="AA664" s="1"/>
      <c r="AB664" s="1"/>
    </row>
    <row r="665" spans="1:28">
      <c r="A665" s="261"/>
      <c r="B665" s="261"/>
      <c r="C665" s="115"/>
      <c r="D665" s="1"/>
      <c r="E665" s="1"/>
      <c r="F665" s="1"/>
      <c r="G665" s="1"/>
      <c r="H665" s="1"/>
      <c r="I665" s="1"/>
      <c r="J665" s="1"/>
      <c r="K665" s="1"/>
      <c r="L665" s="2"/>
      <c r="M665" s="2"/>
      <c r="N665" s="2"/>
      <c r="O665" s="2"/>
      <c r="P665" s="2"/>
      <c r="Q665" s="2"/>
      <c r="R665" s="2"/>
      <c r="S665" s="2"/>
      <c r="T665" s="3"/>
      <c r="U665" s="1"/>
      <c r="V665" s="1"/>
      <c r="W665" s="1"/>
      <c r="X665" s="1"/>
      <c r="Y665" s="1"/>
      <c r="Z665" s="1"/>
      <c r="AA665" s="1"/>
      <c r="AB665" s="1"/>
    </row>
    <row r="666" spans="1:28">
      <c r="A666" s="261"/>
      <c r="B666" s="261"/>
      <c r="C666" s="115"/>
      <c r="D666" s="1"/>
      <c r="E666" s="1"/>
      <c r="F666" s="1"/>
      <c r="G666" s="1"/>
      <c r="H666" s="1"/>
      <c r="I666" s="1"/>
      <c r="J666" s="1"/>
      <c r="K666" s="1"/>
      <c r="L666" s="2"/>
      <c r="M666" s="2"/>
      <c r="N666" s="2"/>
      <c r="O666" s="2"/>
      <c r="P666" s="2"/>
      <c r="Q666" s="2"/>
      <c r="R666" s="2"/>
      <c r="S666" s="2"/>
      <c r="T666" s="3"/>
      <c r="U666" s="1"/>
      <c r="V666" s="1"/>
      <c r="W666" s="1"/>
      <c r="X666" s="1"/>
      <c r="Y666" s="1"/>
      <c r="Z666" s="1"/>
      <c r="AA666" s="1"/>
      <c r="AB666" s="1"/>
    </row>
    <row r="667" spans="1:28">
      <c r="A667" s="261"/>
      <c r="B667" s="261"/>
      <c r="C667" s="115"/>
      <c r="D667" s="1"/>
      <c r="E667" s="1"/>
      <c r="F667" s="1"/>
      <c r="G667" s="1"/>
      <c r="H667" s="1"/>
      <c r="I667" s="1"/>
      <c r="J667" s="1"/>
      <c r="K667" s="1"/>
      <c r="L667" s="2"/>
      <c r="M667" s="2"/>
      <c r="N667" s="2"/>
      <c r="O667" s="2"/>
      <c r="P667" s="2"/>
      <c r="Q667" s="2"/>
      <c r="R667" s="2"/>
      <c r="S667" s="2"/>
      <c r="T667" s="3"/>
      <c r="U667" s="1"/>
      <c r="V667" s="1"/>
      <c r="W667" s="1"/>
      <c r="X667" s="1"/>
      <c r="Y667" s="1"/>
      <c r="Z667" s="1"/>
      <c r="AA667" s="1"/>
      <c r="AB667" s="1"/>
    </row>
    <row r="668" spans="1:28">
      <c r="A668" s="261"/>
      <c r="B668" s="261"/>
      <c r="C668" s="115"/>
      <c r="D668" s="1"/>
      <c r="E668" s="1"/>
      <c r="F668" s="1"/>
      <c r="G668" s="1"/>
      <c r="H668" s="1"/>
      <c r="I668" s="1"/>
      <c r="J668" s="1"/>
      <c r="K668" s="1"/>
      <c r="L668" s="2"/>
      <c r="M668" s="2"/>
      <c r="N668" s="2"/>
      <c r="O668" s="2"/>
      <c r="P668" s="2"/>
      <c r="Q668" s="2"/>
      <c r="R668" s="2"/>
      <c r="S668" s="2"/>
      <c r="T668" s="3"/>
      <c r="U668" s="1"/>
      <c r="V668" s="1"/>
      <c r="W668" s="1"/>
      <c r="X668" s="1"/>
      <c r="Y668" s="1"/>
      <c r="Z668" s="1"/>
      <c r="AA668" s="1"/>
      <c r="AB668" s="1"/>
    </row>
    <row r="669" spans="1:28">
      <c r="A669" s="261"/>
      <c r="B669" s="261"/>
      <c r="C669" s="115"/>
      <c r="D669" s="1"/>
      <c r="E669" s="1"/>
      <c r="F669" s="1"/>
      <c r="G669" s="1"/>
      <c r="H669" s="1"/>
      <c r="I669" s="1"/>
      <c r="J669" s="1"/>
      <c r="K669" s="1"/>
      <c r="L669" s="2"/>
      <c r="M669" s="2"/>
      <c r="N669" s="2"/>
      <c r="O669" s="2"/>
      <c r="P669" s="2"/>
      <c r="Q669" s="2"/>
      <c r="R669" s="2"/>
      <c r="S669" s="2"/>
      <c r="T669" s="3"/>
      <c r="U669" s="1"/>
      <c r="V669" s="1"/>
      <c r="W669" s="1"/>
      <c r="X669" s="1"/>
      <c r="Y669" s="1"/>
      <c r="Z669" s="1"/>
      <c r="AA669" s="1"/>
      <c r="AB669" s="1"/>
    </row>
    <row r="670" spans="1:28">
      <c r="A670" s="261"/>
      <c r="B670" s="261"/>
      <c r="C670" s="115"/>
      <c r="D670" s="1"/>
      <c r="E670" s="1"/>
      <c r="F670" s="1"/>
      <c r="G670" s="1"/>
      <c r="H670" s="1"/>
      <c r="I670" s="1"/>
      <c r="J670" s="1"/>
      <c r="K670" s="1"/>
      <c r="L670" s="2"/>
      <c r="M670" s="2"/>
      <c r="N670" s="2"/>
      <c r="O670" s="2"/>
      <c r="P670" s="2"/>
      <c r="Q670" s="2"/>
      <c r="R670" s="2"/>
      <c r="S670" s="2"/>
      <c r="T670" s="3"/>
      <c r="U670" s="1"/>
      <c r="V670" s="1"/>
      <c r="W670" s="1"/>
      <c r="X670" s="1"/>
      <c r="Y670" s="1"/>
      <c r="Z670" s="1"/>
      <c r="AA670" s="1"/>
      <c r="AB670" s="1"/>
    </row>
    <row r="671" spans="1:28">
      <c r="A671" s="261"/>
      <c r="B671" s="261"/>
      <c r="C671" s="115"/>
      <c r="D671" s="1"/>
      <c r="E671" s="1"/>
      <c r="F671" s="1"/>
      <c r="G671" s="1"/>
      <c r="H671" s="1"/>
      <c r="I671" s="1"/>
      <c r="J671" s="1"/>
      <c r="K671" s="1"/>
      <c r="L671" s="2"/>
      <c r="M671" s="2"/>
      <c r="N671" s="2"/>
      <c r="O671" s="2"/>
      <c r="P671" s="2"/>
      <c r="Q671" s="2"/>
      <c r="R671" s="2"/>
      <c r="S671" s="2"/>
      <c r="T671" s="3"/>
      <c r="U671" s="1"/>
      <c r="V671" s="1"/>
      <c r="W671" s="1"/>
      <c r="X671" s="1"/>
      <c r="Y671" s="1"/>
      <c r="Z671" s="1"/>
      <c r="AA671" s="1"/>
      <c r="AB671" s="1"/>
    </row>
    <row r="672" spans="1:28">
      <c r="A672" s="261"/>
      <c r="B672" s="261"/>
      <c r="C672" s="115"/>
      <c r="D672" s="1"/>
      <c r="E672" s="1"/>
      <c r="F672" s="1"/>
      <c r="G672" s="1"/>
      <c r="H672" s="1"/>
      <c r="I672" s="1"/>
      <c r="J672" s="1"/>
      <c r="K672" s="1"/>
      <c r="L672" s="2"/>
      <c r="M672" s="2"/>
      <c r="N672" s="2"/>
      <c r="O672" s="2"/>
      <c r="P672" s="2"/>
      <c r="Q672" s="2"/>
      <c r="R672" s="2"/>
      <c r="S672" s="2"/>
      <c r="T672" s="3"/>
      <c r="U672" s="1"/>
      <c r="V672" s="1"/>
      <c r="W672" s="1"/>
      <c r="X672" s="1"/>
      <c r="Y672" s="1"/>
      <c r="Z672" s="1"/>
      <c r="AA672" s="1"/>
      <c r="AB672" s="1"/>
    </row>
    <row r="673" spans="1:28">
      <c r="A673" s="261"/>
      <c r="B673" s="261"/>
      <c r="C673" s="115"/>
      <c r="D673" s="1"/>
      <c r="E673" s="1"/>
      <c r="F673" s="1"/>
      <c r="G673" s="1"/>
      <c r="H673" s="1"/>
      <c r="I673" s="1"/>
      <c r="J673" s="1"/>
      <c r="K673" s="1"/>
      <c r="L673" s="2"/>
      <c r="M673" s="2"/>
      <c r="N673" s="2"/>
      <c r="O673" s="2"/>
      <c r="P673" s="2"/>
      <c r="Q673" s="2"/>
      <c r="R673" s="2"/>
      <c r="S673" s="2"/>
      <c r="T673" s="3"/>
      <c r="U673" s="1"/>
      <c r="V673" s="1"/>
      <c r="W673" s="1"/>
      <c r="X673" s="1"/>
      <c r="Y673" s="1"/>
      <c r="Z673" s="1"/>
      <c r="AA673" s="1"/>
      <c r="AB673" s="1"/>
    </row>
    <row r="674" spans="1:28">
      <c r="A674" s="261"/>
      <c r="B674" s="261"/>
      <c r="C674" s="115"/>
      <c r="D674" s="1"/>
      <c r="E674" s="1"/>
      <c r="F674" s="1"/>
      <c r="G674" s="1"/>
      <c r="H674" s="1"/>
      <c r="I674" s="1"/>
      <c r="J674" s="1"/>
      <c r="K674" s="1"/>
      <c r="L674" s="2"/>
      <c r="M674" s="2"/>
      <c r="N674" s="2"/>
      <c r="O674" s="2"/>
      <c r="P674" s="2"/>
      <c r="Q674" s="2"/>
      <c r="R674" s="2"/>
      <c r="S674" s="2"/>
      <c r="T674" s="3"/>
      <c r="U674" s="1"/>
      <c r="V674" s="1"/>
      <c r="W674" s="1"/>
      <c r="X674" s="1"/>
      <c r="Y674" s="1"/>
      <c r="Z674" s="1"/>
      <c r="AA674" s="1"/>
      <c r="AB674" s="1"/>
    </row>
    <row r="675" spans="1:28">
      <c r="A675" s="261"/>
      <c r="B675" s="261"/>
      <c r="C675" s="115"/>
      <c r="D675" s="1"/>
      <c r="E675" s="1"/>
      <c r="F675" s="1"/>
      <c r="G675" s="1"/>
      <c r="H675" s="1"/>
      <c r="I675" s="1"/>
      <c r="J675" s="1"/>
      <c r="K675" s="1"/>
      <c r="L675" s="2"/>
      <c r="M675" s="2"/>
      <c r="N675" s="2"/>
      <c r="O675" s="2"/>
      <c r="P675" s="2"/>
      <c r="Q675" s="2"/>
      <c r="R675" s="2"/>
      <c r="S675" s="2"/>
      <c r="T675" s="3"/>
      <c r="U675" s="1"/>
      <c r="V675" s="1"/>
      <c r="W675" s="1"/>
      <c r="X675" s="1"/>
      <c r="Y675" s="1"/>
      <c r="Z675" s="1"/>
      <c r="AA675" s="1"/>
      <c r="AB675" s="1"/>
    </row>
    <row r="676" spans="1:28">
      <c r="A676" s="261"/>
      <c r="B676" s="261"/>
      <c r="C676" s="115"/>
      <c r="D676" s="1"/>
      <c r="E676" s="1"/>
      <c r="F676" s="1"/>
      <c r="G676" s="1"/>
      <c r="H676" s="1"/>
      <c r="I676" s="1"/>
      <c r="J676" s="1"/>
      <c r="K676" s="1"/>
      <c r="L676" s="2"/>
      <c r="M676" s="2"/>
      <c r="N676" s="2"/>
      <c r="O676" s="2"/>
      <c r="P676" s="2"/>
      <c r="Q676" s="2"/>
      <c r="R676" s="2"/>
      <c r="S676" s="2"/>
      <c r="T676" s="3"/>
      <c r="U676" s="1"/>
      <c r="V676" s="1"/>
      <c r="W676" s="1"/>
      <c r="X676" s="1"/>
      <c r="Y676" s="1"/>
      <c r="Z676" s="1"/>
      <c r="AA676" s="1"/>
      <c r="AB676" s="1"/>
    </row>
    <row r="677" spans="1:28">
      <c r="A677" s="261"/>
      <c r="B677" s="261"/>
      <c r="C677" s="115"/>
      <c r="D677" s="1"/>
      <c r="E677" s="1"/>
      <c r="F677" s="1"/>
      <c r="G677" s="1"/>
      <c r="H677" s="1"/>
      <c r="I677" s="1"/>
      <c r="J677" s="1"/>
      <c r="K677" s="1"/>
      <c r="L677" s="2"/>
      <c r="M677" s="2"/>
      <c r="N677" s="2"/>
      <c r="O677" s="2"/>
      <c r="P677" s="2"/>
      <c r="Q677" s="2"/>
      <c r="R677" s="2"/>
      <c r="S677" s="2"/>
      <c r="T677" s="3"/>
      <c r="U677" s="1"/>
      <c r="V677" s="1"/>
      <c r="W677" s="1"/>
      <c r="X677" s="1"/>
      <c r="Y677" s="1"/>
      <c r="Z677" s="1"/>
      <c r="AA677" s="1"/>
      <c r="AB677" s="1"/>
    </row>
    <row r="678" spans="1:28">
      <c r="A678" s="261"/>
      <c r="B678" s="261"/>
      <c r="C678" s="115"/>
      <c r="D678" s="1"/>
      <c r="E678" s="1"/>
      <c r="F678" s="1"/>
      <c r="G678" s="1"/>
      <c r="H678" s="1"/>
      <c r="I678" s="1"/>
      <c r="J678" s="1"/>
      <c r="K678" s="1"/>
      <c r="L678" s="2"/>
      <c r="M678" s="2"/>
      <c r="N678" s="2"/>
      <c r="O678" s="2"/>
      <c r="P678" s="2"/>
      <c r="Q678" s="2"/>
      <c r="R678" s="2"/>
      <c r="S678" s="2"/>
      <c r="T678" s="3"/>
      <c r="U678" s="1"/>
      <c r="V678" s="1"/>
      <c r="W678" s="1"/>
      <c r="X678" s="1"/>
      <c r="Y678" s="1"/>
      <c r="Z678" s="1"/>
      <c r="AA678" s="1"/>
      <c r="AB678" s="1"/>
    </row>
    <row r="679" spans="1:28">
      <c r="A679" s="261"/>
      <c r="B679" s="261"/>
      <c r="C679" s="115"/>
      <c r="D679" s="1"/>
      <c r="E679" s="1"/>
      <c r="F679" s="1"/>
      <c r="G679" s="1"/>
      <c r="H679" s="1"/>
      <c r="I679" s="1"/>
      <c r="J679" s="1"/>
      <c r="K679" s="1"/>
      <c r="L679" s="2"/>
      <c r="M679" s="2"/>
      <c r="N679" s="2"/>
      <c r="O679" s="2"/>
      <c r="P679" s="2"/>
      <c r="Q679" s="2"/>
      <c r="R679" s="2"/>
      <c r="S679" s="2"/>
      <c r="T679" s="3"/>
      <c r="U679" s="1"/>
      <c r="V679" s="1"/>
      <c r="W679" s="1"/>
      <c r="X679" s="1"/>
      <c r="Y679" s="1"/>
      <c r="Z679" s="1"/>
      <c r="AA679" s="1"/>
      <c r="AB679" s="1"/>
    </row>
    <row r="680" spans="1:28">
      <c r="A680" s="261"/>
      <c r="B680" s="261"/>
      <c r="C680" s="115"/>
      <c r="D680" s="1"/>
      <c r="E680" s="1"/>
      <c r="F680" s="1"/>
      <c r="G680" s="1"/>
      <c r="H680" s="1"/>
      <c r="I680" s="1"/>
      <c r="J680" s="1"/>
      <c r="K680" s="1"/>
      <c r="L680" s="2"/>
      <c r="M680" s="2"/>
      <c r="N680" s="2"/>
      <c r="O680" s="2"/>
      <c r="P680" s="2"/>
      <c r="Q680" s="2"/>
      <c r="R680" s="2"/>
      <c r="S680" s="2"/>
      <c r="T680" s="3"/>
      <c r="U680" s="1"/>
      <c r="V680" s="1"/>
      <c r="W680" s="1"/>
      <c r="X680" s="1"/>
      <c r="Y680" s="1"/>
      <c r="Z680" s="1"/>
      <c r="AA680" s="1"/>
      <c r="AB680" s="1"/>
    </row>
    <row r="681" spans="1:28">
      <c r="A681" s="261"/>
      <c r="B681" s="261"/>
      <c r="C681" s="115"/>
      <c r="D681" s="1"/>
      <c r="E681" s="1"/>
      <c r="F681" s="1"/>
      <c r="G681" s="1"/>
      <c r="H681" s="1"/>
      <c r="I681" s="1"/>
      <c r="J681" s="1"/>
      <c r="K681" s="1"/>
      <c r="L681" s="2"/>
      <c r="M681" s="2"/>
      <c r="N681" s="2"/>
      <c r="O681" s="2"/>
      <c r="P681" s="2"/>
      <c r="Q681" s="2"/>
      <c r="R681" s="2"/>
      <c r="S681" s="2"/>
      <c r="T681" s="3"/>
      <c r="U681" s="1"/>
      <c r="V681" s="1"/>
      <c r="W681" s="1"/>
      <c r="X681" s="1"/>
      <c r="Y681" s="1"/>
      <c r="Z681" s="1"/>
      <c r="AA681" s="1"/>
      <c r="AB681" s="1"/>
    </row>
    <row r="682" spans="1:28">
      <c r="A682" s="261"/>
      <c r="B682" s="261"/>
      <c r="C682" s="115"/>
      <c r="D682" s="1"/>
      <c r="E682" s="1"/>
      <c r="F682" s="1"/>
      <c r="G682" s="1"/>
      <c r="H682" s="1"/>
      <c r="I682" s="1"/>
      <c r="J682" s="1"/>
      <c r="K682" s="1"/>
      <c r="L682" s="2"/>
      <c r="M682" s="2"/>
      <c r="N682" s="2"/>
      <c r="O682" s="2"/>
      <c r="P682" s="2"/>
      <c r="Q682" s="2"/>
      <c r="R682" s="2"/>
      <c r="S682" s="2"/>
      <c r="T682" s="3"/>
      <c r="U682" s="1"/>
      <c r="V682" s="1"/>
      <c r="W682" s="1"/>
      <c r="X682" s="1"/>
      <c r="Y682" s="1"/>
      <c r="Z682" s="1"/>
      <c r="AA682" s="1"/>
      <c r="AB682" s="1"/>
    </row>
    <row r="683" spans="1:28">
      <c r="A683" s="261"/>
      <c r="B683" s="261"/>
      <c r="C683" s="115"/>
      <c r="D683" s="1"/>
      <c r="E683" s="1"/>
      <c r="F683" s="1"/>
      <c r="G683" s="1"/>
      <c r="H683" s="1"/>
      <c r="I683" s="1"/>
      <c r="J683" s="1"/>
      <c r="K683" s="1"/>
      <c r="L683" s="2"/>
      <c r="M683" s="2"/>
      <c r="N683" s="2"/>
      <c r="O683" s="2"/>
      <c r="P683" s="2"/>
      <c r="Q683" s="2"/>
      <c r="R683" s="2"/>
      <c r="S683" s="2"/>
      <c r="T683" s="3"/>
      <c r="U683" s="1"/>
      <c r="V683" s="1"/>
      <c r="W683" s="1"/>
      <c r="X683" s="1"/>
      <c r="Y683" s="1"/>
      <c r="Z683" s="1"/>
      <c r="AA683" s="1"/>
      <c r="AB683" s="1"/>
    </row>
    <row r="684" spans="1:28">
      <c r="A684" s="261"/>
      <c r="B684" s="261"/>
      <c r="C684" s="115"/>
      <c r="D684" s="1"/>
      <c r="E684" s="1"/>
      <c r="F684" s="1"/>
      <c r="G684" s="1"/>
      <c r="H684" s="1"/>
      <c r="I684" s="1"/>
      <c r="J684" s="1"/>
      <c r="K684" s="1"/>
      <c r="L684" s="2"/>
      <c r="M684" s="2"/>
      <c r="N684" s="2"/>
      <c r="O684" s="2"/>
      <c r="P684" s="2"/>
      <c r="Q684" s="2"/>
      <c r="R684" s="2"/>
      <c r="S684" s="2"/>
      <c r="T684" s="3"/>
      <c r="U684" s="1"/>
      <c r="V684" s="1"/>
      <c r="W684" s="1"/>
      <c r="X684" s="1"/>
      <c r="Y684" s="1"/>
      <c r="Z684" s="1"/>
      <c r="AA684" s="1"/>
      <c r="AB684" s="1"/>
    </row>
    <row r="685" spans="1:28">
      <c r="A685" s="261"/>
      <c r="B685" s="261"/>
      <c r="C685" s="115"/>
      <c r="D685" s="1"/>
      <c r="E685" s="1"/>
      <c r="F685" s="1"/>
      <c r="G685" s="1"/>
      <c r="H685" s="1"/>
      <c r="I685" s="1"/>
      <c r="J685" s="1"/>
      <c r="K685" s="1"/>
      <c r="L685" s="2"/>
      <c r="M685" s="2"/>
      <c r="N685" s="2"/>
      <c r="O685" s="2"/>
      <c r="P685" s="2"/>
      <c r="Q685" s="2"/>
      <c r="R685" s="2"/>
      <c r="S685" s="2"/>
      <c r="T685" s="3"/>
      <c r="U685" s="1"/>
      <c r="V685" s="1"/>
      <c r="W685" s="1"/>
      <c r="X685" s="1"/>
      <c r="Y685" s="1"/>
      <c r="Z685" s="1"/>
      <c r="AA685" s="1"/>
      <c r="AB685" s="1"/>
    </row>
    <row r="686" spans="1:28">
      <c r="A686" s="261"/>
      <c r="B686" s="261"/>
      <c r="C686" s="115"/>
      <c r="D686" s="1"/>
      <c r="E686" s="1"/>
      <c r="F686" s="1"/>
      <c r="G686" s="1"/>
      <c r="H686" s="1"/>
      <c r="I686" s="1"/>
      <c r="J686" s="1"/>
      <c r="K686" s="1"/>
      <c r="L686" s="2"/>
      <c r="M686" s="2"/>
      <c r="N686" s="2"/>
      <c r="O686" s="2"/>
      <c r="P686" s="2"/>
      <c r="Q686" s="2"/>
      <c r="R686" s="2"/>
      <c r="S686" s="2"/>
      <c r="T686" s="3"/>
      <c r="U686" s="1"/>
      <c r="V686" s="1"/>
      <c r="W686" s="1"/>
      <c r="X686" s="1"/>
      <c r="Y686" s="1"/>
      <c r="Z686" s="1"/>
      <c r="AA686" s="1"/>
      <c r="AB686" s="1"/>
    </row>
    <row r="687" spans="1:28">
      <c r="A687" s="261"/>
      <c r="B687" s="261"/>
      <c r="C687" s="115"/>
      <c r="D687" s="1"/>
      <c r="E687" s="1"/>
      <c r="F687" s="1"/>
      <c r="G687" s="1"/>
      <c r="H687" s="1"/>
      <c r="I687" s="1"/>
      <c r="J687" s="1"/>
      <c r="K687" s="1"/>
      <c r="L687" s="2"/>
      <c r="M687" s="2"/>
      <c r="N687" s="2"/>
      <c r="O687" s="2"/>
      <c r="P687" s="2"/>
      <c r="Q687" s="2"/>
      <c r="R687" s="2"/>
      <c r="S687" s="2"/>
      <c r="T687" s="3"/>
      <c r="U687" s="1"/>
      <c r="V687" s="1"/>
      <c r="W687" s="1"/>
      <c r="X687" s="1"/>
      <c r="Y687" s="1"/>
      <c r="Z687" s="1"/>
      <c r="AA687" s="1"/>
      <c r="AB687" s="1"/>
    </row>
    <row r="688" spans="1:28">
      <c r="A688" s="261"/>
      <c r="B688" s="261"/>
      <c r="C688" s="115"/>
      <c r="D688" s="1"/>
      <c r="E688" s="1"/>
      <c r="F688" s="1"/>
      <c r="G688" s="1"/>
      <c r="H688" s="1"/>
      <c r="I688" s="1"/>
      <c r="J688" s="1"/>
      <c r="K688" s="1"/>
      <c r="L688" s="2"/>
      <c r="M688" s="2"/>
      <c r="N688" s="2"/>
      <c r="O688" s="2"/>
      <c r="P688" s="2"/>
      <c r="Q688" s="2"/>
      <c r="R688" s="2"/>
      <c r="S688" s="2"/>
      <c r="T688" s="3"/>
      <c r="U688" s="1"/>
      <c r="V688" s="1"/>
      <c r="W688" s="1"/>
      <c r="X688" s="1"/>
      <c r="Y688" s="1"/>
      <c r="Z688" s="1"/>
      <c r="AA688" s="1"/>
      <c r="AB688" s="1"/>
    </row>
    <row r="689" spans="1:28">
      <c r="A689" s="261"/>
      <c r="B689" s="261"/>
      <c r="C689" s="115"/>
      <c r="D689" s="1"/>
      <c r="E689" s="1"/>
      <c r="F689" s="1"/>
      <c r="G689" s="1"/>
      <c r="H689" s="1"/>
      <c r="I689" s="1"/>
      <c r="J689" s="1"/>
      <c r="K689" s="1"/>
      <c r="L689" s="2"/>
      <c r="M689" s="2"/>
      <c r="N689" s="2"/>
      <c r="O689" s="2"/>
      <c r="P689" s="2"/>
      <c r="Q689" s="2"/>
      <c r="R689" s="2"/>
      <c r="S689" s="2"/>
      <c r="T689" s="3"/>
      <c r="U689" s="1"/>
      <c r="V689" s="1"/>
      <c r="W689" s="1"/>
      <c r="X689" s="1"/>
      <c r="Y689" s="1"/>
      <c r="Z689" s="1"/>
      <c r="AA689" s="1"/>
      <c r="AB689" s="1"/>
    </row>
    <row r="690" spans="1:28">
      <c r="A690" s="261"/>
      <c r="B690" s="261"/>
      <c r="C690" s="115"/>
      <c r="D690" s="1"/>
      <c r="E690" s="1"/>
      <c r="F690" s="1"/>
      <c r="G690" s="1"/>
      <c r="H690" s="1"/>
      <c r="I690" s="1"/>
      <c r="J690" s="1"/>
      <c r="K690" s="1"/>
      <c r="L690" s="2"/>
      <c r="M690" s="2"/>
      <c r="N690" s="2"/>
      <c r="O690" s="2"/>
      <c r="P690" s="2"/>
      <c r="Q690" s="2"/>
      <c r="R690" s="2"/>
      <c r="S690" s="2"/>
      <c r="T690" s="3"/>
      <c r="U690" s="1"/>
      <c r="V690" s="1"/>
      <c r="W690" s="1"/>
      <c r="X690" s="1"/>
      <c r="Y690" s="1"/>
      <c r="Z690" s="1"/>
      <c r="AA690" s="1"/>
      <c r="AB690" s="1"/>
    </row>
    <row r="691" spans="1:28">
      <c r="A691" s="261"/>
      <c r="B691" s="261"/>
      <c r="C691" s="115"/>
      <c r="D691" s="1"/>
      <c r="E691" s="1"/>
      <c r="F691" s="1"/>
      <c r="G691" s="1"/>
      <c r="H691" s="1"/>
      <c r="I691" s="1"/>
      <c r="J691" s="1"/>
      <c r="K691" s="1"/>
      <c r="L691" s="2"/>
      <c r="M691" s="2"/>
      <c r="N691" s="2"/>
      <c r="O691" s="2"/>
      <c r="P691" s="2"/>
      <c r="Q691" s="2"/>
      <c r="R691" s="2"/>
      <c r="S691" s="2"/>
      <c r="T691" s="3"/>
      <c r="U691" s="1"/>
      <c r="V691" s="1"/>
      <c r="W691" s="1"/>
      <c r="X691" s="1"/>
      <c r="Y691" s="1"/>
      <c r="Z691" s="1"/>
      <c r="AA691" s="1"/>
      <c r="AB691" s="1"/>
    </row>
    <row r="692" spans="1:28">
      <c r="A692" s="261"/>
      <c r="B692" s="261"/>
      <c r="C692" s="115"/>
      <c r="D692" s="1"/>
      <c r="E692" s="1"/>
      <c r="F692" s="1"/>
      <c r="G692" s="1"/>
      <c r="H692" s="1"/>
      <c r="I692" s="1"/>
      <c r="J692" s="1"/>
      <c r="K692" s="1"/>
      <c r="L692" s="2"/>
      <c r="M692" s="2"/>
      <c r="N692" s="2"/>
      <c r="O692" s="2"/>
      <c r="P692" s="2"/>
      <c r="Q692" s="2"/>
      <c r="R692" s="2"/>
      <c r="S692" s="2"/>
      <c r="T692" s="3"/>
      <c r="U692" s="1"/>
      <c r="V692" s="1"/>
      <c r="W692" s="1"/>
      <c r="X692" s="1"/>
      <c r="Y692" s="1"/>
      <c r="Z692" s="1"/>
      <c r="AA692" s="1"/>
      <c r="AB692" s="1"/>
    </row>
    <row r="693" spans="1:28">
      <c r="A693" s="261"/>
      <c r="B693" s="261"/>
      <c r="C693" s="115"/>
      <c r="D693" s="1"/>
      <c r="E693" s="1"/>
      <c r="F693" s="1"/>
      <c r="G693" s="1"/>
      <c r="H693" s="1"/>
      <c r="I693" s="1"/>
      <c r="J693" s="1"/>
      <c r="K693" s="1"/>
      <c r="L693" s="2"/>
      <c r="M693" s="2"/>
      <c r="N693" s="2"/>
      <c r="O693" s="2"/>
      <c r="P693" s="2"/>
      <c r="Q693" s="2"/>
      <c r="R693" s="2"/>
      <c r="S693" s="2"/>
      <c r="T693" s="3"/>
      <c r="U693" s="1"/>
      <c r="V693" s="1"/>
      <c r="W693" s="1"/>
      <c r="X693" s="1"/>
      <c r="Y693" s="1"/>
      <c r="Z693" s="1"/>
      <c r="AA693" s="1"/>
      <c r="AB693" s="1"/>
    </row>
    <row r="694" spans="1:28">
      <c r="A694" s="261"/>
      <c r="B694" s="261"/>
      <c r="C694" s="115"/>
      <c r="D694" s="1"/>
      <c r="E694" s="1"/>
      <c r="F694" s="1"/>
      <c r="G694" s="1"/>
      <c r="H694" s="1"/>
      <c r="I694" s="1"/>
      <c r="J694" s="1"/>
      <c r="K694" s="1"/>
      <c r="L694" s="2"/>
      <c r="M694" s="2"/>
      <c r="N694" s="2"/>
      <c r="O694" s="2"/>
      <c r="P694" s="2"/>
      <c r="Q694" s="2"/>
      <c r="R694" s="2"/>
      <c r="S694" s="2"/>
      <c r="T694" s="3"/>
      <c r="U694" s="1"/>
      <c r="V694" s="1"/>
      <c r="W694" s="1"/>
      <c r="X694" s="1"/>
      <c r="Y694" s="1"/>
      <c r="Z694" s="1"/>
      <c r="AA694" s="1"/>
      <c r="AB694" s="1"/>
    </row>
    <row r="695" spans="1:28">
      <c r="A695" s="261"/>
      <c r="B695" s="261"/>
      <c r="C695" s="115"/>
      <c r="D695" s="1"/>
      <c r="E695" s="1"/>
      <c r="F695" s="1"/>
      <c r="G695" s="1"/>
      <c r="H695" s="1"/>
      <c r="I695" s="1"/>
      <c r="J695" s="1"/>
      <c r="K695" s="1"/>
      <c r="L695" s="2"/>
      <c r="M695" s="2"/>
      <c r="N695" s="2"/>
      <c r="O695" s="2"/>
      <c r="P695" s="2"/>
      <c r="Q695" s="2"/>
      <c r="R695" s="2"/>
      <c r="S695" s="2"/>
      <c r="T695" s="3"/>
      <c r="U695" s="1"/>
      <c r="V695" s="1"/>
      <c r="W695" s="1"/>
      <c r="X695" s="1"/>
      <c r="Y695" s="1"/>
      <c r="Z695" s="1"/>
      <c r="AA695" s="1"/>
      <c r="AB695" s="1"/>
    </row>
    <row r="696" spans="1:28">
      <c r="A696" s="261"/>
      <c r="B696" s="261"/>
      <c r="C696" s="115"/>
      <c r="D696" s="1"/>
      <c r="E696" s="1"/>
      <c r="F696" s="1"/>
      <c r="G696" s="1"/>
      <c r="H696" s="1"/>
      <c r="I696" s="1"/>
      <c r="J696" s="1"/>
      <c r="K696" s="1"/>
      <c r="L696" s="2"/>
      <c r="M696" s="2"/>
      <c r="N696" s="2"/>
      <c r="O696" s="2"/>
      <c r="P696" s="2"/>
      <c r="Q696" s="2"/>
      <c r="R696" s="2"/>
      <c r="S696" s="2"/>
      <c r="T696" s="3"/>
      <c r="U696" s="1"/>
      <c r="V696" s="1"/>
      <c r="W696" s="1"/>
      <c r="X696" s="1"/>
      <c r="Y696" s="1"/>
      <c r="Z696" s="1"/>
      <c r="AA696" s="1"/>
      <c r="AB696" s="1"/>
    </row>
    <row r="697" spans="1:28">
      <c r="A697" s="261"/>
      <c r="B697" s="261"/>
      <c r="C697" s="115"/>
      <c r="D697" s="1"/>
      <c r="E697" s="1"/>
      <c r="F697" s="1"/>
      <c r="G697" s="1"/>
      <c r="H697" s="1"/>
      <c r="I697" s="1"/>
      <c r="J697" s="1"/>
      <c r="K697" s="1"/>
      <c r="L697" s="2"/>
      <c r="M697" s="2"/>
      <c r="N697" s="2"/>
      <c r="O697" s="2"/>
      <c r="P697" s="2"/>
      <c r="Q697" s="2"/>
      <c r="R697" s="2"/>
      <c r="S697" s="2"/>
      <c r="T697" s="3"/>
      <c r="U697" s="1"/>
      <c r="V697" s="1"/>
      <c r="W697" s="1"/>
      <c r="X697" s="1"/>
      <c r="Y697" s="1"/>
      <c r="Z697" s="1"/>
      <c r="AA697" s="1"/>
      <c r="AB697" s="1"/>
    </row>
    <row r="698" spans="1:28">
      <c r="A698" s="261"/>
      <c r="B698" s="261"/>
      <c r="C698" s="115"/>
      <c r="D698" s="1"/>
      <c r="E698" s="1"/>
      <c r="F698" s="1"/>
      <c r="G698" s="1"/>
      <c r="H698" s="1"/>
      <c r="I698" s="1"/>
      <c r="J698" s="1"/>
      <c r="K698" s="1"/>
      <c r="L698" s="2"/>
      <c r="M698" s="2"/>
      <c r="N698" s="2"/>
      <c r="O698" s="2"/>
      <c r="P698" s="2"/>
      <c r="Q698" s="2"/>
      <c r="R698" s="2"/>
      <c r="S698" s="2"/>
      <c r="T698" s="3"/>
      <c r="U698" s="1"/>
      <c r="V698" s="1"/>
      <c r="W698" s="1"/>
      <c r="X698" s="1"/>
      <c r="Y698" s="1"/>
      <c r="Z698" s="1"/>
      <c r="AA698" s="1"/>
      <c r="AB698" s="1"/>
    </row>
    <row r="699" spans="1:28">
      <c r="A699" s="261"/>
      <c r="B699" s="261"/>
      <c r="C699" s="115"/>
      <c r="D699" s="1"/>
      <c r="E699" s="1"/>
      <c r="F699" s="1"/>
      <c r="G699" s="1"/>
      <c r="H699" s="1"/>
      <c r="I699" s="1"/>
      <c r="J699" s="1"/>
      <c r="K699" s="1"/>
      <c r="L699" s="2"/>
      <c r="M699" s="2"/>
      <c r="N699" s="2"/>
      <c r="O699" s="2"/>
      <c r="P699" s="2"/>
      <c r="Q699" s="2"/>
      <c r="R699" s="2"/>
      <c r="S699" s="2"/>
      <c r="T699" s="3"/>
      <c r="U699" s="1"/>
      <c r="V699" s="1"/>
      <c r="W699" s="1"/>
      <c r="X699" s="1"/>
      <c r="Y699" s="1"/>
      <c r="Z699" s="1"/>
      <c r="AA699" s="1"/>
      <c r="AB699" s="1"/>
    </row>
    <row r="700" spans="1:28">
      <c r="A700" s="261"/>
      <c r="B700" s="261"/>
      <c r="C700" s="115"/>
      <c r="D700" s="1"/>
      <c r="E700" s="1"/>
      <c r="F700" s="1"/>
      <c r="G700" s="1"/>
      <c r="H700" s="1"/>
      <c r="I700" s="1"/>
      <c r="J700" s="1"/>
      <c r="K700" s="1"/>
      <c r="L700" s="2"/>
      <c r="M700" s="2"/>
      <c r="N700" s="2"/>
      <c r="O700" s="2"/>
      <c r="P700" s="2"/>
      <c r="Q700" s="2"/>
      <c r="R700" s="2"/>
      <c r="S700" s="2"/>
      <c r="T700" s="3"/>
      <c r="U700" s="1"/>
      <c r="V700" s="1"/>
      <c r="W700" s="1"/>
      <c r="X700" s="1"/>
      <c r="Y700" s="1"/>
      <c r="Z700" s="1"/>
      <c r="AA700" s="1"/>
      <c r="AB700" s="1"/>
    </row>
    <row r="701" spans="1:28">
      <c r="A701" s="261"/>
      <c r="B701" s="261"/>
      <c r="C701" s="115"/>
      <c r="D701" s="1"/>
      <c r="E701" s="1"/>
      <c r="F701" s="1"/>
      <c r="G701" s="1"/>
      <c r="H701" s="1"/>
      <c r="I701" s="1"/>
      <c r="J701" s="1"/>
      <c r="K701" s="1"/>
      <c r="L701" s="2"/>
      <c r="M701" s="2"/>
      <c r="N701" s="2"/>
      <c r="O701" s="2"/>
      <c r="P701" s="2"/>
      <c r="Q701" s="2"/>
      <c r="R701" s="2"/>
      <c r="S701" s="2"/>
      <c r="T701" s="3"/>
      <c r="U701" s="1"/>
      <c r="V701" s="1"/>
      <c r="W701" s="1"/>
      <c r="X701" s="1"/>
      <c r="Y701" s="1"/>
      <c r="Z701" s="1"/>
      <c r="AA701" s="1"/>
      <c r="AB701" s="1"/>
    </row>
    <row r="702" spans="1:28">
      <c r="A702" s="261"/>
      <c r="B702" s="261"/>
      <c r="C702" s="115"/>
      <c r="D702" s="1"/>
      <c r="E702" s="1"/>
      <c r="F702" s="1"/>
      <c r="G702" s="1"/>
      <c r="H702" s="1"/>
      <c r="I702" s="1"/>
      <c r="J702" s="1"/>
      <c r="K702" s="1"/>
      <c r="L702" s="2"/>
      <c r="M702" s="2"/>
      <c r="N702" s="2"/>
      <c r="O702" s="2"/>
      <c r="P702" s="2"/>
      <c r="Q702" s="2"/>
      <c r="R702" s="2"/>
      <c r="S702" s="2"/>
      <c r="T702" s="3"/>
      <c r="U702" s="1"/>
      <c r="V702" s="1"/>
      <c r="W702" s="1"/>
      <c r="X702" s="1"/>
      <c r="Y702" s="1"/>
      <c r="Z702" s="1"/>
      <c r="AA702" s="1"/>
      <c r="AB702" s="1"/>
    </row>
    <row r="703" spans="1:28">
      <c r="A703" s="261"/>
      <c r="B703" s="261"/>
      <c r="C703" s="115"/>
      <c r="D703" s="1"/>
      <c r="E703" s="1"/>
      <c r="F703" s="1"/>
      <c r="G703" s="1"/>
      <c r="H703" s="1"/>
      <c r="I703" s="1"/>
      <c r="J703" s="1"/>
      <c r="K703" s="1"/>
      <c r="L703" s="2"/>
      <c r="M703" s="2"/>
      <c r="N703" s="2"/>
      <c r="O703" s="2"/>
      <c r="P703" s="2"/>
      <c r="Q703" s="2"/>
      <c r="R703" s="2"/>
      <c r="S703" s="2"/>
      <c r="T703" s="3"/>
      <c r="U703" s="1"/>
      <c r="V703" s="1"/>
      <c r="W703" s="1"/>
      <c r="X703" s="1"/>
      <c r="Y703" s="1"/>
      <c r="Z703" s="1"/>
      <c r="AA703" s="1"/>
      <c r="AB703" s="1"/>
    </row>
    <row r="704" spans="1:28">
      <c r="A704" s="261"/>
      <c r="B704" s="261"/>
      <c r="C704" s="115"/>
      <c r="D704" s="1"/>
      <c r="E704" s="1"/>
      <c r="F704" s="1"/>
      <c r="G704" s="1"/>
      <c r="H704" s="1"/>
      <c r="I704" s="1"/>
      <c r="J704" s="1"/>
      <c r="K704" s="1"/>
      <c r="L704" s="2"/>
      <c r="M704" s="2"/>
      <c r="N704" s="2"/>
      <c r="O704" s="2"/>
      <c r="P704" s="2"/>
      <c r="Q704" s="2"/>
      <c r="R704" s="2"/>
      <c r="S704" s="2"/>
      <c r="T704" s="3"/>
      <c r="U704" s="1"/>
      <c r="V704" s="1"/>
      <c r="W704" s="1"/>
      <c r="X704" s="1"/>
      <c r="Y704" s="1"/>
      <c r="Z704" s="1"/>
      <c r="AA704" s="1"/>
      <c r="AB704" s="1"/>
    </row>
    <row r="705" spans="1:28">
      <c r="A705" s="261"/>
      <c r="B705" s="261"/>
      <c r="C705" s="115"/>
      <c r="D705" s="1"/>
      <c r="E705" s="1"/>
      <c r="F705" s="1"/>
      <c r="G705" s="1"/>
      <c r="H705" s="1"/>
      <c r="I705" s="1"/>
      <c r="J705" s="1"/>
      <c r="K705" s="1"/>
      <c r="L705" s="2"/>
      <c r="M705" s="2"/>
      <c r="N705" s="2"/>
      <c r="O705" s="2"/>
      <c r="P705" s="2"/>
      <c r="Q705" s="2"/>
      <c r="R705" s="2"/>
      <c r="S705" s="2"/>
      <c r="T705" s="3"/>
      <c r="U705" s="1"/>
      <c r="V705" s="1"/>
      <c r="W705" s="1"/>
      <c r="X705" s="1"/>
      <c r="Y705" s="1"/>
      <c r="Z705" s="1"/>
      <c r="AA705" s="1"/>
      <c r="AB705" s="1"/>
    </row>
    <row r="706" spans="1:28">
      <c r="A706" s="261"/>
      <c r="B706" s="261"/>
      <c r="C706" s="115"/>
      <c r="D706" s="1"/>
      <c r="E706" s="1"/>
      <c r="F706" s="1"/>
      <c r="G706" s="1"/>
      <c r="H706" s="1"/>
      <c r="I706" s="1"/>
      <c r="J706" s="1"/>
      <c r="K706" s="1"/>
      <c r="L706" s="2"/>
      <c r="M706" s="2"/>
      <c r="N706" s="2"/>
      <c r="O706" s="2"/>
      <c r="P706" s="2"/>
      <c r="Q706" s="2"/>
      <c r="R706" s="2"/>
      <c r="S706" s="2"/>
      <c r="T706" s="3"/>
      <c r="U706" s="1"/>
      <c r="V706" s="1"/>
      <c r="W706" s="1"/>
      <c r="X706" s="1"/>
      <c r="Y706" s="1"/>
      <c r="Z706" s="1"/>
      <c r="AA706" s="1"/>
      <c r="AB706" s="1"/>
    </row>
    <row r="707" spans="1:28">
      <c r="A707" s="261"/>
      <c r="B707" s="261"/>
      <c r="C707" s="115"/>
      <c r="D707" s="1"/>
      <c r="E707" s="1"/>
      <c r="F707" s="1"/>
      <c r="G707" s="1"/>
      <c r="H707" s="1"/>
      <c r="I707" s="1"/>
      <c r="J707" s="1"/>
      <c r="K707" s="1"/>
      <c r="L707" s="2"/>
      <c r="M707" s="2"/>
      <c r="N707" s="2"/>
      <c r="O707" s="2"/>
      <c r="P707" s="2"/>
      <c r="Q707" s="2"/>
      <c r="R707" s="2"/>
      <c r="S707" s="2"/>
      <c r="T707" s="3"/>
      <c r="U707" s="1"/>
      <c r="V707" s="1"/>
      <c r="W707" s="1"/>
      <c r="X707" s="1"/>
      <c r="Y707" s="1"/>
      <c r="Z707" s="1"/>
      <c r="AA707" s="1"/>
      <c r="AB707" s="1"/>
    </row>
    <row r="708" spans="1:28">
      <c r="A708" s="261"/>
      <c r="B708" s="261"/>
      <c r="C708" s="115"/>
      <c r="D708" s="1"/>
      <c r="E708" s="1"/>
      <c r="F708" s="1"/>
      <c r="G708" s="1"/>
      <c r="H708" s="1"/>
      <c r="I708" s="1"/>
      <c r="J708" s="1"/>
      <c r="K708" s="1"/>
      <c r="L708" s="2"/>
      <c r="M708" s="2"/>
      <c r="N708" s="2"/>
      <c r="O708" s="2"/>
      <c r="P708" s="2"/>
      <c r="Q708" s="2"/>
      <c r="R708" s="2"/>
      <c r="S708" s="2"/>
      <c r="T708" s="3"/>
      <c r="U708" s="1"/>
      <c r="V708" s="1"/>
      <c r="W708" s="1"/>
      <c r="X708" s="1"/>
      <c r="Y708" s="1"/>
      <c r="Z708" s="1"/>
      <c r="AA708" s="1"/>
      <c r="AB708" s="1"/>
    </row>
    <row r="709" spans="1:28">
      <c r="A709" s="261"/>
      <c r="B709" s="261"/>
      <c r="C709" s="115"/>
      <c r="D709" s="1"/>
      <c r="E709" s="1"/>
      <c r="F709" s="1"/>
      <c r="G709" s="1"/>
      <c r="H709" s="1"/>
      <c r="I709" s="1"/>
      <c r="J709" s="1"/>
      <c r="K709" s="1"/>
      <c r="L709" s="2"/>
      <c r="M709" s="2"/>
      <c r="N709" s="2"/>
      <c r="O709" s="2"/>
      <c r="P709" s="2"/>
      <c r="Q709" s="2"/>
      <c r="R709" s="2"/>
      <c r="S709" s="2"/>
      <c r="T709" s="3"/>
      <c r="U709" s="1"/>
      <c r="V709" s="1"/>
      <c r="W709" s="1"/>
      <c r="X709" s="1"/>
      <c r="Y709" s="1"/>
      <c r="Z709" s="1"/>
      <c r="AA709" s="1"/>
      <c r="AB709" s="1"/>
    </row>
    <row r="710" spans="1:28">
      <c r="A710" s="261"/>
      <c r="B710" s="261"/>
      <c r="C710" s="115"/>
      <c r="D710" s="1"/>
      <c r="E710" s="1"/>
      <c r="F710" s="1"/>
      <c r="G710" s="1"/>
      <c r="H710" s="1"/>
      <c r="I710" s="1"/>
      <c r="J710" s="1"/>
      <c r="K710" s="1"/>
      <c r="L710" s="2"/>
      <c r="M710" s="2"/>
      <c r="N710" s="2"/>
      <c r="O710" s="2"/>
      <c r="P710" s="2"/>
      <c r="Q710" s="2"/>
      <c r="R710" s="2"/>
      <c r="S710" s="2"/>
      <c r="T710" s="3"/>
      <c r="U710" s="1"/>
      <c r="V710" s="1"/>
      <c r="W710" s="1"/>
      <c r="X710" s="1"/>
      <c r="Y710" s="1"/>
      <c r="Z710" s="1"/>
      <c r="AA710" s="1"/>
      <c r="AB710" s="1"/>
    </row>
    <row r="711" spans="1:28">
      <c r="A711" s="261"/>
      <c r="B711" s="261"/>
      <c r="C711" s="115"/>
      <c r="D711" s="1"/>
      <c r="E711" s="1"/>
      <c r="F711" s="1"/>
      <c r="G711" s="1"/>
      <c r="H711" s="1"/>
      <c r="I711" s="1"/>
      <c r="J711" s="1"/>
      <c r="K711" s="1"/>
      <c r="L711" s="2"/>
      <c r="M711" s="2"/>
      <c r="N711" s="2"/>
      <c r="O711" s="2"/>
      <c r="P711" s="2"/>
      <c r="Q711" s="2"/>
      <c r="R711" s="2"/>
      <c r="S711" s="2"/>
      <c r="T711" s="3"/>
      <c r="U711" s="1"/>
      <c r="V711" s="1"/>
      <c r="W711" s="1"/>
      <c r="X711" s="1"/>
      <c r="Y711" s="1"/>
      <c r="Z711" s="1"/>
      <c r="AA711" s="1"/>
      <c r="AB711" s="1"/>
    </row>
    <row r="712" spans="1:28">
      <c r="A712" s="261"/>
      <c r="B712" s="261"/>
      <c r="C712" s="115"/>
      <c r="D712" s="1"/>
      <c r="E712" s="1"/>
      <c r="F712" s="1"/>
      <c r="G712" s="1"/>
      <c r="H712" s="1"/>
      <c r="I712" s="1"/>
      <c r="J712" s="1"/>
      <c r="K712" s="1"/>
      <c r="L712" s="2"/>
      <c r="M712" s="2"/>
      <c r="N712" s="2"/>
      <c r="O712" s="2"/>
      <c r="P712" s="2"/>
      <c r="Q712" s="2"/>
      <c r="R712" s="2"/>
      <c r="S712" s="2"/>
      <c r="T712" s="3"/>
      <c r="U712" s="1"/>
      <c r="V712" s="1"/>
      <c r="W712" s="1"/>
      <c r="X712" s="1"/>
      <c r="Y712" s="1"/>
      <c r="Z712" s="1"/>
      <c r="AA712" s="1"/>
      <c r="AB712" s="1"/>
    </row>
    <row r="713" spans="1:28">
      <c r="A713" s="261"/>
      <c r="B713" s="261"/>
      <c r="C713" s="115"/>
      <c r="D713" s="1"/>
      <c r="E713" s="1"/>
      <c r="F713" s="1"/>
      <c r="G713" s="1"/>
      <c r="H713" s="1"/>
      <c r="I713" s="1"/>
      <c r="J713" s="1"/>
      <c r="K713" s="1"/>
      <c r="L713" s="2"/>
      <c r="M713" s="2"/>
      <c r="N713" s="2"/>
      <c r="O713" s="2"/>
      <c r="P713" s="2"/>
      <c r="Q713" s="2"/>
      <c r="R713" s="2"/>
      <c r="S713" s="2"/>
      <c r="T713" s="3"/>
      <c r="U713" s="1"/>
      <c r="V713" s="1"/>
      <c r="W713" s="1"/>
      <c r="X713" s="1"/>
      <c r="Y713" s="1"/>
      <c r="Z713" s="1"/>
      <c r="AA713" s="1"/>
      <c r="AB713" s="1"/>
    </row>
    <row r="714" spans="1:28">
      <c r="A714" s="261"/>
      <c r="B714" s="261"/>
      <c r="C714" s="115"/>
      <c r="D714" s="1"/>
      <c r="E714" s="1"/>
      <c r="F714" s="1"/>
      <c r="G714" s="1"/>
      <c r="H714" s="1"/>
      <c r="I714" s="1"/>
      <c r="J714" s="1"/>
      <c r="K714" s="1"/>
      <c r="L714" s="2"/>
      <c r="M714" s="2"/>
      <c r="N714" s="2"/>
      <c r="O714" s="2"/>
      <c r="P714" s="2"/>
      <c r="Q714" s="2"/>
      <c r="R714" s="2"/>
      <c r="S714" s="2"/>
      <c r="T714" s="3"/>
      <c r="U714" s="1"/>
      <c r="V714" s="1"/>
      <c r="W714" s="1"/>
      <c r="X714" s="1"/>
      <c r="Y714" s="1"/>
      <c r="Z714" s="1"/>
      <c r="AA714" s="1"/>
      <c r="AB714" s="1"/>
    </row>
    <row r="715" spans="1:28">
      <c r="A715" s="261"/>
      <c r="B715" s="261"/>
      <c r="C715" s="115"/>
      <c r="D715" s="1"/>
      <c r="E715" s="1"/>
      <c r="F715" s="1"/>
      <c r="G715" s="1"/>
      <c r="H715" s="1"/>
      <c r="I715" s="1"/>
      <c r="J715" s="1"/>
      <c r="K715" s="1"/>
      <c r="L715" s="2"/>
      <c r="M715" s="2"/>
      <c r="N715" s="2"/>
      <c r="O715" s="2"/>
      <c r="P715" s="2"/>
      <c r="Q715" s="2"/>
      <c r="R715" s="2"/>
      <c r="S715" s="2"/>
      <c r="T715" s="3"/>
      <c r="U715" s="1"/>
      <c r="V715" s="1"/>
      <c r="W715" s="1"/>
      <c r="X715" s="1"/>
      <c r="Y715" s="1"/>
      <c r="Z715" s="1"/>
      <c r="AA715" s="1"/>
      <c r="AB715" s="1"/>
    </row>
    <row r="716" spans="1:28">
      <c r="A716" s="261"/>
      <c r="B716" s="261"/>
      <c r="C716" s="115"/>
      <c r="D716" s="1"/>
      <c r="E716" s="1"/>
      <c r="F716" s="1"/>
      <c r="G716" s="1"/>
      <c r="H716" s="1"/>
      <c r="I716" s="1"/>
      <c r="J716" s="1"/>
      <c r="K716" s="1"/>
      <c r="L716" s="2"/>
      <c r="M716" s="2"/>
      <c r="N716" s="2"/>
      <c r="O716" s="2"/>
      <c r="P716" s="2"/>
      <c r="Q716" s="2"/>
      <c r="R716" s="2"/>
      <c r="S716" s="2"/>
      <c r="T716" s="3"/>
      <c r="U716" s="1"/>
      <c r="V716" s="1"/>
      <c r="W716" s="1"/>
      <c r="X716" s="1"/>
      <c r="Y716" s="1"/>
      <c r="Z716" s="1"/>
      <c r="AA716" s="1"/>
      <c r="AB716" s="1"/>
    </row>
    <row r="717" spans="1:28">
      <c r="A717" s="261"/>
      <c r="B717" s="261"/>
      <c r="C717" s="115"/>
      <c r="D717" s="1"/>
      <c r="E717" s="1"/>
      <c r="F717" s="1"/>
      <c r="G717" s="1"/>
      <c r="H717" s="1"/>
      <c r="I717" s="1"/>
      <c r="J717" s="1"/>
      <c r="K717" s="1"/>
      <c r="L717" s="2"/>
      <c r="M717" s="2"/>
      <c r="N717" s="2"/>
      <c r="O717" s="2"/>
      <c r="P717" s="2"/>
      <c r="Q717" s="2"/>
      <c r="R717" s="2"/>
      <c r="S717" s="2"/>
      <c r="T717" s="3"/>
      <c r="U717" s="1"/>
      <c r="V717" s="1"/>
      <c r="W717" s="1"/>
      <c r="X717" s="1"/>
      <c r="Y717" s="1"/>
      <c r="Z717" s="1"/>
      <c r="AA717" s="1"/>
      <c r="AB717" s="1"/>
    </row>
    <row r="718" spans="1:28">
      <c r="A718" s="261"/>
      <c r="B718" s="261"/>
      <c r="C718" s="115"/>
      <c r="D718" s="1"/>
      <c r="E718" s="1"/>
      <c r="F718" s="1"/>
      <c r="G718" s="1"/>
      <c r="H718" s="1"/>
      <c r="I718" s="1"/>
      <c r="J718" s="1"/>
      <c r="K718" s="1"/>
      <c r="L718" s="2"/>
      <c r="M718" s="2"/>
      <c r="N718" s="2"/>
      <c r="O718" s="2"/>
      <c r="P718" s="2"/>
      <c r="Q718" s="2"/>
      <c r="R718" s="2"/>
      <c r="S718" s="2"/>
      <c r="T718" s="3"/>
      <c r="U718" s="1"/>
      <c r="V718" s="1"/>
      <c r="W718" s="1"/>
      <c r="X718" s="1"/>
      <c r="Y718" s="1"/>
      <c r="Z718" s="1"/>
      <c r="AA718" s="1"/>
      <c r="AB718" s="1"/>
    </row>
    <row r="719" spans="1:28">
      <c r="A719" s="261"/>
      <c r="B719" s="261"/>
      <c r="C719" s="115"/>
      <c r="D719" s="1"/>
      <c r="E719" s="1"/>
      <c r="F719" s="1"/>
      <c r="G719" s="1"/>
      <c r="H719" s="1"/>
      <c r="I719" s="1"/>
      <c r="J719" s="1"/>
      <c r="K719" s="1"/>
      <c r="L719" s="2"/>
      <c r="M719" s="2"/>
      <c r="N719" s="2"/>
      <c r="O719" s="2"/>
      <c r="P719" s="2"/>
      <c r="Q719" s="2"/>
      <c r="R719" s="2"/>
      <c r="S719" s="2"/>
      <c r="T719" s="3"/>
      <c r="U719" s="1"/>
      <c r="V719" s="1"/>
      <c r="W719" s="1"/>
      <c r="X719" s="1"/>
      <c r="Y719" s="1"/>
      <c r="Z719" s="1"/>
      <c r="AA719" s="1"/>
      <c r="AB719" s="1"/>
    </row>
    <row r="720" spans="1:28">
      <c r="A720" s="261"/>
      <c r="B720" s="261"/>
      <c r="C720" s="115"/>
      <c r="D720" s="1"/>
      <c r="E720" s="1"/>
      <c r="F720" s="1"/>
      <c r="G720" s="1"/>
      <c r="H720" s="1"/>
      <c r="I720" s="1"/>
      <c r="J720" s="1"/>
      <c r="K720" s="1"/>
      <c r="L720" s="2"/>
      <c r="M720" s="2"/>
      <c r="N720" s="2"/>
      <c r="O720" s="2"/>
      <c r="P720" s="2"/>
      <c r="Q720" s="2"/>
      <c r="R720" s="2"/>
      <c r="S720" s="2"/>
      <c r="T720" s="3"/>
      <c r="U720" s="1"/>
      <c r="V720" s="1"/>
      <c r="W720" s="1"/>
      <c r="X720" s="1"/>
      <c r="Y720" s="1"/>
      <c r="Z720" s="1"/>
      <c r="AA720" s="1"/>
      <c r="AB720" s="1"/>
    </row>
    <row r="721" spans="1:28">
      <c r="A721" s="261"/>
      <c r="B721" s="261"/>
      <c r="C721" s="115"/>
      <c r="D721" s="1"/>
      <c r="E721" s="1"/>
      <c r="F721" s="1"/>
      <c r="G721" s="1"/>
      <c r="H721" s="1"/>
      <c r="I721" s="1"/>
      <c r="J721" s="1"/>
      <c r="K721" s="1"/>
      <c r="L721" s="2"/>
      <c r="M721" s="2"/>
      <c r="N721" s="2"/>
      <c r="O721" s="2"/>
      <c r="P721" s="2"/>
      <c r="Q721" s="2"/>
      <c r="R721" s="2"/>
      <c r="S721" s="2"/>
      <c r="T721" s="3"/>
      <c r="U721" s="1"/>
      <c r="V721" s="1"/>
      <c r="W721" s="1"/>
      <c r="X721" s="1"/>
      <c r="Y721" s="1"/>
      <c r="Z721" s="1"/>
      <c r="AA721" s="1"/>
      <c r="AB721" s="1"/>
    </row>
    <row r="722" spans="1:28">
      <c r="A722" s="261"/>
      <c r="B722" s="261"/>
      <c r="C722" s="115"/>
      <c r="D722" s="1"/>
      <c r="E722" s="1"/>
      <c r="F722" s="1"/>
      <c r="G722" s="1"/>
      <c r="H722" s="1"/>
      <c r="I722" s="1"/>
      <c r="J722" s="1"/>
      <c r="K722" s="1"/>
      <c r="L722" s="2"/>
      <c r="M722" s="2"/>
      <c r="N722" s="2"/>
      <c r="O722" s="2"/>
      <c r="P722" s="2"/>
      <c r="Q722" s="2"/>
      <c r="R722" s="2"/>
      <c r="S722" s="2"/>
      <c r="T722" s="3"/>
      <c r="U722" s="1"/>
      <c r="V722" s="1"/>
      <c r="W722" s="1"/>
      <c r="X722" s="1"/>
      <c r="Y722" s="1"/>
      <c r="Z722" s="1"/>
      <c r="AA722" s="1"/>
      <c r="AB722" s="1"/>
    </row>
    <row r="723" spans="1:28">
      <c r="A723" s="261"/>
      <c r="B723" s="261"/>
      <c r="C723" s="115"/>
      <c r="D723" s="1"/>
      <c r="E723" s="1"/>
      <c r="F723" s="1"/>
      <c r="G723" s="1"/>
      <c r="H723" s="1"/>
      <c r="I723" s="1"/>
      <c r="J723" s="1"/>
      <c r="K723" s="1"/>
      <c r="L723" s="2"/>
      <c r="M723" s="2"/>
      <c r="N723" s="2"/>
      <c r="O723" s="2"/>
      <c r="P723" s="2"/>
      <c r="Q723" s="2"/>
      <c r="R723" s="2"/>
      <c r="S723" s="2"/>
      <c r="T723" s="3"/>
      <c r="U723" s="1"/>
      <c r="V723" s="1"/>
      <c r="W723" s="1"/>
      <c r="X723" s="1"/>
      <c r="Y723" s="1"/>
      <c r="Z723" s="1"/>
      <c r="AA723" s="1"/>
      <c r="AB723" s="1"/>
    </row>
    <row r="724" spans="1:28">
      <c r="A724" s="261"/>
      <c r="B724" s="261"/>
      <c r="C724" s="115"/>
      <c r="D724" s="1"/>
      <c r="E724" s="1"/>
      <c r="F724" s="1"/>
      <c r="G724" s="1"/>
      <c r="H724" s="1"/>
      <c r="I724" s="1"/>
      <c r="J724" s="1"/>
      <c r="K724" s="1"/>
      <c r="L724" s="2"/>
      <c r="M724" s="2"/>
      <c r="N724" s="2"/>
      <c r="O724" s="2"/>
      <c r="P724" s="2"/>
      <c r="Q724" s="2"/>
      <c r="R724" s="2"/>
      <c r="S724" s="2"/>
      <c r="T724" s="3"/>
      <c r="U724" s="1"/>
      <c r="V724" s="1"/>
      <c r="W724" s="1"/>
      <c r="X724" s="1"/>
      <c r="Y724" s="1"/>
      <c r="Z724" s="1"/>
      <c r="AA724" s="1"/>
      <c r="AB724" s="1"/>
    </row>
    <row r="725" spans="1:28">
      <c r="A725" s="261"/>
      <c r="B725" s="261"/>
      <c r="C725" s="115"/>
      <c r="D725" s="1"/>
      <c r="E725" s="1"/>
      <c r="F725" s="1"/>
      <c r="G725" s="1"/>
      <c r="H725" s="1"/>
      <c r="I725" s="1"/>
      <c r="J725" s="1"/>
      <c r="K725" s="1"/>
      <c r="L725" s="2"/>
      <c r="M725" s="2"/>
      <c r="N725" s="2"/>
      <c r="O725" s="2"/>
      <c r="P725" s="2"/>
      <c r="Q725" s="2"/>
      <c r="R725" s="2"/>
      <c r="S725" s="2"/>
      <c r="T725" s="3"/>
      <c r="U725" s="1"/>
      <c r="V725" s="1"/>
      <c r="W725" s="1"/>
      <c r="X725" s="1"/>
      <c r="Y725" s="1"/>
      <c r="Z725" s="1"/>
      <c r="AA725" s="1"/>
      <c r="AB725" s="1"/>
    </row>
    <row r="726" spans="1:28">
      <c r="A726" s="261"/>
      <c r="B726" s="261"/>
      <c r="C726" s="115"/>
      <c r="D726" s="1"/>
      <c r="E726" s="1"/>
      <c r="F726" s="1"/>
      <c r="G726" s="1"/>
      <c r="H726" s="1"/>
      <c r="I726" s="1"/>
      <c r="J726" s="1"/>
      <c r="K726" s="1"/>
      <c r="L726" s="2"/>
      <c r="M726" s="2"/>
      <c r="N726" s="2"/>
      <c r="O726" s="2"/>
      <c r="P726" s="2"/>
      <c r="Q726" s="2"/>
      <c r="R726" s="2"/>
      <c r="S726" s="2"/>
      <c r="T726" s="3"/>
      <c r="U726" s="1"/>
      <c r="V726" s="1"/>
      <c r="W726" s="1"/>
      <c r="X726" s="1"/>
      <c r="Y726" s="1"/>
      <c r="Z726" s="1"/>
      <c r="AA726" s="1"/>
      <c r="AB726" s="1"/>
    </row>
    <row r="727" spans="1:28">
      <c r="A727" s="261"/>
      <c r="B727" s="261"/>
      <c r="C727" s="115"/>
      <c r="D727" s="1"/>
      <c r="E727" s="1"/>
      <c r="F727" s="1"/>
      <c r="G727" s="1"/>
      <c r="H727" s="1"/>
      <c r="I727" s="1"/>
      <c r="J727" s="1"/>
      <c r="K727" s="1"/>
      <c r="L727" s="2"/>
      <c r="M727" s="2"/>
      <c r="N727" s="2"/>
      <c r="O727" s="2"/>
      <c r="P727" s="2"/>
      <c r="Q727" s="2"/>
      <c r="R727" s="2"/>
      <c r="S727" s="2"/>
      <c r="T727" s="3"/>
      <c r="U727" s="1"/>
      <c r="V727" s="1"/>
      <c r="W727" s="1"/>
      <c r="X727" s="1"/>
      <c r="Y727" s="1"/>
      <c r="Z727" s="1"/>
      <c r="AA727" s="1"/>
      <c r="AB727" s="1"/>
    </row>
    <row r="728" spans="1:28">
      <c r="A728" s="261"/>
      <c r="B728" s="261"/>
      <c r="C728" s="115"/>
      <c r="D728" s="1"/>
      <c r="E728" s="1"/>
      <c r="F728" s="1"/>
      <c r="G728" s="1"/>
      <c r="H728" s="1"/>
      <c r="I728" s="1"/>
      <c r="J728" s="1"/>
      <c r="K728" s="1"/>
      <c r="L728" s="2"/>
      <c r="M728" s="2"/>
      <c r="N728" s="2"/>
      <c r="O728" s="2"/>
      <c r="P728" s="2"/>
      <c r="Q728" s="2"/>
      <c r="R728" s="2"/>
      <c r="S728" s="2"/>
      <c r="T728" s="3"/>
      <c r="U728" s="1"/>
      <c r="V728" s="1"/>
      <c r="W728" s="1"/>
      <c r="X728" s="1"/>
      <c r="Y728" s="1"/>
      <c r="Z728" s="1"/>
      <c r="AA728" s="1"/>
      <c r="AB728" s="1"/>
    </row>
    <row r="729" spans="1:28">
      <c r="A729" s="261"/>
      <c r="B729" s="261"/>
      <c r="C729" s="115"/>
      <c r="D729" s="1"/>
      <c r="E729" s="1"/>
      <c r="F729" s="1"/>
      <c r="G729" s="1"/>
      <c r="H729" s="1"/>
      <c r="I729" s="1"/>
      <c r="J729" s="1"/>
      <c r="K729" s="1"/>
      <c r="L729" s="2"/>
      <c r="M729" s="2"/>
      <c r="N729" s="2"/>
      <c r="O729" s="2"/>
      <c r="P729" s="2"/>
      <c r="Q729" s="2"/>
      <c r="R729" s="2"/>
      <c r="S729" s="2"/>
      <c r="T729" s="3"/>
      <c r="U729" s="1"/>
      <c r="V729" s="1"/>
      <c r="W729" s="1"/>
      <c r="X729" s="1"/>
      <c r="Y729" s="1"/>
      <c r="Z729" s="1"/>
      <c r="AA729" s="1"/>
      <c r="AB729" s="1"/>
    </row>
    <row r="730" spans="1:28">
      <c r="A730" s="261"/>
      <c r="B730" s="261"/>
      <c r="C730" s="115"/>
      <c r="D730" s="1"/>
      <c r="E730" s="1"/>
      <c r="F730" s="1"/>
      <c r="G730" s="1"/>
      <c r="H730" s="1"/>
      <c r="I730" s="1"/>
      <c r="J730" s="1"/>
      <c r="K730" s="1"/>
      <c r="L730" s="2"/>
      <c r="M730" s="2"/>
      <c r="N730" s="2"/>
      <c r="O730" s="2"/>
      <c r="P730" s="2"/>
      <c r="Q730" s="2"/>
      <c r="R730" s="2"/>
      <c r="S730" s="2"/>
      <c r="T730" s="3"/>
      <c r="U730" s="1"/>
      <c r="V730" s="1"/>
      <c r="W730" s="1"/>
      <c r="X730" s="1"/>
      <c r="Y730" s="1"/>
      <c r="Z730" s="1"/>
      <c r="AA730" s="1"/>
      <c r="AB730" s="1"/>
    </row>
    <row r="731" spans="1:28">
      <c r="A731" s="261"/>
      <c r="B731" s="261"/>
      <c r="C731" s="115"/>
      <c r="D731" s="1"/>
      <c r="E731" s="1"/>
      <c r="F731" s="1"/>
      <c r="G731" s="1"/>
      <c r="H731" s="1"/>
      <c r="I731" s="1"/>
      <c r="J731" s="1"/>
      <c r="K731" s="1"/>
      <c r="L731" s="2"/>
      <c r="M731" s="2"/>
      <c r="N731" s="2"/>
      <c r="O731" s="2"/>
      <c r="P731" s="2"/>
      <c r="Q731" s="2"/>
      <c r="R731" s="2"/>
      <c r="S731" s="2"/>
      <c r="T731" s="3"/>
      <c r="U731" s="1"/>
      <c r="V731" s="1"/>
      <c r="W731" s="1"/>
      <c r="X731" s="1"/>
      <c r="Y731" s="1"/>
      <c r="Z731" s="1"/>
      <c r="AA731" s="1"/>
      <c r="AB731" s="1"/>
    </row>
    <row r="732" spans="1:28">
      <c r="A732" s="261"/>
      <c r="B732" s="261"/>
      <c r="C732" s="115"/>
      <c r="D732" s="1"/>
      <c r="E732" s="1"/>
      <c r="F732" s="1"/>
      <c r="G732" s="1"/>
      <c r="H732" s="1"/>
      <c r="I732" s="1"/>
      <c r="J732" s="1"/>
      <c r="K732" s="1"/>
      <c r="L732" s="2"/>
      <c r="M732" s="2"/>
      <c r="N732" s="2"/>
      <c r="O732" s="2"/>
      <c r="P732" s="2"/>
      <c r="Q732" s="2"/>
      <c r="R732" s="2"/>
      <c r="S732" s="2"/>
      <c r="T732" s="3"/>
      <c r="U732" s="1"/>
      <c r="V732" s="1"/>
      <c r="W732" s="1"/>
      <c r="X732" s="1"/>
      <c r="Y732" s="1"/>
      <c r="Z732" s="1"/>
      <c r="AA732" s="1"/>
      <c r="AB732" s="1"/>
    </row>
    <row r="733" spans="1:28">
      <c r="A733" s="261"/>
      <c r="B733" s="261"/>
      <c r="C733" s="115"/>
      <c r="D733" s="1"/>
      <c r="E733" s="1"/>
      <c r="F733" s="1"/>
      <c r="G733" s="1"/>
      <c r="H733" s="1"/>
      <c r="I733" s="1"/>
      <c r="J733" s="1"/>
      <c r="K733" s="1"/>
      <c r="L733" s="2"/>
      <c r="M733" s="2"/>
      <c r="N733" s="2"/>
      <c r="O733" s="2"/>
      <c r="P733" s="2"/>
      <c r="Q733" s="2"/>
      <c r="R733" s="2"/>
      <c r="S733" s="2"/>
      <c r="T733" s="3"/>
      <c r="U733" s="1"/>
      <c r="V733" s="1"/>
      <c r="W733" s="1"/>
      <c r="X733" s="1"/>
      <c r="Y733" s="1"/>
      <c r="Z733" s="1"/>
      <c r="AA733" s="1"/>
      <c r="AB733" s="1"/>
    </row>
    <row r="734" spans="1:28">
      <c r="A734" s="261"/>
      <c r="B734" s="261"/>
      <c r="C734" s="115"/>
      <c r="D734" s="1"/>
      <c r="E734" s="1"/>
      <c r="F734" s="1"/>
      <c r="G734" s="1"/>
      <c r="H734" s="1"/>
      <c r="I734" s="1"/>
      <c r="J734" s="1"/>
      <c r="K734" s="1"/>
      <c r="L734" s="2"/>
      <c r="M734" s="2"/>
      <c r="N734" s="2"/>
      <c r="O734" s="2"/>
      <c r="P734" s="2"/>
      <c r="Q734" s="2"/>
      <c r="R734" s="2"/>
      <c r="S734" s="2"/>
      <c r="T734" s="3"/>
      <c r="U734" s="1"/>
      <c r="V734" s="1"/>
      <c r="W734" s="1"/>
      <c r="X734" s="1"/>
      <c r="Y734" s="1"/>
      <c r="Z734" s="1"/>
      <c r="AA734" s="1"/>
      <c r="AB734" s="1"/>
    </row>
    <row r="735" spans="1:28">
      <c r="A735" s="261"/>
      <c r="B735" s="261"/>
      <c r="C735" s="115"/>
      <c r="D735" s="1"/>
      <c r="E735" s="1"/>
      <c r="F735" s="1"/>
      <c r="G735" s="1"/>
      <c r="H735" s="1"/>
      <c r="I735" s="1"/>
      <c r="J735" s="1"/>
      <c r="K735" s="1"/>
      <c r="L735" s="2"/>
      <c r="M735" s="2"/>
      <c r="N735" s="2"/>
      <c r="O735" s="2"/>
      <c r="P735" s="2"/>
      <c r="Q735" s="2"/>
      <c r="R735" s="2"/>
      <c r="S735" s="2"/>
      <c r="T735" s="3"/>
      <c r="U735" s="1"/>
      <c r="V735" s="1"/>
      <c r="W735" s="1"/>
      <c r="X735" s="1"/>
      <c r="Y735" s="1"/>
      <c r="Z735" s="1"/>
      <c r="AA735" s="1"/>
      <c r="AB735" s="1"/>
    </row>
    <row r="736" spans="1:28">
      <c r="A736" s="261"/>
      <c r="B736" s="261"/>
      <c r="C736" s="115"/>
      <c r="D736" s="1"/>
      <c r="E736" s="1"/>
      <c r="F736" s="1"/>
      <c r="G736" s="1"/>
      <c r="H736" s="1"/>
      <c r="I736" s="1"/>
      <c r="J736" s="1"/>
      <c r="K736" s="1"/>
      <c r="L736" s="2"/>
      <c r="M736" s="2"/>
      <c r="N736" s="2"/>
      <c r="O736" s="2"/>
      <c r="P736" s="2"/>
      <c r="Q736" s="2"/>
      <c r="R736" s="2"/>
      <c r="S736" s="2"/>
      <c r="T736" s="3"/>
      <c r="U736" s="1"/>
      <c r="V736" s="1"/>
      <c r="W736" s="1"/>
      <c r="X736" s="1"/>
      <c r="Y736" s="1"/>
      <c r="Z736" s="1"/>
      <c r="AA736" s="1"/>
      <c r="AB736" s="1"/>
    </row>
    <row r="737" spans="1:28">
      <c r="A737" s="261"/>
      <c r="B737" s="261"/>
      <c r="C737" s="115"/>
      <c r="D737" s="1"/>
      <c r="E737" s="1"/>
      <c r="F737" s="1"/>
      <c r="G737" s="1"/>
      <c r="H737" s="1"/>
      <c r="I737" s="1"/>
      <c r="J737" s="1"/>
      <c r="K737" s="1"/>
      <c r="L737" s="2"/>
      <c r="M737" s="2"/>
      <c r="N737" s="2"/>
      <c r="O737" s="2"/>
      <c r="P737" s="2"/>
      <c r="Q737" s="2"/>
      <c r="R737" s="2"/>
      <c r="S737" s="2"/>
      <c r="T737" s="3"/>
      <c r="U737" s="1"/>
      <c r="V737" s="1"/>
      <c r="W737" s="1"/>
      <c r="X737" s="1"/>
      <c r="Y737" s="1"/>
      <c r="Z737" s="1"/>
      <c r="AA737" s="1"/>
      <c r="AB737" s="1"/>
    </row>
    <row r="738" spans="1:28">
      <c r="A738" s="260"/>
      <c r="B738" s="260"/>
      <c r="C738" s="38"/>
      <c r="D738" s="4"/>
      <c r="E738" s="4"/>
      <c r="F738" s="4"/>
      <c r="G738" s="4"/>
      <c r="H738" s="4"/>
      <c r="I738" s="4"/>
      <c r="J738" s="4"/>
      <c r="K738" s="4"/>
      <c r="L738" s="5"/>
      <c r="M738" s="5"/>
      <c r="N738" s="5"/>
      <c r="O738" s="5"/>
      <c r="P738" s="5"/>
      <c r="Q738" s="5"/>
      <c r="R738" s="5"/>
      <c r="S738" s="5"/>
      <c r="T738" s="6"/>
      <c r="U738" s="1"/>
      <c r="V738" s="1"/>
      <c r="W738" s="1"/>
      <c r="X738" s="1"/>
      <c r="Y738" s="1"/>
      <c r="Z738" s="1"/>
      <c r="AA738" s="1"/>
      <c r="AB738" s="1"/>
    </row>
    <row r="739" spans="1:28">
      <c r="A739" s="261"/>
      <c r="B739" s="261"/>
      <c r="C739" s="115"/>
      <c r="D739" s="1"/>
      <c r="E739" s="1"/>
      <c r="F739" s="1"/>
      <c r="G739" s="1"/>
      <c r="H739" s="1"/>
      <c r="I739" s="1"/>
      <c r="J739" s="1"/>
      <c r="K739" s="1"/>
      <c r="L739" s="2"/>
      <c r="M739" s="2"/>
      <c r="N739" s="2"/>
      <c r="O739" s="2"/>
      <c r="P739" s="2"/>
      <c r="Q739" s="2"/>
      <c r="R739" s="2"/>
      <c r="S739" s="2"/>
      <c r="T739" s="3"/>
      <c r="U739" s="1"/>
      <c r="V739" s="1"/>
      <c r="W739" s="1"/>
      <c r="X739" s="1"/>
      <c r="Y739" s="1"/>
      <c r="Z739" s="1"/>
      <c r="AA739" s="1"/>
      <c r="AB739" s="1"/>
    </row>
    <row r="740" spans="1:28">
      <c r="A740" s="261"/>
      <c r="B740" s="261"/>
      <c r="C740" s="115"/>
      <c r="D740" s="1"/>
      <c r="E740" s="1"/>
      <c r="F740" s="1"/>
      <c r="G740" s="1"/>
      <c r="H740" s="1"/>
      <c r="I740" s="1"/>
      <c r="J740" s="1"/>
      <c r="K740" s="1"/>
      <c r="L740" s="2"/>
      <c r="M740" s="2"/>
      <c r="N740" s="2"/>
      <c r="O740" s="2"/>
      <c r="P740" s="2"/>
      <c r="Q740" s="2"/>
      <c r="R740" s="2"/>
      <c r="S740" s="2"/>
      <c r="T740" s="3"/>
      <c r="U740" s="1"/>
      <c r="V740" s="1"/>
      <c r="W740" s="1"/>
      <c r="X740" s="1"/>
      <c r="Y740" s="1"/>
      <c r="Z740" s="1"/>
      <c r="AA740" s="1"/>
      <c r="AB740" s="1"/>
    </row>
    <row r="741" spans="1:28">
      <c r="A741" s="261"/>
      <c r="B741" s="261"/>
      <c r="C741" s="115"/>
      <c r="D741" s="1"/>
      <c r="E741" s="1"/>
      <c r="F741" s="1"/>
      <c r="G741" s="1"/>
      <c r="H741" s="1"/>
      <c r="I741" s="1"/>
      <c r="J741" s="1"/>
      <c r="K741" s="1"/>
      <c r="L741" s="2"/>
      <c r="M741" s="2"/>
      <c r="N741" s="2"/>
      <c r="O741" s="2"/>
      <c r="P741" s="2"/>
      <c r="Q741" s="2"/>
      <c r="R741" s="2"/>
      <c r="S741" s="2"/>
      <c r="T741" s="3"/>
      <c r="U741" s="1"/>
      <c r="V741" s="1"/>
      <c r="W741" s="1"/>
      <c r="X741" s="1"/>
      <c r="Y741" s="1"/>
      <c r="Z741" s="1"/>
      <c r="AA741" s="1"/>
      <c r="AB741" s="1"/>
    </row>
    <row r="742" spans="1:28">
      <c r="A742" s="261"/>
      <c r="B742" s="261"/>
      <c r="C742" s="115"/>
      <c r="D742" s="1"/>
      <c r="E742" s="1"/>
      <c r="F742" s="1"/>
      <c r="G742" s="1"/>
      <c r="H742" s="1"/>
      <c r="I742" s="1"/>
      <c r="J742" s="1"/>
      <c r="K742" s="1"/>
      <c r="L742" s="2"/>
      <c r="M742" s="2"/>
      <c r="N742" s="2"/>
      <c r="O742" s="2"/>
      <c r="P742" s="2"/>
      <c r="Q742" s="2"/>
      <c r="R742" s="2"/>
      <c r="S742" s="2"/>
      <c r="T742" s="3"/>
      <c r="U742" s="1"/>
      <c r="V742" s="1"/>
      <c r="W742" s="1"/>
      <c r="X742" s="1"/>
      <c r="Y742" s="1"/>
      <c r="Z742" s="1"/>
      <c r="AA742" s="1"/>
      <c r="AB742" s="1"/>
    </row>
    <row r="743" spans="1:28">
      <c r="A743" s="261"/>
      <c r="B743" s="261"/>
      <c r="C743" s="115"/>
      <c r="D743" s="1"/>
      <c r="E743" s="1"/>
      <c r="F743" s="1"/>
      <c r="G743" s="1"/>
      <c r="H743" s="1"/>
      <c r="I743" s="1"/>
      <c r="J743" s="1"/>
      <c r="K743" s="1"/>
      <c r="L743" s="2"/>
      <c r="M743" s="2"/>
      <c r="N743" s="2"/>
      <c r="O743" s="2"/>
      <c r="P743" s="2"/>
      <c r="Q743" s="2"/>
      <c r="R743" s="2"/>
      <c r="S743" s="2"/>
      <c r="T743" s="3"/>
      <c r="U743" s="1"/>
      <c r="V743" s="1"/>
      <c r="W743" s="1"/>
      <c r="X743" s="1"/>
      <c r="Y743" s="1"/>
      <c r="Z743" s="1"/>
      <c r="AA743" s="1"/>
      <c r="AB743" s="1"/>
    </row>
    <row r="744" spans="1:28">
      <c r="A744" s="261"/>
      <c r="B744" s="261"/>
      <c r="C744" s="115"/>
      <c r="D744" s="1"/>
      <c r="E744" s="1"/>
      <c r="F744" s="1"/>
      <c r="G744" s="1"/>
      <c r="H744" s="1"/>
      <c r="I744" s="1"/>
      <c r="J744" s="1"/>
      <c r="K744" s="1"/>
      <c r="L744" s="2"/>
      <c r="M744" s="2"/>
      <c r="N744" s="2"/>
      <c r="O744" s="2"/>
      <c r="P744" s="2"/>
      <c r="Q744" s="2"/>
      <c r="R744" s="2"/>
      <c r="S744" s="2"/>
      <c r="T744" s="3"/>
      <c r="U744" s="1"/>
      <c r="V744" s="1"/>
      <c r="W744" s="1"/>
      <c r="X744" s="1"/>
      <c r="Y744" s="1"/>
      <c r="Z744" s="1"/>
      <c r="AA744" s="1"/>
      <c r="AB744" s="1"/>
    </row>
    <row r="745" spans="1:28">
      <c r="A745" s="261"/>
      <c r="B745" s="261"/>
      <c r="C745" s="115"/>
      <c r="D745" s="1"/>
      <c r="E745" s="1"/>
      <c r="F745" s="1"/>
      <c r="G745" s="1"/>
      <c r="H745" s="1"/>
      <c r="I745" s="1"/>
      <c r="J745" s="1"/>
      <c r="K745" s="1"/>
      <c r="L745" s="2"/>
      <c r="M745" s="2"/>
      <c r="N745" s="2"/>
      <c r="O745" s="2"/>
      <c r="P745" s="2"/>
      <c r="Q745" s="2"/>
      <c r="R745" s="2"/>
      <c r="S745" s="2"/>
      <c r="T745" s="3"/>
      <c r="U745" s="1"/>
      <c r="V745" s="1"/>
      <c r="W745" s="1"/>
      <c r="X745" s="1"/>
      <c r="Y745" s="1"/>
      <c r="Z745" s="1"/>
      <c r="AA745" s="1"/>
      <c r="AB745" s="1"/>
    </row>
    <row r="746" spans="1:28">
      <c r="A746" s="261"/>
      <c r="B746" s="261"/>
      <c r="C746" s="115"/>
      <c r="D746" s="1"/>
      <c r="E746" s="1"/>
      <c r="F746" s="1"/>
      <c r="G746" s="1"/>
      <c r="H746" s="1"/>
      <c r="I746" s="1"/>
      <c r="J746" s="1"/>
      <c r="K746" s="1"/>
      <c r="L746" s="2"/>
      <c r="M746" s="2"/>
      <c r="N746" s="2"/>
      <c r="O746" s="2"/>
      <c r="P746" s="2"/>
      <c r="Q746" s="2"/>
      <c r="R746" s="2"/>
      <c r="S746" s="2"/>
      <c r="T746" s="3"/>
      <c r="U746" s="1"/>
      <c r="V746" s="1"/>
      <c r="W746" s="1"/>
      <c r="X746" s="1"/>
      <c r="Y746" s="1"/>
      <c r="Z746" s="1"/>
      <c r="AA746" s="1"/>
      <c r="AB746" s="1"/>
    </row>
    <row r="747" spans="1:28">
      <c r="A747" s="261"/>
      <c r="B747" s="261"/>
      <c r="C747" s="115"/>
      <c r="D747" s="1"/>
      <c r="E747" s="1"/>
      <c r="F747" s="1"/>
      <c r="G747" s="1"/>
      <c r="H747" s="1"/>
      <c r="I747" s="1"/>
      <c r="J747" s="1"/>
      <c r="K747" s="1"/>
      <c r="L747" s="2"/>
      <c r="M747" s="2"/>
      <c r="N747" s="2"/>
      <c r="O747" s="2"/>
      <c r="P747" s="2"/>
      <c r="Q747" s="2"/>
      <c r="R747" s="2"/>
      <c r="S747" s="2"/>
      <c r="T747" s="3"/>
      <c r="U747" s="1"/>
      <c r="V747" s="1"/>
      <c r="W747" s="1"/>
      <c r="X747" s="1"/>
      <c r="Y747" s="1"/>
      <c r="Z747" s="1"/>
      <c r="AA747" s="1"/>
      <c r="AB747" s="1"/>
    </row>
    <row r="748" spans="1:28">
      <c r="A748" s="261"/>
      <c r="B748" s="261"/>
      <c r="C748" s="115"/>
      <c r="D748" s="1"/>
      <c r="E748" s="1"/>
      <c r="F748" s="1"/>
      <c r="G748" s="1"/>
      <c r="H748" s="1"/>
      <c r="I748" s="1"/>
      <c r="J748" s="1"/>
      <c r="K748" s="1"/>
      <c r="L748" s="2"/>
      <c r="M748" s="2"/>
      <c r="N748" s="2"/>
      <c r="O748" s="2"/>
      <c r="P748" s="2"/>
      <c r="Q748" s="2"/>
      <c r="R748" s="2"/>
      <c r="S748" s="2"/>
      <c r="T748" s="3"/>
      <c r="U748" s="1"/>
      <c r="V748" s="1"/>
      <c r="W748" s="1"/>
      <c r="X748" s="1"/>
      <c r="Y748" s="1"/>
      <c r="Z748" s="1"/>
      <c r="AA748" s="1"/>
      <c r="AB748" s="1"/>
    </row>
    <row r="749" spans="1:28">
      <c r="A749" s="261"/>
      <c r="B749" s="261"/>
      <c r="C749" s="115"/>
      <c r="D749" s="1"/>
      <c r="E749" s="1"/>
      <c r="F749" s="1"/>
      <c r="G749" s="1"/>
      <c r="H749" s="1"/>
      <c r="I749" s="1"/>
      <c r="J749" s="1"/>
      <c r="K749" s="1"/>
      <c r="L749" s="2"/>
      <c r="M749" s="2"/>
      <c r="N749" s="2"/>
      <c r="O749" s="2"/>
      <c r="P749" s="2"/>
      <c r="Q749" s="2"/>
      <c r="R749" s="2"/>
      <c r="S749" s="2"/>
      <c r="T749" s="3"/>
      <c r="U749" s="1"/>
      <c r="V749" s="1"/>
      <c r="W749" s="1"/>
      <c r="X749" s="1"/>
      <c r="Y749" s="1"/>
      <c r="Z749" s="1"/>
      <c r="AA749" s="1"/>
      <c r="AB749" s="1"/>
    </row>
    <row r="750" spans="1:28">
      <c r="A750" s="261"/>
      <c r="B750" s="261"/>
      <c r="C750" s="115"/>
      <c r="D750" s="1"/>
      <c r="E750" s="1"/>
      <c r="F750" s="1"/>
      <c r="G750" s="1"/>
      <c r="H750" s="1"/>
      <c r="I750" s="1"/>
      <c r="J750" s="1"/>
      <c r="K750" s="1"/>
      <c r="L750" s="2"/>
      <c r="M750" s="2"/>
      <c r="N750" s="2"/>
      <c r="O750" s="2"/>
      <c r="P750" s="2"/>
      <c r="Q750" s="2"/>
      <c r="R750" s="2"/>
      <c r="S750" s="2"/>
      <c r="T750" s="3"/>
      <c r="U750" s="1"/>
      <c r="V750" s="1"/>
      <c r="W750" s="1"/>
      <c r="X750" s="1"/>
      <c r="Y750" s="1"/>
      <c r="Z750" s="1"/>
      <c r="AA750" s="1"/>
      <c r="AB750" s="1"/>
    </row>
    <row r="751" spans="1:28">
      <c r="A751" s="261"/>
      <c r="B751" s="261"/>
      <c r="C751" s="115"/>
      <c r="D751" s="1"/>
      <c r="E751" s="1"/>
      <c r="F751" s="1"/>
      <c r="G751" s="1"/>
      <c r="H751" s="1"/>
      <c r="I751" s="1"/>
      <c r="J751" s="1"/>
      <c r="K751" s="1"/>
      <c r="L751" s="2"/>
      <c r="M751" s="2"/>
      <c r="N751" s="2"/>
      <c r="O751" s="2"/>
      <c r="P751" s="2"/>
      <c r="Q751" s="2"/>
      <c r="R751" s="2"/>
      <c r="S751" s="2"/>
      <c r="T751" s="3"/>
      <c r="U751" s="1"/>
      <c r="V751" s="1"/>
      <c r="W751" s="1"/>
      <c r="X751" s="1"/>
      <c r="Y751" s="1"/>
      <c r="Z751" s="1"/>
      <c r="AA751" s="1"/>
      <c r="AB751" s="1"/>
    </row>
    <row r="752" spans="1:28">
      <c r="A752" s="261"/>
      <c r="B752" s="261"/>
      <c r="C752" s="115"/>
      <c r="D752" s="1"/>
      <c r="E752" s="1"/>
      <c r="F752" s="1"/>
      <c r="G752" s="1"/>
      <c r="H752" s="1"/>
      <c r="I752" s="1"/>
      <c r="J752" s="1"/>
      <c r="K752" s="1"/>
      <c r="L752" s="2"/>
      <c r="M752" s="2"/>
      <c r="N752" s="2"/>
      <c r="O752" s="2"/>
      <c r="P752" s="2"/>
      <c r="Q752" s="2"/>
      <c r="R752" s="2"/>
      <c r="S752" s="2"/>
      <c r="T752" s="3"/>
      <c r="U752" s="1"/>
      <c r="V752" s="1"/>
      <c r="W752" s="1"/>
      <c r="X752" s="1"/>
      <c r="Y752" s="1"/>
      <c r="Z752" s="1"/>
      <c r="AA752" s="1"/>
      <c r="AB752" s="1"/>
    </row>
    <row r="753" spans="1:28">
      <c r="A753" s="261"/>
      <c r="B753" s="261"/>
      <c r="C753" s="115"/>
      <c r="D753" s="1"/>
      <c r="E753" s="1"/>
      <c r="F753" s="1"/>
      <c r="G753" s="1"/>
      <c r="H753" s="1"/>
      <c r="I753" s="1"/>
      <c r="J753" s="1"/>
      <c r="K753" s="1"/>
      <c r="L753" s="2"/>
      <c r="M753" s="2"/>
      <c r="N753" s="2"/>
      <c r="O753" s="2"/>
      <c r="P753" s="2"/>
      <c r="Q753" s="2"/>
      <c r="R753" s="2"/>
      <c r="S753" s="2"/>
      <c r="T753" s="3"/>
      <c r="U753" s="1"/>
      <c r="V753" s="1"/>
      <c r="W753" s="1"/>
      <c r="X753" s="1"/>
      <c r="Y753" s="1"/>
      <c r="Z753" s="1"/>
      <c r="AA753" s="1"/>
      <c r="AB753" s="1"/>
    </row>
    <row r="754" spans="1:28">
      <c r="A754" s="261"/>
      <c r="B754" s="261"/>
      <c r="C754" s="115"/>
      <c r="D754" s="1"/>
      <c r="E754" s="1"/>
      <c r="F754" s="1"/>
      <c r="G754" s="1"/>
      <c r="H754" s="1"/>
      <c r="I754" s="1"/>
      <c r="J754" s="1"/>
      <c r="K754" s="1"/>
      <c r="L754" s="2"/>
      <c r="M754" s="2"/>
      <c r="N754" s="2"/>
      <c r="O754" s="2"/>
      <c r="P754" s="2"/>
      <c r="Q754" s="2"/>
      <c r="R754" s="2"/>
      <c r="S754" s="2"/>
      <c r="T754" s="3"/>
      <c r="U754" s="1"/>
      <c r="V754" s="1"/>
      <c r="W754" s="1"/>
      <c r="X754" s="1"/>
      <c r="Y754" s="1"/>
      <c r="Z754" s="1"/>
      <c r="AA754" s="1"/>
      <c r="AB754" s="1"/>
    </row>
    <row r="755" spans="1:28">
      <c r="A755" s="261"/>
      <c r="B755" s="261"/>
      <c r="C755" s="115"/>
      <c r="D755" s="1"/>
      <c r="E755" s="1"/>
      <c r="F755" s="1"/>
      <c r="G755" s="1"/>
      <c r="H755" s="1"/>
      <c r="I755" s="1"/>
      <c r="J755" s="1"/>
      <c r="K755" s="1"/>
      <c r="L755" s="2"/>
      <c r="M755" s="2"/>
      <c r="N755" s="2"/>
      <c r="O755" s="2"/>
      <c r="P755" s="2"/>
      <c r="Q755" s="2"/>
      <c r="R755" s="2"/>
      <c r="S755" s="2"/>
      <c r="T755" s="3"/>
      <c r="U755" s="1"/>
      <c r="V755" s="1"/>
      <c r="W755" s="1"/>
      <c r="X755" s="1"/>
      <c r="Y755" s="1"/>
      <c r="Z755" s="1"/>
      <c r="AA755" s="1"/>
      <c r="AB755" s="1"/>
    </row>
    <row r="756" spans="1:28">
      <c r="A756" s="261"/>
      <c r="B756" s="261"/>
      <c r="C756" s="115"/>
      <c r="D756" s="1"/>
      <c r="E756" s="1"/>
      <c r="F756" s="1"/>
      <c r="G756" s="1"/>
      <c r="H756" s="1"/>
      <c r="I756" s="1"/>
      <c r="J756" s="1"/>
      <c r="K756" s="1"/>
      <c r="L756" s="2"/>
      <c r="M756" s="2"/>
      <c r="N756" s="2"/>
      <c r="O756" s="2"/>
      <c r="P756" s="2"/>
      <c r="Q756" s="2"/>
      <c r="R756" s="2"/>
      <c r="S756" s="2"/>
      <c r="T756" s="3"/>
      <c r="U756" s="1"/>
      <c r="V756" s="1"/>
      <c r="W756" s="1"/>
      <c r="X756" s="1"/>
      <c r="Y756" s="1"/>
      <c r="Z756" s="1"/>
      <c r="AA756" s="1"/>
      <c r="AB756" s="1"/>
    </row>
    <row r="757" spans="1:28">
      <c r="A757" s="261"/>
      <c r="B757" s="261"/>
      <c r="C757" s="115"/>
      <c r="D757" s="1"/>
      <c r="E757" s="1"/>
      <c r="F757" s="1"/>
      <c r="G757" s="1"/>
      <c r="H757" s="1"/>
      <c r="I757" s="1"/>
      <c r="J757" s="1"/>
      <c r="K757" s="1"/>
      <c r="L757" s="2"/>
      <c r="M757" s="2"/>
      <c r="N757" s="2"/>
      <c r="O757" s="2"/>
      <c r="P757" s="2"/>
      <c r="Q757" s="2"/>
      <c r="R757" s="2"/>
      <c r="S757" s="2"/>
      <c r="T757" s="3"/>
      <c r="U757" s="1"/>
      <c r="V757" s="1"/>
      <c r="W757" s="1"/>
      <c r="X757" s="1"/>
      <c r="Y757" s="1"/>
      <c r="Z757" s="1"/>
      <c r="AA757" s="1"/>
      <c r="AB757" s="1"/>
    </row>
    <row r="758" spans="1:28">
      <c r="A758" s="261"/>
      <c r="B758" s="261"/>
      <c r="C758" s="115"/>
      <c r="D758" s="1"/>
      <c r="E758" s="1"/>
      <c r="F758" s="1"/>
      <c r="G758" s="1"/>
      <c r="H758" s="1"/>
      <c r="I758" s="1"/>
      <c r="J758" s="1"/>
      <c r="K758" s="1"/>
      <c r="L758" s="2"/>
      <c r="M758" s="2"/>
      <c r="N758" s="2"/>
      <c r="O758" s="2"/>
      <c r="P758" s="2"/>
      <c r="Q758" s="2"/>
      <c r="R758" s="2"/>
      <c r="S758" s="2"/>
      <c r="T758" s="3"/>
      <c r="U758" s="1"/>
      <c r="V758" s="1"/>
      <c r="W758" s="1"/>
      <c r="X758" s="1"/>
      <c r="Y758" s="1"/>
      <c r="Z758" s="1"/>
      <c r="AA758" s="1"/>
      <c r="AB758" s="1"/>
    </row>
    <row r="759" spans="1:28">
      <c r="A759" s="261"/>
      <c r="B759" s="261"/>
      <c r="C759" s="115"/>
      <c r="D759" s="1"/>
      <c r="E759" s="1"/>
      <c r="F759" s="1"/>
      <c r="G759" s="1"/>
      <c r="H759" s="1"/>
      <c r="I759" s="1"/>
      <c r="J759" s="1"/>
      <c r="K759" s="1"/>
      <c r="L759" s="2"/>
      <c r="M759" s="2"/>
      <c r="N759" s="2"/>
      <c r="O759" s="2"/>
      <c r="P759" s="2"/>
      <c r="Q759" s="2"/>
      <c r="R759" s="2"/>
      <c r="S759" s="2"/>
      <c r="T759" s="3"/>
      <c r="U759" s="1"/>
      <c r="V759" s="1"/>
      <c r="W759" s="1"/>
      <c r="X759" s="1"/>
      <c r="Y759" s="1"/>
      <c r="Z759" s="1"/>
      <c r="AA759" s="1"/>
      <c r="AB759" s="1"/>
    </row>
    <row r="760" spans="1:28">
      <c r="A760" s="261"/>
      <c r="B760" s="261"/>
      <c r="C760" s="115"/>
      <c r="D760" s="1"/>
      <c r="E760" s="1"/>
      <c r="F760" s="1"/>
      <c r="G760" s="1"/>
      <c r="H760" s="1"/>
      <c r="I760" s="1"/>
      <c r="J760" s="1"/>
      <c r="K760" s="1"/>
      <c r="L760" s="2"/>
      <c r="M760" s="2"/>
      <c r="N760" s="2"/>
      <c r="O760" s="2"/>
      <c r="P760" s="2"/>
      <c r="Q760" s="2"/>
      <c r="R760" s="2"/>
      <c r="S760" s="2"/>
      <c r="T760" s="3"/>
      <c r="U760" s="1"/>
      <c r="V760" s="1"/>
      <c r="W760" s="1"/>
      <c r="X760" s="1"/>
      <c r="Y760" s="1"/>
      <c r="Z760" s="1"/>
      <c r="AA760" s="1"/>
      <c r="AB760" s="1"/>
    </row>
    <row r="761" spans="1:28">
      <c r="A761" s="261"/>
      <c r="B761" s="261"/>
      <c r="C761" s="115"/>
      <c r="D761" s="1"/>
      <c r="E761" s="1"/>
      <c r="F761" s="1"/>
      <c r="G761" s="1"/>
      <c r="H761" s="1"/>
      <c r="I761" s="1"/>
      <c r="J761" s="1"/>
      <c r="K761" s="1"/>
      <c r="L761" s="2"/>
      <c r="M761" s="2"/>
      <c r="N761" s="2"/>
      <c r="O761" s="2"/>
      <c r="P761" s="2"/>
      <c r="Q761" s="2"/>
      <c r="R761" s="2"/>
      <c r="S761" s="2"/>
      <c r="T761" s="3"/>
      <c r="U761" s="1"/>
      <c r="V761" s="1"/>
      <c r="W761" s="1"/>
      <c r="X761" s="1"/>
      <c r="Y761" s="1"/>
      <c r="Z761" s="1"/>
      <c r="AA761" s="1"/>
      <c r="AB761" s="1"/>
    </row>
    <row r="762" spans="1:28">
      <c r="A762" s="261"/>
      <c r="B762" s="261"/>
      <c r="C762" s="115"/>
      <c r="D762" s="1"/>
      <c r="E762" s="1"/>
      <c r="F762" s="1"/>
      <c r="G762" s="1"/>
      <c r="H762" s="1"/>
      <c r="I762" s="1"/>
      <c r="J762" s="1"/>
      <c r="K762" s="1"/>
      <c r="L762" s="2"/>
      <c r="M762" s="2"/>
      <c r="N762" s="2"/>
      <c r="O762" s="2"/>
      <c r="P762" s="2"/>
      <c r="Q762" s="2"/>
      <c r="R762" s="2"/>
      <c r="S762" s="2"/>
      <c r="T762" s="3"/>
      <c r="U762" s="1"/>
      <c r="V762" s="1"/>
      <c r="W762" s="1"/>
      <c r="X762" s="1"/>
      <c r="Y762" s="1"/>
      <c r="Z762" s="1"/>
      <c r="AA762" s="1"/>
      <c r="AB762" s="1"/>
    </row>
    <row r="763" spans="1:28">
      <c r="A763" s="261"/>
      <c r="B763" s="261"/>
      <c r="C763" s="115"/>
      <c r="D763" s="1"/>
      <c r="E763" s="1"/>
      <c r="F763" s="1"/>
      <c r="G763" s="1"/>
      <c r="H763" s="1"/>
      <c r="I763" s="1"/>
      <c r="J763" s="1"/>
      <c r="K763" s="1"/>
      <c r="L763" s="2"/>
      <c r="M763" s="2"/>
      <c r="N763" s="2"/>
      <c r="O763" s="2"/>
      <c r="P763" s="2"/>
      <c r="Q763" s="2"/>
      <c r="R763" s="2"/>
      <c r="S763" s="2"/>
      <c r="T763" s="3"/>
      <c r="U763" s="1"/>
      <c r="V763" s="1"/>
      <c r="W763" s="1"/>
      <c r="X763" s="1"/>
      <c r="Y763" s="1"/>
      <c r="Z763" s="1"/>
      <c r="AA763" s="1"/>
      <c r="AB763" s="1"/>
    </row>
    <row r="764" spans="1:28">
      <c r="A764" s="261"/>
      <c r="B764" s="261"/>
      <c r="C764" s="115"/>
      <c r="D764" s="1"/>
      <c r="E764" s="1"/>
      <c r="F764" s="1"/>
      <c r="G764" s="1"/>
      <c r="H764" s="1"/>
      <c r="I764" s="1"/>
      <c r="J764" s="1"/>
      <c r="K764" s="1"/>
      <c r="L764" s="2"/>
      <c r="M764" s="2"/>
      <c r="N764" s="2"/>
      <c r="O764" s="2"/>
      <c r="P764" s="2"/>
      <c r="Q764" s="2"/>
      <c r="R764" s="2"/>
      <c r="S764" s="2"/>
      <c r="T764" s="3"/>
      <c r="U764" s="1"/>
      <c r="V764" s="1"/>
      <c r="W764" s="1"/>
      <c r="X764" s="1"/>
      <c r="Y764" s="1"/>
      <c r="Z764" s="1"/>
      <c r="AA764" s="1"/>
      <c r="AB764" s="1"/>
    </row>
    <row r="765" spans="1:28">
      <c r="A765" s="261"/>
      <c r="B765" s="261"/>
      <c r="C765" s="115"/>
      <c r="D765" s="1"/>
      <c r="E765" s="1"/>
      <c r="F765" s="1"/>
      <c r="G765" s="1"/>
      <c r="H765" s="1"/>
      <c r="I765" s="1"/>
      <c r="J765" s="1"/>
      <c r="K765" s="1"/>
      <c r="L765" s="2"/>
      <c r="M765" s="2"/>
      <c r="N765" s="2"/>
      <c r="O765" s="2"/>
      <c r="P765" s="2"/>
      <c r="Q765" s="2"/>
      <c r="R765" s="2"/>
      <c r="S765" s="2"/>
      <c r="T765" s="3"/>
      <c r="U765" s="1"/>
      <c r="V765" s="1"/>
      <c r="W765" s="1"/>
      <c r="X765" s="1"/>
      <c r="Y765" s="1"/>
      <c r="Z765" s="1"/>
      <c r="AA765" s="1"/>
      <c r="AB765" s="1"/>
    </row>
    <row r="766" spans="1:28">
      <c r="A766" s="261"/>
      <c r="B766" s="261"/>
      <c r="C766" s="115"/>
      <c r="D766" s="1"/>
      <c r="E766" s="1"/>
      <c r="F766" s="1"/>
      <c r="G766" s="1"/>
      <c r="H766" s="1"/>
      <c r="I766" s="1"/>
      <c r="J766" s="1"/>
      <c r="K766" s="1"/>
      <c r="L766" s="2"/>
      <c r="M766" s="2"/>
      <c r="N766" s="2"/>
      <c r="O766" s="2"/>
      <c r="P766" s="2"/>
      <c r="Q766" s="2"/>
      <c r="R766" s="2"/>
      <c r="S766" s="2"/>
      <c r="T766" s="3"/>
      <c r="U766" s="1"/>
      <c r="V766" s="1"/>
      <c r="W766" s="1"/>
      <c r="X766" s="1"/>
      <c r="Y766" s="1"/>
      <c r="Z766" s="1"/>
      <c r="AA766" s="1"/>
      <c r="AB766" s="1"/>
    </row>
    <row r="767" spans="1:28">
      <c r="A767" s="261"/>
      <c r="B767" s="261"/>
      <c r="C767" s="115"/>
      <c r="D767" s="1"/>
      <c r="E767" s="1"/>
      <c r="F767" s="1"/>
      <c r="G767" s="1"/>
      <c r="H767" s="1"/>
      <c r="I767" s="1"/>
      <c r="J767" s="1"/>
      <c r="K767" s="1"/>
      <c r="L767" s="2"/>
      <c r="M767" s="2"/>
      <c r="N767" s="2"/>
      <c r="O767" s="2"/>
      <c r="P767" s="2"/>
      <c r="Q767" s="2"/>
      <c r="R767" s="2"/>
      <c r="S767" s="2"/>
      <c r="T767" s="3"/>
      <c r="U767" s="1"/>
      <c r="V767" s="1"/>
      <c r="W767" s="1"/>
      <c r="X767" s="1"/>
      <c r="Y767" s="1"/>
      <c r="Z767" s="1"/>
      <c r="AA767" s="1"/>
      <c r="AB767" s="1"/>
    </row>
    <row r="768" spans="1:28">
      <c r="A768" s="261"/>
      <c r="B768" s="261"/>
      <c r="C768" s="115"/>
      <c r="D768" s="1"/>
      <c r="E768" s="1"/>
      <c r="F768" s="1"/>
      <c r="G768" s="1"/>
      <c r="H768" s="1"/>
      <c r="I768" s="1"/>
      <c r="J768" s="1"/>
      <c r="K768" s="1"/>
      <c r="L768" s="2"/>
      <c r="M768" s="2"/>
      <c r="N768" s="2"/>
      <c r="O768" s="2"/>
      <c r="P768" s="2"/>
      <c r="Q768" s="2"/>
      <c r="R768" s="2"/>
      <c r="S768" s="2"/>
      <c r="T768" s="3"/>
      <c r="U768" s="1"/>
      <c r="V768" s="1"/>
      <c r="W768" s="1"/>
      <c r="X768" s="1"/>
      <c r="Y768" s="1"/>
      <c r="Z768" s="1"/>
      <c r="AA768" s="1"/>
      <c r="AB768" s="1"/>
    </row>
    <row r="769" spans="1:28">
      <c r="A769" s="261"/>
      <c r="B769" s="261"/>
      <c r="C769" s="115"/>
      <c r="D769" s="1"/>
      <c r="E769" s="1"/>
      <c r="F769" s="1"/>
      <c r="G769" s="1"/>
      <c r="H769" s="1"/>
      <c r="I769" s="1"/>
      <c r="J769" s="1"/>
      <c r="K769" s="1"/>
      <c r="L769" s="2"/>
      <c r="M769" s="2"/>
      <c r="N769" s="2"/>
      <c r="O769" s="2"/>
      <c r="P769" s="2"/>
      <c r="Q769" s="2"/>
      <c r="R769" s="2"/>
      <c r="S769" s="2"/>
      <c r="T769" s="3"/>
      <c r="U769" s="1"/>
      <c r="V769" s="1"/>
      <c r="W769" s="1"/>
      <c r="X769" s="1"/>
      <c r="Y769" s="1"/>
      <c r="Z769" s="1"/>
      <c r="AA769" s="1"/>
      <c r="AB769" s="1"/>
    </row>
    <row r="770" spans="1:28">
      <c r="A770" s="261"/>
      <c r="B770" s="261"/>
      <c r="C770" s="115"/>
      <c r="D770" s="1"/>
      <c r="E770" s="1"/>
      <c r="F770" s="1"/>
      <c r="G770" s="1"/>
      <c r="H770" s="1"/>
      <c r="I770" s="1"/>
      <c r="J770" s="1"/>
      <c r="K770" s="1"/>
      <c r="L770" s="2"/>
      <c r="M770" s="2"/>
      <c r="N770" s="2"/>
      <c r="O770" s="2"/>
      <c r="P770" s="2"/>
      <c r="Q770" s="2"/>
      <c r="R770" s="2"/>
      <c r="S770" s="2"/>
      <c r="T770" s="3"/>
      <c r="U770" s="1"/>
      <c r="V770" s="1"/>
      <c r="W770" s="1"/>
      <c r="X770" s="1"/>
      <c r="Y770" s="1"/>
      <c r="Z770" s="1"/>
      <c r="AA770" s="1"/>
      <c r="AB770" s="1"/>
    </row>
    <row r="771" spans="1:28">
      <c r="A771" s="261"/>
      <c r="B771" s="261"/>
      <c r="C771" s="115"/>
      <c r="D771" s="1"/>
      <c r="E771" s="1"/>
      <c r="F771" s="1"/>
      <c r="G771" s="1"/>
      <c r="H771" s="1"/>
      <c r="I771" s="1"/>
      <c r="J771" s="1"/>
      <c r="K771" s="1"/>
      <c r="L771" s="2"/>
      <c r="M771" s="2"/>
      <c r="N771" s="2"/>
      <c r="O771" s="2"/>
      <c r="P771" s="2"/>
      <c r="Q771" s="2"/>
      <c r="R771" s="2"/>
      <c r="S771" s="2"/>
      <c r="T771" s="3"/>
      <c r="U771" s="1"/>
      <c r="V771" s="1"/>
      <c r="W771" s="1"/>
      <c r="X771" s="1"/>
      <c r="Y771" s="1"/>
      <c r="Z771" s="1"/>
      <c r="AA771" s="1"/>
      <c r="AB771" s="1"/>
    </row>
    <row r="772" spans="1:28">
      <c r="A772" s="261"/>
      <c r="B772" s="261"/>
      <c r="C772" s="115"/>
      <c r="D772" s="1"/>
      <c r="E772" s="1"/>
      <c r="F772" s="1"/>
      <c r="G772" s="1"/>
      <c r="H772" s="1"/>
      <c r="I772" s="1"/>
      <c r="J772" s="1"/>
      <c r="K772" s="1"/>
      <c r="L772" s="2"/>
      <c r="M772" s="2"/>
      <c r="N772" s="2"/>
      <c r="O772" s="2"/>
      <c r="P772" s="2"/>
      <c r="Q772" s="2"/>
      <c r="R772" s="2"/>
      <c r="S772" s="2"/>
      <c r="T772" s="3"/>
      <c r="U772" s="1"/>
      <c r="V772" s="1"/>
      <c r="W772" s="1"/>
      <c r="X772" s="1"/>
      <c r="Y772" s="1"/>
      <c r="Z772" s="1"/>
      <c r="AA772" s="1"/>
      <c r="AB772" s="1"/>
    </row>
    <row r="773" spans="1:28">
      <c r="A773" s="261"/>
      <c r="B773" s="261"/>
      <c r="C773" s="115"/>
      <c r="D773" s="1"/>
      <c r="E773" s="1"/>
      <c r="F773" s="1"/>
      <c r="G773" s="1"/>
      <c r="H773" s="1"/>
      <c r="I773" s="1"/>
      <c r="J773" s="1"/>
      <c r="K773" s="1"/>
      <c r="L773" s="2"/>
      <c r="M773" s="2"/>
      <c r="N773" s="2"/>
      <c r="O773" s="2"/>
      <c r="P773" s="2"/>
      <c r="Q773" s="2"/>
      <c r="R773" s="2"/>
      <c r="S773" s="2"/>
      <c r="T773" s="3"/>
      <c r="U773" s="1"/>
      <c r="V773" s="1"/>
      <c r="W773" s="1"/>
      <c r="X773" s="1"/>
      <c r="Y773" s="1"/>
      <c r="Z773" s="1"/>
      <c r="AA773" s="1"/>
      <c r="AB773" s="1"/>
    </row>
    <row r="774" spans="1:28">
      <c r="A774" s="261"/>
      <c r="B774" s="261"/>
      <c r="C774" s="115"/>
      <c r="D774" s="1"/>
      <c r="E774" s="1"/>
      <c r="F774" s="1"/>
      <c r="G774" s="1"/>
      <c r="H774" s="1"/>
      <c r="I774" s="1"/>
      <c r="J774" s="1"/>
      <c r="K774" s="1"/>
      <c r="L774" s="2"/>
      <c r="M774" s="2"/>
      <c r="N774" s="2"/>
      <c r="O774" s="2"/>
      <c r="P774" s="2"/>
      <c r="Q774" s="2"/>
      <c r="R774" s="2"/>
      <c r="S774" s="2"/>
      <c r="T774" s="3"/>
      <c r="U774" s="1"/>
      <c r="V774" s="1"/>
      <c r="W774" s="1"/>
      <c r="X774" s="1"/>
      <c r="Y774" s="1"/>
      <c r="Z774" s="1"/>
      <c r="AA774" s="1"/>
      <c r="AB774" s="1"/>
    </row>
    <row r="775" spans="1:28">
      <c r="A775" s="261"/>
      <c r="B775" s="261"/>
      <c r="C775" s="115"/>
      <c r="D775" s="1"/>
      <c r="E775" s="1"/>
      <c r="F775" s="1"/>
      <c r="G775" s="1"/>
      <c r="H775" s="1"/>
      <c r="I775" s="1"/>
      <c r="J775" s="1"/>
      <c r="K775" s="1"/>
      <c r="L775" s="2"/>
      <c r="M775" s="2"/>
      <c r="N775" s="2"/>
      <c r="O775" s="2"/>
      <c r="P775" s="2"/>
      <c r="Q775" s="2"/>
      <c r="R775" s="2"/>
      <c r="S775" s="2"/>
      <c r="T775" s="3"/>
      <c r="U775" s="1"/>
      <c r="V775" s="1"/>
      <c r="W775" s="1"/>
      <c r="X775" s="1"/>
      <c r="Y775" s="1"/>
      <c r="Z775" s="1"/>
      <c r="AA775" s="1"/>
      <c r="AB775" s="1"/>
    </row>
    <row r="776" spans="1:28">
      <c r="A776" s="261"/>
      <c r="B776" s="261"/>
      <c r="C776" s="115"/>
      <c r="D776" s="1"/>
      <c r="E776" s="1"/>
      <c r="F776" s="1"/>
      <c r="G776" s="1"/>
      <c r="H776" s="1"/>
      <c r="I776" s="1"/>
      <c r="J776" s="1"/>
      <c r="K776" s="1"/>
      <c r="L776" s="2"/>
      <c r="M776" s="2"/>
      <c r="N776" s="2"/>
      <c r="O776" s="2"/>
      <c r="P776" s="2"/>
      <c r="Q776" s="2"/>
      <c r="R776" s="2"/>
      <c r="S776" s="2"/>
      <c r="T776" s="3"/>
      <c r="U776" s="1"/>
      <c r="V776" s="1"/>
      <c r="W776" s="1"/>
      <c r="X776" s="1"/>
      <c r="Y776" s="1"/>
      <c r="Z776" s="1"/>
      <c r="AA776" s="1"/>
      <c r="AB776" s="1"/>
    </row>
    <row r="777" spans="1:28">
      <c r="A777" s="261"/>
      <c r="B777" s="261"/>
      <c r="C777" s="115"/>
      <c r="D777" s="1"/>
      <c r="E777" s="1"/>
      <c r="F777" s="1"/>
      <c r="G777" s="1"/>
      <c r="H777" s="1"/>
      <c r="I777" s="1"/>
      <c r="J777" s="1"/>
      <c r="K777" s="1"/>
      <c r="L777" s="2"/>
      <c r="M777" s="2"/>
      <c r="N777" s="2"/>
      <c r="O777" s="2"/>
      <c r="P777" s="2"/>
      <c r="Q777" s="2"/>
      <c r="R777" s="2"/>
      <c r="S777" s="2"/>
      <c r="T777" s="3"/>
      <c r="U777" s="1"/>
      <c r="V777" s="1"/>
      <c r="W777" s="1"/>
      <c r="X777" s="1"/>
      <c r="Y777" s="1"/>
      <c r="Z777" s="1"/>
      <c r="AA777" s="1"/>
      <c r="AB777" s="1"/>
    </row>
    <row r="778" spans="1:28">
      <c r="A778" s="261"/>
      <c r="B778" s="261"/>
      <c r="C778" s="115"/>
      <c r="D778" s="1"/>
      <c r="E778" s="1"/>
      <c r="F778" s="1"/>
      <c r="G778" s="1"/>
      <c r="H778" s="1"/>
      <c r="I778" s="1"/>
      <c r="J778" s="1"/>
      <c r="K778" s="1"/>
      <c r="L778" s="2"/>
      <c r="M778" s="2"/>
      <c r="N778" s="2"/>
      <c r="O778" s="2"/>
      <c r="P778" s="2"/>
      <c r="Q778" s="2"/>
      <c r="R778" s="2"/>
      <c r="S778" s="2"/>
      <c r="T778" s="3"/>
      <c r="U778" s="1"/>
      <c r="V778" s="1"/>
      <c r="W778" s="1"/>
      <c r="X778" s="1"/>
      <c r="Y778" s="1"/>
      <c r="Z778" s="1"/>
      <c r="AA778" s="1"/>
      <c r="AB778" s="1"/>
    </row>
    <row r="779" spans="1:28">
      <c r="A779" s="261"/>
      <c r="B779" s="261"/>
      <c r="C779" s="115"/>
      <c r="D779" s="1"/>
      <c r="E779" s="1"/>
      <c r="F779" s="1"/>
      <c r="G779" s="1"/>
      <c r="H779" s="1"/>
      <c r="I779" s="1"/>
      <c r="J779" s="1"/>
      <c r="K779" s="1"/>
      <c r="L779" s="2"/>
      <c r="M779" s="2"/>
      <c r="N779" s="2"/>
      <c r="O779" s="2"/>
      <c r="P779" s="2"/>
      <c r="Q779" s="2"/>
      <c r="R779" s="2"/>
      <c r="S779" s="2"/>
      <c r="T779" s="3"/>
      <c r="U779" s="1"/>
      <c r="V779" s="1"/>
      <c r="W779" s="1"/>
      <c r="X779" s="1"/>
      <c r="Y779" s="1"/>
      <c r="Z779" s="1"/>
      <c r="AA779" s="1"/>
      <c r="AB779" s="1"/>
    </row>
    <row r="780" spans="1:28">
      <c r="A780" s="261"/>
      <c r="B780" s="261"/>
      <c r="C780" s="115"/>
      <c r="D780" s="1"/>
      <c r="E780" s="1"/>
      <c r="F780" s="1"/>
      <c r="G780" s="1"/>
      <c r="H780" s="1"/>
      <c r="I780" s="1"/>
      <c r="J780" s="1"/>
      <c r="K780" s="1"/>
      <c r="L780" s="2"/>
      <c r="M780" s="2"/>
      <c r="N780" s="2"/>
      <c r="O780" s="2"/>
      <c r="P780" s="2"/>
      <c r="Q780" s="2"/>
      <c r="R780" s="2"/>
      <c r="S780" s="2"/>
      <c r="T780" s="3"/>
      <c r="U780" s="1"/>
      <c r="V780" s="1"/>
      <c r="W780" s="1"/>
      <c r="X780" s="1"/>
      <c r="Y780" s="1"/>
      <c r="Z780" s="1"/>
      <c r="AA780" s="1"/>
      <c r="AB780" s="1"/>
    </row>
    <row r="781" spans="1:28">
      <c r="A781" s="261"/>
      <c r="B781" s="261"/>
      <c r="C781" s="115"/>
      <c r="D781" s="1"/>
      <c r="E781" s="1"/>
      <c r="F781" s="1"/>
      <c r="G781" s="1"/>
      <c r="H781" s="1"/>
      <c r="I781" s="1"/>
      <c r="J781" s="1"/>
      <c r="K781" s="1"/>
      <c r="L781" s="2"/>
      <c r="M781" s="2"/>
      <c r="N781" s="2"/>
      <c r="O781" s="2"/>
      <c r="P781" s="2"/>
      <c r="Q781" s="2"/>
      <c r="R781" s="2"/>
      <c r="S781" s="2"/>
      <c r="T781" s="3"/>
      <c r="U781" s="1"/>
      <c r="V781" s="1"/>
      <c r="W781" s="1"/>
      <c r="X781" s="1"/>
      <c r="Y781" s="1"/>
      <c r="Z781" s="1"/>
      <c r="AA781" s="1"/>
      <c r="AB781" s="1"/>
    </row>
    <row r="782" spans="1:28">
      <c r="A782" s="261"/>
      <c r="B782" s="261"/>
      <c r="C782" s="115"/>
      <c r="D782" s="1"/>
      <c r="E782" s="1"/>
      <c r="F782" s="1"/>
      <c r="G782" s="1"/>
      <c r="H782" s="1"/>
      <c r="I782" s="1"/>
      <c r="J782" s="1"/>
      <c r="K782" s="1"/>
      <c r="L782" s="2"/>
      <c r="M782" s="2"/>
      <c r="N782" s="2"/>
      <c r="O782" s="2"/>
      <c r="P782" s="2"/>
      <c r="Q782" s="2"/>
      <c r="R782" s="2"/>
      <c r="S782" s="2"/>
      <c r="T782" s="3"/>
      <c r="U782" s="1"/>
      <c r="V782" s="1"/>
      <c r="W782" s="1"/>
      <c r="X782" s="1"/>
      <c r="Y782" s="1"/>
      <c r="Z782" s="1"/>
      <c r="AA782" s="1"/>
      <c r="AB782" s="1"/>
    </row>
    <row r="783" spans="1:28">
      <c r="A783" s="261"/>
      <c r="B783" s="261"/>
      <c r="C783" s="115"/>
      <c r="D783" s="1"/>
      <c r="E783" s="1"/>
      <c r="F783" s="1"/>
      <c r="G783" s="1"/>
      <c r="H783" s="1"/>
      <c r="I783" s="1"/>
      <c r="J783" s="1"/>
      <c r="K783" s="1"/>
      <c r="L783" s="2"/>
      <c r="M783" s="2"/>
      <c r="N783" s="2"/>
      <c r="O783" s="2"/>
      <c r="P783" s="2"/>
      <c r="Q783" s="2"/>
      <c r="R783" s="2"/>
      <c r="S783" s="2"/>
      <c r="T783" s="3"/>
      <c r="U783" s="1"/>
      <c r="V783" s="1"/>
      <c r="W783" s="1"/>
      <c r="X783" s="1"/>
      <c r="Y783" s="1"/>
      <c r="Z783" s="1"/>
      <c r="AA783" s="1"/>
      <c r="AB783" s="1"/>
    </row>
    <row r="784" spans="1:28">
      <c r="A784" s="261"/>
      <c r="B784" s="261"/>
      <c r="C784" s="115"/>
      <c r="D784" s="1"/>
      <c r="E784" s="1"/>
      <c r="F784" s="1"/>
      <c r="G784" s="1"/>
      <c r="H784" s="1"/>
      <c r="I784" s="1"/>
      <c r="J784" s="1"/>
      <c r="K784" s="1"/>
      <c r="L784" s="2"/>
      <c r="M784" s="2"/>
      <c r="N784" s="2"/>
      <c r="O784" s="2"/>
      <c r="P784" s="2"/>
      <c r="Q784" s="2"/>
      <c r="R784" s="2"/>
      <c r="S784" s="2"/>
      <c r="T784" s="3"/>
      <c r="U784" s="1"/>
      <c r="V784" s="1"/>
      <c r="W784" s="1"/>
      <c r="X784" s="1"/>
      <c r="Y784" s="1"/>
      <c r="Z784" s="1"/>
      <c r="AA784" s="1"/>
      <c r="AB784" s="1"/>
    </row>
    <row r="785" spans="1:28">
      <c r="A785" s="261"/>
      <c r="B785" s="261"/>
      <c r="C785" s="115"/>
      <c r="D785" s="1"/>
      <c r="E785" s="1"/>
      <c r="F785" s="1"/>
      <c r="G785" s="1"/>
      <c r="H785" s="1"/>
      <c r="I785" s="1"/>
      <c r="J785" s="1"/>
      <c r="K785" s="1"/>
      <c r="L785" s="2"/>
      <c r="M785" s="2"/>
      <c r="N785" s="2"/>
      <c r="O785" s="2"/>
      <c r="P785" s="2"/>
      <c r="Q785" s="2"/>
      <c r="R785" s="2"/>
      <c r="S785" s="2"/>
      <c r="T785" s="3"/>
      <c r="U785" s="1"/>
      <c r="V785" s="1"/>
      <c r="W785" s="1"/>
      <c r="X785" s="1"/>
      <c r="Y785" s="1"/>
      <c r="Z785" s="1"/>
      <c r="AA785" s="1"/>
      <c r="AB785" s="1"/>
    </row>
    <row r="786" spans="1:28">
      <c r="A786" s="261"/>
      <c r="B786" s="261"/>
      <c r="C786" s="115"/>
      <c r="D786" s="1"/>
      <c r="E786" s="1"/>
      <c r="F786" s="1"/>
      <c r="G786" s="1"/>
      <c r="H786" s="1"/>
      <c r="I786" s="1"/>
      <c r="J786" s="1"/>
      <c r="K786" s="1"/>
      <c r="L786" s="2"/>
      <c r="M786" s="2"/>
      <c r="N786" s="2"/>
      <c r="O786" s="2"/>
      <c r="P786" s="2"/>
      <c r="Q786" s="2"/>
      <c r="R786" s="2"/>
      <c r="S786" s="2"/>
      <c r="T786" s="3"/>
      <c r="U786" s="1"/>
      <c r="V786" s="1"/>
      <c r="W786" s="1"/>
      <c r="X786" s="1"/>
      <c r="Y786" s="1"/>
      <c r="Z786" s="1"/>
      <c r="AA786" s="1"/>
      <c r="AB786" s="1"/>
    </row>
    <row r="787" spans="1:28">
      <c r="A787" s="261"/>
      <c r="B787" s="261"/>
      <c r="C787" s="115"/>
      <c r="D787" s="1"/>
      <c r="E787" s="1"/>
      <c r="F787" s="1"/>
      <c r="G787" s="1"/>
      <c r="H787" s="1"/>
      <c r="I787" s="1"/>
      <c r="J787" s="1"/>
      <c r="K787" s="1"/>
      <c r="L787" s="2"/>
      <c r="M787" s="2"/>
      <c r="N787" s="2"/>
      <c r="O787" s="2"/>
      <c r="P787" s="2"/>
      <c r="Q787" s="2"/>
      <c r="R787" s="2"/>
      <c r="S787" s="2"/>
      <c r="T787" s="3"/>
      <c r="U787" s="1"/>
      <c r="V787" s="1"/>
      <c r="W787" s="1"/>
      <c r="X787" s="1"/>
      <c r="Y787" s="1"/>
      <c r="Z787" s="1"/>
      <c r="AA787" s="1"/>
      <c r="AB787" s="1"/>
    </row>
    <row r="788" spans="1:28">
      <c r="A788" s="261"/>
      <c r="B788" s="261"/>
      <c r="C788" s="115"/>
      <c r="D788" s="1"/>
      <c r="E788" s="1"/>
      <c r="F788" s="1"/>
      <c r="G788" s="1"/>
      <c r="H788" s="1"/>
      <c r="I788" s="1"/>
      <c r="J788" s="1"/>
      <c r="K788" s="1"/>
      <c r="L788" s="2"/>
      <c r="M788" s="2"/>
      <c r="N788" s="2"/>
      <c r="O788" s="2"/>
      <c r="P788" s="2"/>
      <c r="Q788" s="2"/>
      <c r="R788" s="2"/>
      <c r="S788" s="2"/>
      <c r="T788" s="3"/>
      <c r="U788" s="1"/>
      <c r="V788" s="1"/>
      <c r="W788" s="1"/>
      <c r="X788" s="1"/>
      <c r="Y788" s="1"/>
      <c r="Z788" s="1"/>
      <c r="AA788" s="1"/>
      <c r="AB788" s="1"/>
    </row>
    <row r="789" spans="1:28">
      <c r="A789" s="261"/>
      <c r="B789" s="261"/>
      <c r="C789" s="115"/>
      <c r="D789" s="1"/>
      <c r="E789" s="1"/>
      <c r="F789" s="1"/>
      <c r="G789" s="1"/>
      <c r="H789" s="1"/>
      <c r="I789" s="1"/>
      <c r="J789" s="1"/>
      <c r="K789" s="1"/>
      <c r="L789" s="2"/>
      <c r="M789" s="2"/>
      <c r="N789" s="2"/>
      <c r="O789" s="2"/>
      <c r="P789" s="2"/>
      <c r="Q789" s="2"/>
      <c r="R789" s="2"/>
      <c r="S789" s="2"/>
      <c r="T789" s="3"/>
      <c r="U789" s="1"/>
      <c r="V789" s="1"/>
      <c r="W789" s="1"/>
      <c r="X789" s="1"/>
      <c r="Y789" s="1"/>
      <c r="Z789" s="1"/>
      <c r="AA789" s="1"/>
      <c r="AB789" s="1"/>
    </row>
    <row r="790" spans="1:28">
      <c r="A790" s="261"/>
      <c r="B790" s="261"/>
      <c r="C790" s="115"/>
      <c r="D790" s="1"/>
      <c r="E790" s="1"/>
      <c r="F790" s="1"/>
      <c r="G790" s="1"/>
      <c r="H790" s="1"/>
      <c r="I790" s="1"/>
      <c r="J790" s="1"/>
      <c r="K790" s="1"/>
      <c r="L790" s="2"/>
      <c r="M790" s="2"/>
      <c r="N790" s="2"/>
      <c r="O790" s="2"/>
      <c r="P790" s="2"/>
      <c r="Q790" s="2"/>
      <c r="R790" s="2"/>
      <c r="S790" s="2"/>
      <c r="T790" s="3"/>
      <c r="U790" s="1"/>
      <c r="V790" s="1"/>
      <c r="W790" s="1"/>
      <c r="X790" s="1"/>
      <c r="Y790" s="1"/>
      <c r="Z790" s="1"/>
      <c r="AA790" s="1"/>
      <c r="AB790" s="1"/>
    </row>
    <row r="791" spans="1:28">
      <c r="A791" s="261"/>
      <c r="B791" s="261"/>
      <c r="C791" s="115"/>
      <c r="D791" s="1"/>
      <c r="E791" s="1"/>
      <c r="F791" s="1"/>
      <c r="G791" s="1"/>
      <c r="H791" s="1"/>
      <c r="I791" s="1"/>
      <c r="J791" s="1"/>
      <c r="K791" s="1"/>
      <c r="L791" s="2"/>
      <c r="M791" s="2"/>
      <c r="N791" s="2"/>
      <c r="O791" s="2"/>
      <c r="P791" s="2"/>
      <c r="Q791" s="2"/>
      <c r="R791" s="2"/>
      <c r="S791" s="2"/>
      <c r="T791" s="3"/>
      <c r="U791" s="1"/>
      <c r="V791" s="1"/>
      <c r="W791" s="1"/>
      <c r="X791" s="1"/>
      <c r="Y791" s="1"/>
      <c r="Z791" s="1"/>
      <c r="AA791" s="1"/>
      <c r="AB791" s="1"/>
    </row>
    <row r="792" spans="1:28">
      <c r="A792" s="261"/>
      <c r="B792" s="261"/>
      <c r="C792" s="115"/>
      <c r="D792" s="1"/>
      <c r="E792" s="1"/>
      <c r="F792" s="1"/>
      <c r="G792" s="1"/>
      <c r="H792" s="1"/>
      <c r="I792" s="1"/>
      <c r="J792" s="1"/>
      <c r="K792" s="1"/>
      <c r="L792" s="2"/>
      <c r="M792" s="2"/>
      <c r="N792" s="2"/>
      <c r="O792" s="2"/>
      <c r="P792" s="2"/>
      <c r="Q792" s="2"/>
      <c r="R792" s="2"/>
      <c r="S792" s="2"/>
      <c r="T792" s="3"/>
      <c r="U792" s="1"/>
      <c r="V792" s="1"/>
      <c r="W792" s="1"/>
      <c r="X792" s="1"/>
      <c r="Y792" s="1"/>
      <c r="Z792" s="1"/>
      <c r="AA792" s="1"/>
      <c r="AB792" s="1"/>
    </row>
    <row r="793" spans="1:28">
      <c r="A793" s="261"/>
      <c r="B793" s="261"/>
      <c r="C793" s="115"/>
      <c r="D793" s="1"/>
      <c r="E793" s="1"/>
      <c r="F793" s="1"/>
      <c r="G793" s="1"/>
      <c r="H793" s="1"/>
      <c r="I793" s="1"/>
      <c r="J793" s="1"/>
      <c r="K793" s="1"/>
      <c r="L793" s="2"/>
      <c r="M793" s="2"/>
      <c r="N793" s="2"/>
      <c r="O793" s="2"/>
      <c r="P793" s="2"/>
      <c r="Q793" s="2"/>
      <c r="R793" s="2"/>
      <c r="S793" s="2"/>
      <c r="T793" s="3"/>
      <c r="U793" s="1"/>
      <c r="V793" s="1"/>
      <c r="W793" s="1"/>
      <c r="X793" s="1"/>
      <c r="Y793" s="1"/>
      <c r="Z793" s="1"/>
      <c r="AA793" s="1"/>
      <c r="AB793" s="1"/>
    </row>
    <row r="794" spans="1:28">
      <c r="A794" s="261"/>
      <c r="B794" s="261"/>
      <c r="C794" s="115"/>
      <c r="D794" s="1"/>
      <c r="E794" s="1"/>
      <c r="F794" s="1"/>
      <c r="G794" s="1"/>
      <c r="H794" s="1"/>
      <c r="I794" s="1"/>
      <c r="J794" s="1"/>
      <c r="K794" s="1"/>
      <c r="L794" s="2"/>
      <c r="M794" s="2"/>
      <c r="N794" s="2"/>
      <c r="O794" s="2"/>
      <c r="P794" s="2"/>
      <c r="Q794" s="2"/>
      <c r="R794" s="2"/>
      <c r="S794" s="2"/>
      <c r="T794" s="3"/>
      <c r="U794" s="1"/>
      <c r="V794" s="1"/>
      <c r="W794" s="1"/>
      <c r="X794" s="1"/>
      <c r="Y794" s="1"/>
      <c r="Z794" s="1"/>
      <c r="AA794" s="1"/>
      <c r="AB794" s="1"/>
    </row>
    <row r="795" spans="1:28">
      <c r="A795" s="261"/>
      <c r="B795" s="261"/>
      <c r="C795" s="115"/>
      <c r="D795" s="1"/>
      <c r="E795" s="1"/>
      <c r="F795" s="1"/>
      <c r="G795" s="1"/>
      <c r="H795" s="1"/>
      <c r="I795" s="1"/>
      <c r="J795" s="1"/>
      <c r="K795" s="1"/>
      <c r="L795" s="2"/>
      <c r="M795" s="2"/>
      <c r="N795" s="2"/>
      <c r="O795" s="2"/>
      <c r="P795" s="2"/>
      <c r="Q795" s="2"/>
      <c r="R795" s="2"/>
      <c r="S795" s="2"/>
      <c r="T795" s="3"/>
      <c r="U795" s="1"/>
      <c r="V795" s="1"/>
      <c r="W795" s="1"/>
      <c r="X795" s="1"/>
      <c r="Y795" s="1"/>
      <c r="Z795" s="1"/>
      <c r="AA795" s="1"/>
      <c r="AB795" s="1"/>
    </row>
    <row r="796" spans="1:28">
      <c r="A796" s="261"/>
      <c r="B796" s="261"/>
      <c r="C796" s="115"/>
      <c r="D796" s="1"/>
      <c r="E796" s="1"/>
      <c r="F796" s="1"/>
      <c r="G796" s="1"/>
      <c r="H796" s="1"/>
      <c r="I796" s="1"/>
      <c r="J796" s="1"/>
      <c r="K796" s="1"/>
      <c r="L796" s="2"/>
      <c r="M796" s="2"/>
      <c r="N796" s="2"/>
      <c r="O796" s="2"/>
      <c r="P796" s="2"/>
      <c r="Q796" s="2"/>
      <c r="R796" s="2"/>
      <c r="S796" s="2"/>
      <c r="T796" s="3"/>
      <c r="U796" s="1"/>
      <c r="V796" s="1"/>
      <c r="W796" s="1"/>
      <c r="X796" s="1"/>
      <c r="Y796" s="1"/>
      <c r="Z796" s="1"/>
      <c r="AA796" s="1"/>
      <c r="AB796" s="1"/>
    </row>
    <row r="797" spans="1:28">
      <c r="A797" s="261"/>
      <c r="B797" s="261"/>
      <c r="C797" s="115"/>
      <c r="D797" s="1"/>
      <c r="E797" s="1"/>
      <c r="F797" s="1"/>
      <c r="G797" s="1"/>
      <c r="H797" s="1"/>
      <c r="I797" s="1"/>
      <c r="J797" s="1"/>
      <c r="K797" s="1"/>
      <c r="L797" s="2"/>
      <c r="M797" s="2"/>
      <c r="N797" s="2"/>
      <c r="O797" s="2"/>
      <c r="P797" s="2"/>
      <c r="Q797" s="2"/>
      <c r="R797" s="2"/>
      <c r="S797" s="2"/>
      <c r="T797" s="3"/>
      <c r="U797" s="1"/>
      <c r="V797" s="1"/>
      <c r="W797" s="1"/>
      <c r="X797" s="1"/>
      <c r="Y797" s="1"/>
      <c r="Z797" s="1"/>
      <c r="AA797" s="1"/>
      <c r="AB797" s="1"/>
    </row>
    <row r="798" spans="1:28">
      <c r="A798" s="261"/>
      <c r="B798" s="261"/>
      <c r="C798" s="115"/>
      <c r="D798" s="1"/>
      <c r="E798" s="1"/>
      <c r="F798" s="1"/>
      <c r="G798" s="1"/>
      <c r="H798" s="1"/>
      <c r="I798" s="1"/>
      <c r="J798" s="1"/>
      <c r="K798" s="1"/>
      <c r="L798" s="2"/>
      <c r="M798" s="2"/>
      <c r="N798" s="2"/>
      <c r="O798" s="2"/>
      <c r="P798" s="2"/>
      <c r="Q798" s="2"/>
      <c r="R798" s="2"/>
      <c r="S798" s="2"/>
      <c r="T798" s="3"/>
      <c r="U798" s="1"/>
      <c r="V798" s="1"/>
      <c r="W798" s="1"/>
      <c r="X798" s="1"/>
      <c r="Y798" s="1"/>
      <c r="Z798" s="1"/>
      <c r="AA798" s="1"/>
      <c r="AB798" s="1"/>
    </row>
    <row r="799" spans="1:28">
      <c r="A799" s="261"/>
      <c r="B799" s="261"/>
      <c r="C799" s="115"/>
      <c r="D799" s="1"/>
      <c r="E799" s="1"/>
      <c r="F799" s="1"/>
      <c r="G799" s="1"/>
      <c r="H799" s="1"/>
      <c r="I799" s="1"/>
      <c r="J799" s="1"/>
      <c r="K799" s="1"/>
      <c r="L799" s="2"/>
      <c r="M799" s="2"/>
      <c r="N799" s="2"/>
      <c r="O799" s="2"/>
      <c r="P799" s="2"/>
      <c r="Q799" s="2"/>
      <c r="R799" s="2"/>
      <c r="S799" s="2"/>
      <c r="T799" s="3"/>
      <c r="U799" s="1"/>
      <c r="V799" s="1"/>
      <c r="W799" s="1"/>
      <c r="X799" s="1"/>
      <c r="Y799" s="1"/>
      <c r="Z799" s="1"/>
      <c r="AA799" s="1"/>
      <c r="AB799" s="1"/>
    </row>
    <row r="800" spans="1:28">
      <c r="A800" s="261"/>
      <c r="B800" s="261"/>
      <c r="C800" s="115"/>
      <c r="D800" s="1"/>
      <c r="E800" s="1"/>
      <c r="F800" s="1"/>
      <c r="G800" s="1"/>
      <c r="H800" s="1"/>
      <c r="I800" s="1"/>
      <c r="J800" s="1"/>
      <c r="K800" s="1"/>
      <c r="L800" s="2"/>
      <c r="M800" s="2"/>
      <c r="N800" s="2"/>
      <c r="O800" s="2"/>
      <c r="P800" s="2"/>
      <c r="Q800" s="2"/>
      <c r="R800" s="2"/>
      <c r="S800" s="2"/>
      <c r="T800" s="3"/>
      <c r="U800" s="1"/>
      <c r="V800" s="1"/>
      <c r="W800" s="1"/>
      <c r="X800" s="1"/>
      <c r="Y800" s="1"/>
      <c r="Z800" s="1"/>
      <c r="AA800" s="1"/>
      <c r="AB800" s="1"/>
    </row>
    <row r="801" spans="1:28">
      <c r="A801" s="261"/>
      <c r="B801" s="261"/>
      <c r="C801" s="115"/>
      <c r="D801" s="1"/>
      <c r="E801" s="1"/>
      <c r="F801" s="1"/>
      <c r="G801" s="1"/>
      <c r="H801" s="1"/>
      <c r="I801" s="1"/>
      <c r="J801" s="1"/>
      <c r="K801" s="1"/>
      <c r="L801" s="2"/>
      <c r="M801" s="2"/>
      <c r="N801" s="2"/>
      <c r="O801" s="2"/>
      <c r="P801" s="2"/>
      <c r="Q801" s="2"/>
      <c r="R801" s="2"/>
      <c r="S801" s="2"/>
      <c r="T801" s="3"/>
      <c r="U801" s="1"/>
      <c r="V801" s="1"/>
      <c r="W801" s="1"/>
      <c r="X801" s="1"/>
      <c r="Y801" s="1"/>
      <c r="Z801" s="1"/>
      <c r="AA801" s="1"/>
      <c r="AB801" s="1"/>
    </row>
    <row r="802" spans="1:28">
      <c r="A802" s="261"/>
      <c r="B802" s="261"/>
      <c r="C802" s="115"/>
      <c r="D802" s="1"/>
      <c r="E802" s="1"/>
      <c r="F802" s="1"/>
      <c r="G802" s="1"/>
      <c r="H802" s="1"/>
      <c r="I802" s="1"/>
      <c r="J802" s="1"/>
      <c r="K802" s="1"/>
      <c r="L802" s="2"/>
      <c r="M802" s="2"/>
      <c r="N802" s="2"/>
      <c r="O802" s="2"/>
      <c r="P802" s="2"/>
      <c r="Q802" s="2"/>
      <c r="R802" s="2"/>
      <c r="S802" s="2"/>
      <c r="T802" s="3"/>
      <c r="U802" s="1"/>
      <c r="V802" s="1"/>
      <c r="W802" s="1"/>
      <c r="X802" s="1"/>
      <c r="Y802" s="1"/>
      <c r="Z802" s="1"/>
      <c r="AA802" s="1"/>
      <c r="AB802" s="1"/>
    </row>
    <row r="803" spans="1:28">
      <c r="A803" s="261"/>
      <c r="B803" s="261"/>
      <c r="C803" s="115"/>
      <c r="D803" s="1"/>
      <c r="E803" s="1"/>
      <c r="F803" s="1"/>
      <c r="G803" s="1"/>
      <c r="H803" s="1"/>
      <c r="I803" s="1"/>
      <c r="J803" s="1"/>
      <c r="K803" s="1"/>
      <c r="L803" s="2"/>
      <c r="M803" s="2"/>
      <c r="N803" s="2"/>
      <c r="O803" s="2"/>
      <c r="P803" s="2"/>
      <c r="Q803" s="2"/>
      <c r="R803" s="2"/>
      <c r="S803" s="2"/>
      <c r="T803" s="3"/>
      <c r="U803" s="1"/>
      <c r="V803" s="1"/>
      <c r="W803" s="1"/>
      <c r="X803" s="1"/>
      <c r="Y803" s="1"/>
      <c r="Z803" s="1"/>
      <c r="AA803" s="1"/>
      <c r="AB803" s="1"/>
    </row>
    <row r="804" spans="1:28">
      <c r="A804" s="261"/>
      <c r="B804" s="261"/>
      <c r="C804" s="115"/>
      <c r="D804" s="1"/>
      <c r="E804" s="1"/>
      <c r="F804" s="1"/>
      <c r="G804" s="1"/>
      <c r="H804" s="1"/>
      <c r="I804" s="1"/>
      <c r="J804" s="1"/>
      <c r="K804" s="1"/>
      <c r="L804" s="2"/>
      <c r="M804" s="2"/>
      <c r="N804" s="2"/>
      <c r="O804" s="2"/>
      <c r="P804" s="2"/>
      <c r="Q804" s="2"/>
      <c r="R804" s="2"/>
      <c r="S804" s="2"/>
      <c r="T804" s="3"/>
      <c r="U804" s="1"/>
      <c r="V804" s="1"/>
      <c r="W804" s="1"/>
      <c r="X804" s="1"/>
      <c r="Y804" s="1"/>
      <c r="Z804" s="1"/>
      <c r="AA804" s="1"/>
      <c r="AB804" s="1"/>
    </row>
    <row r="805" spans="1:28">
      <c r="A805" s="261"/>
      <c r="B805" s="261"/>
      <c r="C805" s="115"/>
      <c r="D805" s="1"/>
      <c r="E805" s="1"/>
      <c r="F805" s="1"/>
      <c r="G805" s="1"/>
      <c r="H805" s="1"/>
      <c r="I805" s="1"/>
      <c r="J805" s="1"/>
      <c r="K805" s="1"/>
      <c r="L805" s="2"/>
      <c r="M805" s="2"/>
      <c r="N805" s="2"/>
      <c r="O805" s="2"/>
      <c r="P805" s="2"/>
      <c r="Q805" s="2"/>
      <c r="R805" s="2"/>
      <c r="S805" s="2"/>
      <c r="T805" s="3"/>
      <c r="U805" s="1"/>
      <c r="V805" s="1"/>
      <c r="W805" s="1"/>
      <c r="X805" s="1"/>
      <c r="Y805" s="1"/>
      <c r="Z805" s="1"/>
      <c r="AA805" s="1"/>
      <c r="AB805" s="1"/>
    </row>
    <row r="806" spans="1:28">
      <c r="A806" s="261"/>
      <c r="B806" s="261"/>
      <c r="C806" s="115"/>
      <c r="D806" s="1"/>
      <c r="E806" s="1"/>
      <c r="F806" s="1"/>
      <c r="G806" s="1"/>
      <c r="H806" s="1"/>
      <c r="I806" s="1"/>
      <c r="J806" s="1"/>
      <c r="K806" s="1"/>
      <c r="L806" s="2"/>
      <c r="M806" s="2"/>
      <c r="N806" s="2"/>
      <c r="O806" s="2"/>
      <c r="P806" s="2"/>
      <c r="Q806" s="2"/>
      <c r="R806" s="2"/>
      <c r="S806" s="2"/>
      <c r="T806" s="3"/>
      <c r="U806" s="1"/>
      <c r="V806" s="1"/>
      <c r="W806" s="1"/>
      <c r="X806" s="1"/>
      <c r="Y806" s="1"/>
      <c r="Z806" s="1"/>
      <c r="AA806" s="1"/>
      <c r="AB806" s="1"/>
    </row>
    <row r="807" spans="1:28">
      <c r="A807" s="261"/>
      <c r="B807" s="261"/>
      <c r="C807" s="115"/>
      <c r="D807" s="1"/>
      <c r="E807" s="1"/>
      <c r="F807" s="1"/>
      <c r="G807" s="1"/>
      <c r="H807" s="1"/>
      <c r="I807" s="1"/>
      <c r="J807" s="1"/>
      <c r="K807" s="1"/>
      <c r="L807" s="2"/>
      <c r="M807" s="2"/>
      <c r="N807" s="2"/>
      <c r="O807" s="2"/>
      <c r="P807" s="2"/>
      <c r="Q807" s="2"/>
      <c r="R807" s="2"/>
      <c r="S807" s="2"/>
      <c r="T807" s="3"/>
      <c r="U807" s="1"/>
      <c r="V807" s="1"/>
      <c r="W807" s="1"/>
      <c r="X807" s="1"/>
      <c r="Y807" s="1"/>
      <c r="Z807" s="1"/>
      <c r="AA807" s="1"/>
      <c r="AB807" s="1"/>
    </row>
    <row r="808" spans="1:28">
      <c r="A808" s="261"/>
      <c r="B808" s="261"/>
      <c r="C808" s="115"/>
      <c r="D808" s="1"/>
      <c r="E808" s="1"/>
      <c r="F808" s="1"/>
      <c r="G808" s="1"/>
      <c r="H808" s="1"/>
      <c r="I808" s="1"/>
      <c r="J808" s="1"/>
      <c r="K808" s="1"/>
      <c r="L808" s="2"/>
      <c r="M808" s="2"/>
      <c r="N808" s="2"/>
      <c r="O808" s="2"/>
      <c r="P808" s="2"/>
      <c r="Q808" s="2"/>
      <c r="R808" s="2"/>
      <c r="S808" s="2"/>
      <c r="T808" s="3"/>
      <c r="U808" s="1"/>
      <c r="V808" s="1"/>
      <c r="W808" s="1"/>
      <c r="X808" s="1"/>
      <c r="Y808" s="1"/>
      <c r="Z808" s="1"/>
      <c r="AA808" s="1"/>
      <c r="AB808" s="1"/>
    </row>
    <row r="809" spans="1:28">
      <c r="A809" s="260"/>
      <c r="B809" s="260"/>
      <c r="C809" s="38"/>
      <c r="D809" s="4"/>
      <c r="E809" s="4"/>
      <c r="F809" s="4"/>
      <c r="G809" s="4"/>
      <c r="H809" s="4"/>
      <c r="I809" s="4"/>
      <c r="J809" s="4"/>
      <c r="K809" s="4"/>
      <c r="L809" s="5"/>
      <c r="M809" s="5"/>
      <c r="N809" s="5"/>
      <c r="O809" s="5"/>
      <c r="P809" s="5"/>
      <c r="Q809" s="5"/>
      <c r="R809" s="5"/>
      <c r="S809" s="5"/>
      <c r="T809" s="6"/>
      <c r="U809" s="1"/>
      <c r="V809" s="1"/>
      <c r="W809" s="1"/>
      <c r="X809" s="1"/>
      <c r="Y809" s="1"/>
      <c r="Z809" s="1"/>
      <c r="AA809" s="1"/>
      <c r="AB809" s="1"/>
    </row>
    <row r="810" spans="1:28">
      <c r="A810" s="261"/>
      <c r="B810" s="261"/>
      <c r="C810" s="115"/>
      <c r="D810" s="1"/>
      <c r="E810" s="1"/>
      <c r="F810" s="1"/>
      <c r="G810" s="1"/>
      <c r="H810" s="1"/>
      <c r="I810" s="1"/>
      <c r="J810" s="1"/>
      <c r="K810" s="1"/>
      <c r="L810" s="2"/>
      <c r="M810" s="2"/>
      <c r="N810" s="2"/>
      <c r="O810" s="2"/>
      <c r="P810" s="2"/>
      <c r="Q810" s="2"/>
      <c r="R810" s="2"/>
      <c r="S810" s="2"/>
      <c r="T810" s="3"/>
      <c r="U810" s="1"/>
      <c r="V810" s="1"/>
      <c r="W810" s="1"/>
      <c r="X810" s="1"/>
      <c r="Y810" s="1"/>
      <c r="Z810" s="1"/>
      <c r="AA810" s="1"/>
      <c r="AB810" s="1"/>
    </row>
    <row r="811" spans="1:28">
      <c r="A811" s="261"/>
      <c r="B811" s="261"/>
      <c r="C811" s="115"/>
      <c r="D811" s="1"/>
      <c r="E811" s="1"/>
      <c r="F811" s="1"/>
      <c r="G811" s="1"/>
      <c r="H811" s="1"/>
      <c r="I811" s="1"/>
      <c r="J811" s="1"/>
      <c r="K811" s="1"/>
      <c r="L811" s="2"/>
      <c r="M811" s="2"/>
      <c r="N811" s="2"/>
      <c r="O811" s="2"/>
      <c r="P811" s="2"/>
      <c r="Q811" s="2"/>
      <c r="R811" s="2"/>
      <c r="S811" s="2"/>
      <c r="T811" s="3"/>
      <c r="U811" s="1"/>
      <c r="V811" s="1"/>
      <c r="W811" s="1"/>
      <c r="X811" s="1"/>
      <c r="Y811" s="1"/>
      <c r="Z811" s="1"/>
      <c r="AA811" s="1"/>
      <c r="AB811" s="1"/>
    </row>
    <row r="812" spans="1:28">
      <c r="A812" s="261"/>
      <c r="B812" s="261"/>
      <c r="C812" s="115"/>
      <c r="D812" s="1"/>
      <c r="E812" s="1"/>
      <c r="F812" s="1"/>
      <c r="G812" s="1"/>
      <c r="H812" s="1"/>
      <c r="I812" s="1"/>
      <c r="J812" s="1"/>
      <c r="K812" s="1"/>
      <c r="L812" s="2"/>
      <c r="M812" s="2"/>
      <c r="N812" s="2"/>
      <c r="O812" s="2"/>
      <c r="P812" s="2"/>
      <c r="Q812" s="2"/>
      <c r="R812" s="2"/>
      <c r="S812" s="2"/>
      <c r="T812" s="3"/>
      <c r="U812" s="1"/>
      <c r="V812" s="1"/>
      <c r="W812" s="1"/>
      <c r="X812" s="1"/>
      <c r="Y812" s="1"/>
      <c r="Z812" s="1"/>
      <c r="AA812" s="1"/>
      <c r="AB812" s="1"/>
    </row>
    <row r="813" spans="1:28">
      <c r="A813" s="261"/>
      <c r="B813" s="261"/>
      <c r="C813" s="115"/>
      <c r="D813" s="1"/>
      <c r="E813" s="1"/>
      <c r="F813" s="1"/>
      <c r="G813" s="1"/>
      <c r="H813" s="1"/>
      <c r="I813" s="1"/>
      <c r="J813" s="1"/>
      <c r="K813" s="1"/>
      <c r="L813" s="2"/>
      <c r="M813" s="2"/>
      <c r="N813" s="2"/>
      <c r="O813" s="2"/>
      <c r="P813" s="2"/>
      <c r="Q813" s="2"/>
      <c r="R813" s="2"/>
      <c r="S813" s="2"/>
      <c r="T813" s="3"/>
      <c r="U813" s="1"/>
      <c r="V813" s="1"/>
      <c r="W813" s="1"/>
      <c r="X813" s="1"/>
      <c r="Y813" s="1"/>
      <c r="Z813" s="1"/>
      <c r="AA813" s="1"/>
      <c r="AB813" s="1"/>
    </row>
    <row r="814" spans="1:28">
      <c r="A814" s="261"/>
      <c r="B814" s="261"/>
      <c r="C814" s="115"/>
      <c r="D814" s="1"/>
      <c r="E814" s="1"/>
      <c r="F814" s="1"/>
      <c r="G814" s="1"/>
      <c r="H814" s="1"/>
      <c r="I814" s="1"/>
      <c r="J814" s="1"/>
      <c r="K814" s="1"/>
      <c r="L814" s="2"/>
      <c r="M814" s="2"/>
      <c r="N814" s="2"/>
      <c r="O814" s="2"/>
      <c r="P814" s="2"/>
      <c r="Q814" s="2"/>
      <c r="R814" s="2"/>
      <c r="S814" s="2"/>
      <c r="T814" s="3"/>
      <c r="U814" s="1"/>
      <c r="V814" s="1"/>
      <c r="W814" s="1"/>
      <c r="X814" s="1"/>
      <c r="Y814" s="1"/>
      <c r="Z814" s="1"/>
      <c r="AA814" s="1"/>
      <c r="AB814" s="1"/>
    </row>
    <row r="815" spans="1:28">
      <c r="A815" s="261"/>
      <c r="B815" s="261"/>
      <c r="C815" s="115"/>
      <c r="D815" s="1"/>
      <c r="E815" s="1"/>
      <c r="F815" s="1"/>
      <c r="G815" s="1"/>
      <c r="H815" s="1"/>
      <c r="I815" s="1"/>
      <c r="J815" s="1"/>
      <c r="K815" s="1"/>
      <c r="L815" s="2"/>
      <c r="M815" s="2"/>
      <c r="N815" s="2"/>
      <c r="O815" s="2"/>
      <c r="P815" s="2"/>
      <c r="Q815" s="2"/>
      <c r="R815" s="2"/>
      <c r="S815" s="2"/>
      <c r="T815" s="3"/>
      <c r="U815" s="1"/>
      <c r="V815" s="1"/>
      <c r="W815" s="1"/>
      <c r="X815" s="1"/>
      <c r="Y815" s="1"/>
      <c r="Z815" s="1"/>
      <c r="AA815" s="1"/>
      <c r="AB815" s="1"/>
    </row>
    <row r="816" spans="1:28">
      <c r="A816" s="261"/>
      <c r="B816" s="261"/>
      <c r="C816" s="115"/>
      <c r="D816" s="1"/>
      <c r="E816" s="1"/>
      <c r="F816" s="1"/>
      <c r="G816" s="1"/>
      <c r="H816" s="1"/>
      <c r="I816" s="1"/>
      <c r="J816" s="1"/>
      <c r="K816" s="1"/>
      <c r="L816" s="2"/>
      <c r="M816" s="2"/>
      <c r="N816" s="2"/>
      <c r="O816" s="2"/>
      <c r="P816" s="2"/>
      <c r="Q816" s="2"/>
      <c r="R816" s="2"/>
      <c r="S816" s="2"/>
      <c r="T816" s="3"/>
      <c r="U816" s="1"/>
      <c r="V816" s="1"/>
      <c r="W816" s="1"/>
      <c r="X816" s="1"/>
      <c r="Y816" s="1"/>
      <c r="Z816" s="1"/>
      <c r="AA816" s="1"/>
      <c r="AB816" s="1"/>
    </row>
    <row r="817" spans="1:28">
      <c r="A817" s="261"/>
      <c r="B817" s="261"/>
      <c r="C817" s="115"/>
      <c r="D817" s="1"/>
      <c r="E817" s="1"/>
      <c r="F817" s="1"/>
      <c r="G817" s="1"/>
      <c r="H817" s="1"/>
      <c r="I817" s="1"/>
      <c r="J817" s="1"/>
      <c r="K817" s="1"/>
      <c r="L817" s="2"/>
      <c r="M817" s="2"/>
      <c r="N817" s="2"/>
      <c r="O817" s="2"/>
      <c r="P817" s="2"/>
      <c r="Q817" s="2"/>
      <c r="R817" s="2"/>
      <c r="S817" s="2"/>
      <c r="T817" s="3"/>
      <c r="U817" s="1"/>
      <c r="V817" s="1"/>
      <c r="W817" s="1"/>
      <c r="X817" s="1"/>
      <c r="Y817" s="1"/>
      <c r="Z817" s="1"/>
      <c r="AA817" s="1"/>
      <c r="AB817" s="1"/>
    </row>
    <row r="818" spans="1:28">
      <c r="A818" s="261"/>
      <c r="B818" s="261"/>
      <c r="C818" s="115"/>
      <c r="D818" s="1"/>
      <c r="E818" s="1"/>
      <c r="F818" s="1"/>
      <c r="G818" s="1"/>
      <c r="H818" s="1"/>
      <c r="I818" s="1"/>
      <c r="J818" s="1"/>
      <c r="K818" s="1"/>
      <c r="L818" s="2"/>
      <c r="M818" s="2"/>
      <c r="N818" s="2"/>
      <c r="O818" s="2"/>
      <c r="P818" s="2"/>
      <c r="Q818" s="2"/>
      <c r="R818" s="2"/>
      <c r="S818" s="2"/>
      <c r="T818" s="3"/>
      <c r="U818" s="1"/>
      <c r="V818" s="1"/>
      <c r="W818" s="1"/>
      <c r="X818" s="1"/>
      <c r="Y818" s="1"/>
      <c r="Z818" s="1"/>
      <c r="AA818" s="1"/>
      <c r="AB818" s="1"/>
    </row>
    <row r="819" spans="1:28">
      <c r="A819" s="261"/>
      <c r="B819" s="261"/>
      <c r="C819" s="115"/>
      <c r="D819" s="1"/>
      <c r="E819" s="1"/>
      <c r="F819" s="1"/>
      <c r="G819" s="1"/>
      <c r="H819" s="1"/>
      <c r="I819" s="1"/>
      <c r="J819" s="1"/>
      <c r="K819" s="1"/>
      <c r="L819" s="2"/>
      <c r="M819" s="2"/>
      <c r="N819" s="2"/>
      <c r="O819" s="2"/>
      <c r="P819" s="2"/>
      <c r="Q819" s="2"/>
      <c r="R819" s="2"/>
      <c r="S819" s="2"/>
      <c r="T819" s="3"/>
      <c r="U819" s="1"/>
      <c r="V819" s="1"/>
      <c r="W819" s="1"/>
      <c r="X819" s="1"/>
      <c r="Y819" s="1"/>
      <c r="Z819" s="1"/>
      <c r="AA819" s="1"/>
      <c r="AB819" s="1"/>
    </row>
    <row r="820" spans="1:28">
      <c r="A820" s="261"/>
      <c r="B820" s="261"/>
      <c r="C820" s="115"/>
      <c r="D820" s="1"/>
      <c r="E820" s="1"/>
      <c r="F820" s="1"/>
      <c r="G820" s="1"/>
      <c r="H820" s="1"/>
      <c r="I820" s="1"/>
      <c r="J820" s="1"/>
      <c r="K820" s="1"/>
      <c r="L820" s="2"/>
      <c r="M820" s="2"/>
      <c r="N820" s="2"/>
      <c r="O820" s="2"/>
      <c r="P820" s="2"/>
      <c r="Q820" s="2"/>
      <c r="R820" s="2"/>
      <c r="S820" s="2"/>
      <c r="T820" s="3"/>
      <c r="U820" s="1"/>
      <c r="V820" s="1"/>
      <c r="W820" s="1"/>
      <c r="X820" s="1"/>
      <c r="Y820" s="1"/>
      <c r="Z820" s="1"/>
      <c r="AA820" s="1"/>
      <c r="AB820" s="1"/>
    </row>
    <row r="821" spans="1:28">
      <c r="A821" s="261"/>
      <c r="B821" s="261"/>
      <c r="C821" s="115"/>
      <c r="D821" s="1"/>
      <c r="E821" s="1"/>
      <c r="F821" s="1"/>
      <c r="G821" s="1"/>
      <c r="H821" s="1"/>
      <c r="I821" s="1"/>
      <c r="J821" s="1"/>
      <c r="K821" s="1"/>
      <c r="L821" s="2"/>
      <c r="M821" s="2"/>
      <c r="N821" s="2"/>
      <c r="O821" s="2"/>
      <c r="P821" s="2"/>
      <c r="Q821" s="2"/>
      <c r="R821" s="2"/>
      <c r="S821" s="2"/>
      <c r="T821" s="3"/>
      <c r="U821" s="1"/>
      <c r="V821" s="1"/>
      <c r="W821" s="1"/>
      <c r="X821" s="1"/>
      <c r="Y821" s="1"/>
      <c r="Z821" s="1"/>
      <c r="AA821" s="1"/>
      <c r="AB821" s="1"/>
    </row>
    <row r="822" spans="1:28">
      <c r="A822" s="261"/>
      <c r="B822" s="261"/>
      <c r="C822" s="115"/>
      <c r="D822" s="1"/>
      <c r="E822" s="1"/>
      <c r="F822" s="1"/>
      <c r="G822" s="1"/>
      <c r="H822" s="1"/>
      <c r="I822" s="1"/>
      <c r="J822" s="1"/>
      <c r="K822" s="1"/>
      <c r="L822" s="2"/>
      <c r="M822" s="2"/>
      <c r="N822" s="2"/>
      <c r="O822" s="2"/>
      <c r="P822" s="2"/>
      <c r="Q822" s="2"/>
      <c r="R822" s="2"/>
      <c r="S822" s="2"/>
      <c r="T822" s="3"/>
      <c r="U822" s="1"/>
      <c r="V822" s="1"/>
      <c r="W822" s="1"/>
      <c r="X822" s="1"/>
      <c r="Y822" s="1"/>
      <c r="Z822" s="1"/>
      <c r="AA822" s="1"/>
      <c r="AB822" s="1"/>
    </row>
    <row r="823" spans="1:28">
      <c r="A823" s="261"/>
      <c r="B823" s="261"/>
      <c r="C823" s="115"/>
      <c r="D823" s="1"/>
      <c r="E823" s="1"/>
      <c r="F823" s="1"/>
      <c r="G823" s="1"/>
      <c r="H823" s="1"/>
      <c r="I823" s="1"/>
      <c r="J823" s="1"/>
      <c r="K823" s="1"/>
      <c r="L823" s="2"/>
      <c r="M823" s="2"/>
      <c r="N823" s="2"/>
      <c r="O823" s="2"/>
      <c r="P823" s="2"/>
      <c r="Q823" s="2"/>
      <c r="R823" s="2"/>
      <c r="S823" s="2"/>
      <c r="T823" s="3"/>
      <c r="U823" s="1"/>
      <c r="V823" s="1"/>
      <c r="W823" s="1"/>
      <c r="X823" s="1"/>
      <c r="Y823" s="1"/>
      <c r="Z823" s="1"/>
      <c r="AA823" s="1"/>
      <c r="AB823" s="1"/>
    </row>
    <row r="824" spans="1:28">
      <c r="A824" s="261"/>
      <c r="B824" s="261"/>
      <c r="C824" s="115"/>
      <c r="D824" s="1"/>
      <c r="E824" s="1"/>
      <c r="F824" s="1"/>
      <c r="G824" s="1"/>
      <c r="H824" s="1"/>
      <c r="I824" s="1"/>
      <c r="J824" s="1"/>
      <c r="K824" s="1"/>
      <c r="L824" s="2"/>
      <c r="M824" s="2"/>
      <c r="N824" s="2"/>
      <c r="O824" s="2"/>
      <c r="P824" s="2"/>
      <c r="Q824" s="2"/>
      <c r="R824" s="2"/>
      <c r="S824" s="2"/>
      <c r="T824" s="3"/>
      <c r="U824" s="1"/>
      <c r="V824" s="1"/>
      <c r="W824" s="1"/>
      <c r="X824" s="1"/>
      <c r="Y824" s="1"/>
      <c r="Z824" s="1"/>
      <c r="AA824" s="1"/>
      <c r="AB824" s="1"/>
    </row>
    <row r="825" spans="1:28">
      <c r="A825" s="261"/>
      <c r="B825" s="261"/>
      <c r="C825" s="115"/>
      <c r="D825" s="1"/>
      <c r="E825" s="1"/>
      <c r="F825" s="1"/>
      <c r="G825" s="1"/>
      <c r="H825" s="1"/>
      <c r="I825" s="1"/>
      <c r="J825" s="1"/>
      <c r="K825" s="1"/>
      <c r="L825" s="2"/>
      <c r="M825" s="2"/>
      <c r="N825" s="2"/>
      <c r="O825" s="2"/>
      <c r="P825" s="2"/>
      <c r="Q825" s="2"/>
      <c r="R825" s="2"/>
      <c r="S825" s="2"/>
      <c r="T825" s="3"/>
      <c r="U825" s="1"/>
      <c r="V825" s="1"/>
      <c r="W825" s="1"/>
      <c r="X825" s="1"/>
      <c r="Y825" s="1"/>
      <c r="Z825" s="1"/>
      <c r="AA825" s="1"/>
      <c r="AB825" s="1"/>
    </row>
    <row r="826" spans="1:28">
      <c r="A826" s="261"/>
      <c r="B826" s="261"/>
      <c r="C826" s="115"/>
      <c r="D826" s="1"/>
      <c r="E826" s="1"/>
      <c r="F826" s="1"/>
      <c r="G826" s="1"/>
      <c r="H826" s="1"/>
      <c r="I826" s="1"/>
      <c r="J826" s="1"/>
      <c r="K826" s="1"/>
      <c r="L826" s="2"/>
      <c r="M826" s="2"/>
      <c r="N826" s="2"/>
      <c r="O826" s="2"/>
      <c r="P826" s="2"/>
      <c r="Q826" s="2"/>
      <c r="R826" s="2"/>
      <c r="S826" s="2"/>
      <c r="T826" s="3"/>
      <c r="U826" s="1"/>
      <c r="V826" s="1"/>
      <c r="W826" s="1"/>
      <c r="X826" s="1"/>
      <c r="Y826" s="1"/>
      <c r="Z826" s="1"/>
      <c r="AA826" s="1"/>
      <c r="AB826" s="1"/>
    </row>
    <row r="827" spans="1:28">
      <c r="A827" s="261"/>
      <c r="B827" s="261"/>
      <c r="C827" s="115"/>
      <c r="D827" s="1"/>
      <c r="E827" s="1"/>
      <c r="F827" s="1"/>
      <c r="G827" s="1"/>
      <c r="H827" s="1"/>
      <c r="I827" s="1"/>
      <c r="J827" s="1"/>
      <c r="K827" s="1"/>
      <c r="L827" s="2"/>
      <c r="M827" s="2"/>
      <c r="N827" s="2"/>
      <c r="O827" s="2"/>
      <c r="P827" s="2"/>
      <c r="Q827" s="2"/>
      <c r="R827" s="2"/>
      <c r="S827" s="2"/>
      <c r="T827" s="3"/>
      <c r="U827" s="1"/>
      <c r="V827" s="1"/>
      <c r="W827" s="1"/>
      <c r="X827" s="1"/>
      <c r="Y827" s="1"/>
      <c r="Z827" s="1"/>
      <c r="AA827" s="1"/>
      <c r="AB827" s="1"/>
    </row>
    <row r="828" spans="1:28">
      <c r="A828" s="261"/>
      <c r="B828" s="261"/>
      <c r="C828" s="115"/>
      <c r="D828" s="1"/>
      <c r="E828" s="1"/>
      <c r="F828" s="1"/>
      <c r="G828" s="1"/>
      <c r="H828" s="1"/>
      <c r="I828" s="1"/>
      <c r="J828" s="1"/>
      <c r="K828" s="1"/>
      <c r="L828" s="2"/>
      <c r="M828" s="2"/>
      <c r="N828" s="2"/>
      <c r="O828" s="2"/>
      <c r="P828" s="2"/>
      <c r="Q828" s="2"/>
      <c r="R828" s="2"/>
      <c r="S828" s="2"/>
      <c r="T828" s="3"/>
      <c r="U828" s="1"/>
      <c r="V828" s="1"/>
      <c r="W828" s="1"/>
      <c r="X828" s="1"/>
      <c r="Y828" s="1"/>
      <c r="Z828" s="1"/>
      <c r="AA828" s="1"/>
      <c r="AB828" s="1"/>
    </row>
    <row r="829" spans="1:28">
      <c r="A829" s="261"/>
      <c r="B829" s="261"/>
      <c r="C829" s="115"/>
      <c r="D829" s="1"/>
      <c r="E829" s="1"/>
      <c r="F829" s="1"/>
      <c r="G829" s="1"/>
      <c r="H829" s="1"/>
      <c r="I829" s="1"/>
      <c r="J829" s="1"/>
      <c r="K829" s="1"/>
      <c r="L829" s="2"/>
      <c r="M829" s="2"/>
      <c r="N829" s="2"/>
      <c r="O829" s="2"/>
      <c r="P829" s="2"/>
      <c r="Q829" s="2"/>
      <c r="R829" s="2"/>
      <c r="S829" s="2"/>
      <c r="T829" s="3"/>
      <c r="U829" s="1"/>
      <c r="V829" s="1"/>
      <c r="W829" s="1"/>
      <c r="X829" s="1"/>
      <c r="Y829" s="1"/>
      <c r="Z829" s="1"/>
      <c r="AA829" s="1"/>
      <c r="AB829" s="1"/>
    </row>
    <row r="830" spans="1:28">
      <c r="A830" s="261"/>
      <c r="B830" s="261"/>
      <c r="C830" s="115"/>
      <c r="D830" s="1"/>
      <c r="E830" s="1"/>
      <c r="F830" s="1"/>
      <c r="G830" s="1"/>
      <c r="H830" s="1"/>
      <c r="I830" s="1"/>
      <c r="J830" s="1"/>
      <c r="K830" s="1"/>
      <c r="L830" s="2"/>
      <c r="M830" s="2"/>
      <c r="N830" s="2"/>
      <c r="O830" s="2"/>
      <c r="P830" s="2"/>
      <c r="Q830" s="2"/>
      <c r="R830" s="2"/>
      <c r="S830" s="2"/>
      <c r="T830" s="3"/>
      <c r="U830" s="1"/>
      <c r="V830" s="1"/>
      <c r="W830" s="1"/>
      <c r="X830" s="1"/>
      <c r="Y830" s="1"/>
      <c r="Z830" s="1"/>
      <c r="AA830" s="1"/>
      <c r="AB830" s="1"/>
    </row>
    <row r="831" spans="1:28">
      <c r="A831" s="261"/>
      <c r="B831" s="261"/>
      <c r="C831" s="115"/>
      <c r="D831" s="1"/>
      <c r="E831" s="1"/>
      <c r="F831" s="1"/>
      <c r="G831" s="1"/>
      <c r="H831" s="1"/>
      <c r="I831" s="1"/>
      <c r="J831" s="1"/>
      <c r="K831" s="1"/>
      <c r="L831" s="2"/>
      <c r="M831" s="2"/>
      <c r="N831" s="2"/>
      <c r="O831" s="2"/>
      <c r="P831" s="2"/>
      <c r="Q831" s="2"/>
      <c r="R831" s="2"/>
      <c r="S831" s="2"/>
      <c r="T831" s="3"/>
      <c r="U831" s="1"/>
      <c r="V831" s="1"/>
      <c r="W831" s="1"/>
      <c r="X831" s="1"/>
      <c r="Y831" s="1"/>
      <c r="Z831" s="1"/>
      <c r="AA831" s="1"/>
      <c r="AB831" s="1"/>
    </row>
    <row r="832" spans="1:28">
      <c r="A832" s="261"/>
      <c r="B832" s="261"/>
      <c r="C832" s="115"/>
      <c r="D832" s="1"/>
      <c r="E832" s="1"/>
      <c r="F832" s="1"/>
      <c r="G832" s="1"/>
      <c r="H832" s="1"/>
      <c r="I832" s="1"/>
      <c r="J832" s="1"/>
      <c r="K832" s="1"/>
      <c r="L832" s="2"/>
      <c r="M832" s="2"/>
      <c r="N832" s="2"/>
      <c r="O832" s="2"/>
      <c r="P832" s="2"/>
      <c r="Q832" s="2"/>
      <c r="R832" s="2"/>
      <c r="S832" s="2"/>
      <c r="T832" s="3"/>
      <c r="U832" s="1"/>
      <c r="V832" s="1"/>
      <c r="W832" s="1"/>
      <c r="X832" s="1"/>
      <c r="Y832" s="1"/>
      <c r="Z832" s="1"/>
      <c r="AA832" s="1"/>
      <c r="AB832" s="1"/>
    </row>
    <row r="833" spans="1:28">
      <c r="A833" s="261"/>
      <c r="B833" s="261"/>
      <c r="C833" s="115"/>
      <c r="D833" s="1"/>
      <c r="E833" s="1"/>
      <c r="F833" s="1"/>
      <c r="G833" s="1"/>
      <c r="H833" s="1"/>
      <c r="I833" s="1"/>
      <c r="J833" s="1"/>
      <c r="K833" s="1"/>
      <c r="L833" s="2"/>
      <c r="M833" s="2"/>
      <c r="N833" s="2"/>
      <c r="O833" s="2"/>
      <c r="P833" s="2"/>
      <c r="Q833" s="2"/>
      <c r="R833" s="2"/>
      <c r="S833" s="2"/>
      <c r="T833" s="3"/>
      <c r="U833" s="1"/>
      <c r="V833" s="1"/>
      <c r="W833" s="1"/>
      <c r="X833" s="1"/>
      <c r="Y833" s="1"/>
      <c r="Z833" s="1"/>
      <c r="AA833" s="1"/>
      <c r="AB833" s="1"/>
    </row>
    <row r="834" spans="1:28">
      <c r="A834" s="261"/>
      <c r="B834" s="261"/>
      <c r="C834" s="115"/>
      <c r="D834" s="1"/>
      <c r="E834" s="1"/>
      <c r="F834" s="1"/>
      <c r="G834" s="1"/>
      <c r="H834" s="1"/>
      <c r="I834" s="1"/>
      <c r="J834" s="1"/>
      <c r="K834" s="1"/>
      <c r="L834" s="2"/>
      <c r="M834" s="2"/>
      <c r="N834" s="2"/>
      <c r="O834" s="2"/>
      <c r="P834" s="2"/>
      <c r="Q834" s="2"/>
      <c r="R834" s="2"/>
      <c r="S834" s="2"/>
      <c r="T834" s="3"/>
      <c r="U834" s="1"/>
      <c r="V834" s="1"/>
      <c r="W834" s="1"/>
      <c r="X834" s="1"/>
      <c r="Y834" s="1"/>
      <c r="Z834" s="1"/>
      <c r="AA834" s="1"/>
      <c r="AB834" s="1"/>
    </row>
    <row r="835" spans="1:28">
      <c r="A835" s="261"/>
      <c r="B835" s="261"/>
      <c r="C835" s="115"/>
      <c r="D835" s="1"/>
      <c r="E835" s="1"/>
      <c r="F835" s="1"/>
      <c r="G835" s="1"/>
      <c r="H835" s="1"/>
      <c r="I835" s="1"/>
      <c r="J835" s="1"/>
      <c r="K835" s="1"/>
      <c r="L835" s="2"/>
      <c r="M835" s="2"/>
      <c r="N835" s="2"/>
      <c r="O835" s="2"/>
      <c r="P835" s="2"/>
      <c r="Q835" s="2"/>
      <c r="R835" s="2"/>
      <c r="S835" s="2"/>
      <c r="T835" s="3"/>
      <c r="U835" s="1"/>
      <c r="V835" s="1"/>
      <c r="W835" s="1"/>
      <c r="X835" s="1"/>
      <c r="Y835" s="1"/>
      <c r="Z835" s="1"/>
      <c r="AA835" s="1"/>
      <c r="AB835" s="1"/>
    </row>
    <row r="836" spans="1:28">
      <c r="A836" s="261"/>
      <c r="B836" s="261"/>
      <c r="C836" s="115"/>
      <c r="D836" s="1"/>
      <c r="E836" s="1"/>
      <c r="F836" s="1"/>
      <c r="G836" s="1"/>
      <c r="H836" s="1"/>
      <c r="I836" s="1"/>
      <c r="J836" s="1"/>
      <c r="K836" s="1"/>
      <c r="L836" s="2"/>
      <c r="M836" s="2"/>
      <c r="N836" s="2"/>
      <c r="O836" s="2"/>
      <c r="P836" s="2"/>
      <c r="Q836" s="2"/>
      <c r="R836" s="2"/>
      <c r="S836" s="2"/>
      <c r="T836" s="3"/>
      <c r="U836" s="1"/>
      <c r="V836" s="1"/>
      <c r="W836" s="1"/>
      <c r="X836" s="1"/>
      <c r="Y836" s="1"/>
      <c r="Z836" s="1"/>
      <c r="AA836" s="1"/>
      <c r="AB836" s="1"/>
    </row>
    <row r="837" spans="1:28">
      <c r="A837" s="261"/>
      <c r="B837" s="261"/>
      <c r="C837" s="115"/>
      <c r="D837" s="1"/>
      <c r="E837" s="1"/>
      <c r="F837" s="1"/>
      <c r="G837" s="1"/>
      <c r="H837" s="1"/>
      <c r="I837" s="1"/>
      <c r="J837" s="1"/>
      <c r="K837" s="1"/>
      <c r="L837" s="2"/>
      <c r="M837" s="2"/>
      <c r="N837" s="2"/>
      <c r="O837" s="2"/>
      <c r="P837" s="2"/>
      <c r="Q837" s="2"/>
      <c r="R837" s="2"/>
      <c r="S837" s="2"/>
      <c r="T837" s="3"/>
      <c r="U837" s="1"/>
      <c r="V837" s="1"/>
      <c r="W837" s="1"/>
      <c r="X837" s="1"/>
      <c r="Y837" s="1"/>
      <c r="Z837" s="1"/>
      <c r="AA837" s="1"/>
      <c r="AB837" s="1"/>
    </row>
    <row r="838" spans="1:28">
      <c r="A838" s="261"/>
      <c r="B838" s="261"/>
      <c r="C838" s="115"/>
      <c r="D838" s="1"/>
      <c r="E838" s="1"/>
      <c r="F838" s="1"/>
      <c r="G838" s="1"/>
      <c r="H838" s="1"/>
      <c r="I838" s="1"/>
      <c r="J838" s="1"/>
      <c r="K838" s="1"/>
      <c r="L838" s="2"/>
      <c r="M838" s="2"/>
      <c r="N838" s="2"/>
      <c r="O838" s="2"/>
      <c r="P838" s="2"/>
      <c r="Q838" s="2"/>
      <c r="R838" s="2"/>
      <c r="S838" s="2"/>
      <c r="T838" s="3"/>
      <c r="U838" s="1"/>
      <c r="V838" s="1"/>
      <c r="W838" s="1"/>
      <c r="X838" s="1"/>
      <c r="Y838" s="1"/>
      <c r="Z838" s="1"/>
      <c r="AA838" s="1"/>
      <c r="AB838" s="1"/>
    </row>
    <row r="839" spans="1:28">
      <c r="A839" s="261"/>
      <c r="B839" s="261"/>
      <c r="C839" s="115"/>
      <c r="D839" s="1"/>
      <c r="E839" s="1"/>
      <c r="F839" s="1"/>
      <c r="G839" s="1"/>
      <c r="H839" s="1"/>
      <c r="I839" s="1"/>
      <c r="J839" s="1"/>
      <c r="K839" s="1"/>
      <c r="L839" s="2"/>
      <c r="M839" s="2"/>
      <c r="N839" s="2"/>
      <c r="O839" s="2"/>
      <c r="P839" s="2"/>
      <c r="Q839" s="2"/>
      <c r="R839" s="2"/>
      <c r="S839" s="2"/>
      <c r="T839" s="3"/>
      <c r="U839" s="1"/>
      <c r="V839" s="1"/>
      <c r="W839" s="1"/>
      <c r="X839" s="1"/>
      <c r="Y839" s="1"/>
      <c r="Z839" s="1"/>
      <c r="AA839" s="1"/>
      <c r="AB839" s="1"/>
    </row>
    <row r="840" spans="1:28">
      <c r="A840" s="261"/>
      <c r="B840" s="261"/>
      <c r="C840" s="115"/>
      <c r="D840" s="1"/>
      <c r="E840" s="1"/>
      <c r="F840" s="1"/>
      <c r="G840" s="1"/>
      <c r="H840" s="1"/>
      <c r="I840" s="1"/>
      <c r="J840" s="1"/>
      <c r="K840" s="1"/>
      <c r="L840" s="2"/>
      <c r="M840" s="2"/>
      <c r="N840" s="2"/>
      <c r="O840" s="2"/>
      <c r="P840" s="2"/>
      <c r="Q840" s="2"/>
      <c r="R840" s="2"/>
      <c r="S840" s="2"/>
      <c r="T840" s="3"/>
      <c r="U840" s="1"/>
      <c r="V840" s="1"/>
      <c r="W840" s="1"/>
      <c r="X840" s="1"/>
      <c r="Y840" s="1"/>
      <c r="Z840" s="1"/>
      <c r="AA840" s="1"/>
      <c r="AB840" s="1"/>
    </row>
    <row r="841" spans="1:28">
      <c r="A841" s="261"/>
      <c r="B841" s="261"/>
      <c r="C841" s="115"/>
      <c r="D841" s="1"/>
      <c r="E841" s="1"/>
      <c r="F841" s="1"/>
      <c r="G841" s="1"/>
      <c r="H841" s="1"/>
      <c r="I841" s="1"/>
      <c r="J841" s="1"/>
      <c r="K841" s="1"/>
      <c r="L841" s="2"/>
      <c r="M841" s="2"/>
      <c r="N841" s="2"/>
      <c r="O841" s="2"/>
      <c r="P841" s="2"/>
      <c r="Q841" s="2"/>
      <c r="R841" s="2"/>
      <c r="S841" s="2"/>
      <c r="T841" s="3"/>
      <c r="U841" s="1"/>
      <c r="V841" s="1"/>
      <c r="W841" s="1"/>
      <c r="X841" s="1"/>
      <c r="Y841" s="1"/>
      <c r="Z841" s="1"/>
      <c r="AA841" s="1"/>
      <c r="AB841" s="1"/>
    </row>
    <row r="842" spans="1:28">
      <c r="A842" s="261"/>
      <c r="B842" s="261"/>
      <c r="C842" s="115"/>
      <c r="D842" s="1"/>
      <c r="E842" s="1"/>
      <c r="F842" s="1"/>
      <c r="G842" s="1"/>
      <c r="H842" s="1"/>
      <c r="I842" s="1"/>
      <c r="J842" s="1"/>
      <c r="K842" s="1"/>
      <c r="L842" s="2"/>
      <c r="M842" s="2"/>
      <c r="N842" s="2"/>
      <c r="O842" s="2"/>
      <c r="P842" s="2"/>
      <c r="Q842" s="2"/>
      <c r="R842" s="2"/>
      <c r="S842" s="2"/>
      <c r="T842" s="3"/>
      <c r="U842" s="1"/>
      <c r="V842" s="1"/>
      <c r="W842" s="1"/>
      <c r="X842" s="1"/>
      <c r="Y842" s="1"/>
      <c r="Z842" s="1"/>
      <c r="AA842" s="1"/>
      <c r="AB842" s="1"/>
    </row>
    <row r="843" spans="1:28">
      <c r="A843" s="261"/>
      <c r="B843" s="261"/>
      <c r="C843" s="115"/>
      <c r="D843" s="1"/>
      <c r="E843" s="1"/>
      <c r="F843" s="1"/>
      <c r="G843" s="1"/>
      <c r="H843" s="1"/>
      <c r="I843" s="1"/>
      <c r="J843" s="1"/>
      <c r="K843" s="1"/>
      <c r="L843" s="2"/>
      <c r="M843" s="2"/>
      <c r="N843" s="2"/>
      <c r="O843" s="2"/>
      <c r="P843" s="2"/>
      <c r="Q843" s="2"/>
      <c r="R843" s="2"/>
      <c r="S843" s="2"/>
      <c r="T843" s="3"/>
      <c r="U843" s="1"/>
      <c r="V843" s="1"/>
      <c r="W843" s="1"/>
      <c r="X843" s="1"/>
      <c r="Y843" s="1"/>
      <c r="Z843" s="1"/>
      <c r="AA843" s="1"/>
      <c r="AB843" s="1"/>
    </row>
    <row r="844" spans="1:28">
      <c r="A844" s="261"/>
      <c r="B844" s="261"/>
      <c r="C844" s="115"/>
      <c r="D844" s="1"/>
      <c r="E844" s="1"/>
      <c r="F844" s="1"/>
      <c r="G844" s="1"/>
      <c r="H844" s="1"/>
      <c r="I844" s="1"/>
      <c r="J844" s="1"/>
      <c r="K844" s="1"/>
      <c r="L844" s="2"/>
      <c r="M844" s="2"/>
      <c r="N844" s="2"/>
      <c r="O844" s="2"/>
      <c r="P844" s="2"/>
      <c r="Q844" s="2"/>
      <c r="R844" s="2"/>
      <c r="S844" s="2"/>
      <c r="T844" s="3"/>
      <c r="U844" s="1"/>
      <c r="V844" s="1"/>
      <c r="W844" s="1"/>
      <c r="X844" s="1"/>
      <c r="Y844" s="1"/>
      <c r="Z844" s="1"/>
      <c r="AA844" s="1"/>
      <c r="AB844" s="1"/>
    </row>
    <row r="845" spans="1:28">
      <c r="A845" s="261"/>
      <c r="B845" s="261"/>
      <c r="C845" s="115"/>
      <c r="D845" s="1"/>
      <c r="E845" s="1"/>
      <c r="F845" s="1"/>
      <c r="G845" s="1"/>
      <c r="H845" s="1"/>
      <c r="I845" s="1"/>
      <c r="J845" s="1"/>
      <c r="K845" s="1"/>
      <c r="L845" s="2"/>
      <c r="M845" s="2"/>
      <c r="N845" s="2"/>
      <c r="O845" s="2"/>
      <c r="P845" s="2"/>
      <c r="Q845" s="2"/>
      <c r="R845" s="2"/>
      <c r="S845" s="2"/>
      <c r="T845" s="3"/>
      <c r="U845" s="1"/>
      <c r="V845" s="1"/>
      <c r="W845" s="1"/>
      <c r="X845" s="1"/>
      <c r="Y845" s="1"/>
      <c r="Z845" s="1"/>
      <c r="AA845" s="1"/>
      <c r="AB845" s="1"/>
    </row>
    <row r="846" spans="1:28">
      <c r="A846" s="261"/>
      <c r="B846" s="261"/>
      <c r="C846" s="115"/>
      <c r="D846" s="1"/>
      <c r="E846" s="1"/>
      <c r="F846" s="1"/>
      <c r="G846" s="1"/>
      <c r="H846" s="1"/>
      <c r="I846" s="1"/>
      <c r="J846" s="1"/>
      <c r="K846" s="1"/>
      <c r="L846" s="2"/>
      <c r="M846" s="2"/>
      <c r="N846" s="2"/>
      <c r="O846" s="2"/>
      <c r="P846" s="2"/>
      <c r="Q846" s="2"/>
      <c r="R846" s="2"/>
      <c r="S846" s="2"/>
      <c r="T846" s="3"/>
      <c r="U846" s="1"/>
      <c r="V846" s="1"/>
      <c r="W846" s="1"/>
      <c r="X846" s="1"/>
      <c r="Y846" s="1"/>
      <c r="Z846" s="1"/>
      <c r="AA846" s="1"/>
      <c r="AB846" s="1"/>
    </row>
    <row r="847" spans="1:28">
      <c r="A847" s="261"/>
      <c r="B847" s="261"/>
      <c r="C847" s="115"/>
      <c r="D847" s="1"/>
      <c r="E847" s="1"/>
      <c r="F847" s="1"/>
      <c r="G847" s="1"/>
      <c r="H847" s="1"/>
      <c r="I847" s="1"/>
      <c r="J847" s="1"/>
      <c r="K847" s="1"/>
      <c r="L847" s="2"/>
      <c r="M847" s="2"/>
      <c r="N847" s="2"/>
      <c r="O847" s="2"/>
      <c r="P847" s="2"/>
      <c r="Q847" s="2"/>
      <c r="R847" s="2"/>
      <c r="S847" s="2"/>
      <c r="T847" s="3"/>
      <c r="U847" s="1"/>
      <c r="V847" s="1"/>
      <c r="W847" s="1"/>
      <c r="X847" s="1"/>
      <c r="Y847" s="1"/>
      <c r="Z847" s="1"/>
      <c r="AA847" s="1"/>
      <c r="AB847" s="1"/>
    </row>
    <row r="848" spans="1:28">
      <c r="A848" s="261"/>
      <c r="B848" s="261"/>
      <c r="C848" s="115"/>
      <c r="D848" s="1"/>
      <c r="E848" s="1"/>
      <c r="F848" s="1"/>
      <c r="G848" s="1"/>
      <c r="H848" s="1"/>
      <c r="I848" s="1"/>
      <c r="J848" s="1"/>
      <c r="K848" s="1"/>
      <c r="L848" s="2"/>
      <c r="M848" s="2"/>
      <c r="N848" s="2"/>
      <c r="O848" s="2"/>
      <c r="P848" s="2"/>
      <c r="Q848" s="2"/>
      <c r="R848" s="2"/>
      <c r="S848" s="2"/>
      <c r="T848" s="3"/>
      <c r="U848" s="1"/>
      <c r="V848" s="1"/>
      <c r="W848" s="1"/>
      <c r="X848" s="1"/>
      <c r="Y848" s="1"/>
      <c r="Z848" s="1"/>
      <c r="AA848" s="1"/>
      <c r="AB848" s="1"/>
    </row>
    <row r="849" spans="1:28">
      <c r="A849" s="261"/>
      <c r="B849" s="261"/>
      <c r="C849" s="115"/>
      <c r="D849" s="1"/>
      <c r="E849" s="1"/>
      <c r="F849" s="1"/>
      <c r="G849" s="1"/>
      <c r="H849" s="1"/>
      <c r="I849" s="1"/>
      <c r="J849" s="1"/>
      <c r="K849" s="1"/>
      <c r="L849" s="2"/>
      <c r="M849" s="2"/>
      <c r="N849" s="2"/>
      <c r="O849" s="2"/>
      <c r="P849" s="2"/>
      <c r="Q849" s="2"/>
      <c r="R849" s="2"/>
      <c r="S849" s="2"/>
      <c r="T849" s="3"/>
      <c r="U849" s="1"/>
      <c r="V849" s="1"/>
      <c r="W849" s="1"/>
      <c r="X849" s="1"/>
      <c r="Y849" s="1"/>
      <c r="Z849" s="1"/>
      <c r="AA849" s="1"/>
      <c r="AB849" s="1"/>
    </row>
    <row r="850" spans="1:28">
      <c r="A850" s="261"/>
      <c r="B850" s="261"/>
      <c r="C850" s="115"/>
      <c r="D850" s="1"/>
      <c r="E850" s="1"/>
      <c r="F850" s="1"/>
      <c r="G850" s="1"/>
      <c r="H850" s="1"/>
      <c r="I850" s="1"/>
      <c r="J850" s="1"/>
      <c r="K850" s="1"/>
      <c r="L850" s="2"/>
      <c r="M850" s="2"/>
      <c r="N850" s="2"/>
      <c r="O850" s="2"/>
      <c r="P850" s="2"/>
      <c r="Q850" s="2"/>
      <c r="R850" s="2"/>
      <c r="S850" s="2"/>
      <c r="T850" s="3"/>
      <c r="U850" s="1"/>
      <c r="V850" s="1"/>
      <c r="W850" s="1"/>
      <c r="X850" s="1"/>
      <c r="Y850" s="1"/>
      <c r="Z850" s="1"/>
      <c r="AA850" s="1"/>
      <c r="AB850" s="1"/>
    </row>
    <row r="851" spans="1:28">
      <c r="A851" s="261"/>
      <c r="B851" s="261"/>
      <c r="C851" s="115"/>
      <c r="D851" s="1"/>
      <c r="E851" s="1"/>
      <c r="F851" s="1"/>
      <c r="G851" s="1"/>
      <c r="H851" s="1"/>
      <c r="I851" s="1"/>
      <c r="J851" s="1"/>
      <c r="K851" s="1"/>
      <c r="L851" s="2"/>
      <c r="M851" s="2"/>
      <c r="N851" s="2"/>
      <c r="O851" s="2"/>
      <c r="P851" s="2"/>
      <c r="Q851" s="2"/>
      <c r="R851" s="2"/>
      <c r="S851" s="2"/>
      <c r="T851" s="3"/>
      <c r="U851" s="1"/>
      <c r="V851" s="1"/>
      <c r="W851" s="1"/>
      <c r="X851" s="1"/>
      <c r="Y851" s="1"/>
      <c r="Z851" s="1"/>
      <c r="AA851" s="1"/>
      <c r="AB851" s="1"/>
    </row>
    <row r="852" spans="1:28">
      <c r="A852" s="261"/>
      <c r="B852" s="261"/>
      <c r="C852" s="115"/>
      <c r="D852" s="1"/>
      <c r="E852" s="1"/>
      <c r="F852" s="1"/>
      <c r="G852" s="1"/>
      <c r="H852" s="1"/>
      <c r="I852" s="1"/>
      <c r="J852" s="1"/>
      <c r="K852" s="1"/>
      <c r="L852" s="2"/>
      <c r="M852" s="2"/>
      <c r="N852" s="2"/>
      <c r="O852" s="2"/>
      <c r="P852" s="2"/>
      <c r="Q852" s="2"/>
      <c r="R852" s="2"/>
      <c r="S852" s="2"/>
      <c r="T852" s="3"/>
      <c r="U852" s="1"/>
      <c r="V852" s="1"/>
      <c r="W852" s="1"/>
      <c r="X852" s="1"/>
      <c r="Y852" s="1"/>
      <c r="Z852" s="1"/>
      <c r="AA852" s="1"/>
      <c r="AB852" s="1"/>
    </row>
    <row r="853" spans="1:28">
      <c r="A853" s="261"/>
      <c r="B853" s="261"/>
      <c r="C853" s="115"/>
      <c r="D853" s="1"/>
      <c r="E853" s="1"/>
      <c r="F853" s="1"/>
      <c r="G853" s="1"/>
      <c r="H853" s="1"/>
      <c r="I853" s="1"/>
      <c r="J853" s="1"/>
      <c r="K853" s="1"/>
      <c r="L853" s="2"/>
      <c r="M853" s="2"/>
      <c r="N853" s="2"/>
      <c r="O853" s="2"/>
      <c r="P853" s="2"/>
      <c r="Q853" s="2"/>
      <c r="R853" s="2"/>
      <c r="S853" s="2"/>
      <c r="T853" s="3"/>
      <c r="U853" s="1"/>
      <c r="V853" s="1"/>
      <c r="W853" s="1"/>
      <c r="X853" s="1"/>
      <c r="Y853" s="1"/>
      <c r="Z853" s="1"/>
      <c r="AA853" s="1"/>
      <c r="AB853" s="1"/>
    </row>
    <row r="854" spans="1:28">
      <c r="A854" s="261"/>
      <c r="B854" s="261"/>
      <c r="C854" s="115"/>
      <c r="D854" s="1"/>
      <c r="E854" s="1"/>
      <c r="F854" s="1"/>
      <c r="G854" s="1"/>
      <c r="H854" s="1"/>
      <c r="I854" s="1"/>
      <c r="J854" s="1"/>
      <c r="K854" s="1"/>
      <c r="L854" s="2"/>
      <c r="M854" s="2"/>
      <c r="N854" s="2"/>
      <c r="O854" s="2"/>
      <c r="P854" s="2"/>
      <c r="Q854" s="2"/>
      <c r="R854" s="2"/>
      <c r="S854" s="2"/>
      <c r="T854" s="3"/>
      <c r="U854" s="1"/>
      <c r="V854" s="1"/>
      <c r="W854" s="1"/>
      <c r="X854" s="1"/>
      <c r="Y854" s="1"/>
      <c r="Z854" s="1"/>
      <c r="AA854" s="1"/>
      <c r="AB854" s="1"/>
    </row>
    <row r="855" spans="1:28">
      <c r="A855" s="261"/>
      <c r="B855" s="261"/>
      <c r="C855" s="115"/>
      <c r="D855" s="1"/>
      <c r="E855" s="1"/>
      <c r="F855" s="1"/>
      <c r="G855" s="1"/>
      <c r="H855" s="1"/>
      <c r="I855" s="1"/>
      <c r="J855" s="1"/>
      <c r="K855" s="1"/>
      <c r="L855" s="2"/>
      <c r="M855" s="2"/>
      <c r="N855" s="2"/>
      <c r="O855" s="2"/>
      <c r="P855" s="2"/>
      <c r="Q855" s="2"/>
      <c r="R855" s="2"/>
      <c r="S855" s="2"/>
      <c r="T855" s="3"/>
      <c r="U855" s="1"/>
      <c r="V855" s="1"/>
      <c r="W855" s="1"/>
      <c r="X855" s="1"/>
      <c r="Y855" s="1"/>
      <c r="Z855" s="1"/>
      <c r="AA855" s="1"/>
      <c r="AB855" s="1"/>
    </row>
    <row r="856" spans="1:28">
      <c r="A856" s="261"/>
      <c r="B856" s="261"/>
      <c r="C856" s="115"/>
      <c r="D856" s="1"/>
      <c r="E856" s="1"/>
      <c r="F856" s="1"/>
      <c r="G856" s="1"/>
      <c r="H856" s="1"/>
      <c r="I856" s="1"/>
      <c r="J856" s="1"/>
      <c r="K856" s="1"/>
      <c r="L856" s="2"/>
      <c r="M856" s="2"/>
      <c r="N856" s="2"/>
      <c r="O856" s="2"/>
      <c r="P856" s="2"/>
      <c r="Q856" s="2"/>
      <c r="R856" s="2"/>
      <c r="S856" s="2"/>
      <c r="T856" s="3"/>
      <c r="U856" s="1"/>
      <c r="V856" s="1"/>
      <c r="W856" s="1"/>
      <c r="X856" s="1"/>
      <c r="Y856" s="1"/>
      <c r="Z856" s="1"/>
      <c r="AA856" s="1"/>
      <c r="AB856" s="1"/>
    </row>
    <row r="857" spans="1:28">
      <c r="A857" s="261"/>
      <c r="B857" s="261"/>
      <c r="C857" s="115"/>
      <c r="D857" s="1"/>
      <c r="E857" s="1"/>
      <c r="F857" s="1"/>
      <c r="G857" s="1"/>
      <c r="H857" s="1"/>
      <c r="I857" s="1"/>
      <c r="J857" s="1"/>
      <c r="K857" s="1"/>
      <c r="L857" s="2"/>
      <c r="M857" s="2"/>
      <c r="N857" s="2"/>
      <c r="O857" s="2"/>
      <c r="P857" s="2"/>
      <c r="Q857" s="2"/>
      <c r="R857" s="2"/>
      <c r="S857" s="2"/>
      <c r="T857" s="3"/>
      <c r="U857" s="1"/>
      <c r="V857" s="1"/>
      <c r="W857" s="1"/>
      <c r="X857" s="1"/>
      <c r="Y857" s="1"/>
      <c r="Z857" s="1"/>
      <c r="AA857" s="1"/>
      <c r="AB857" s="1"/>
    </row>
    <row r="858" spans="1:28">
      <c r="A858" s="261"/>
      <c r="B858" s="261"/>
      <c r="C858" s="115"/>
      <c r="D858" s="1"/>
      <c r="E858" s="1"/>
      <c r="F858" s="1"/>
      <c r="G858" s="1"/>
      <c r="H858" s="1"/>
      <c r="I858" s="1"/>
      <c r="J858" s="1"/>
      <c r="K858" s="1"/>
      <c r="L858" s="2"/>
      <c r="M858" s="2"/>
      <c r="N858" s="2"/>
      <c r="O858" s="2"/>
      <c r="P858" s="2"/>
      <c r="Q858" s="2"/>
      <c r="R858" s="2"/>
      <c r="S858" s="2"/>
      <c r="T858" s="3"/>
      <c r="U858" s="1"/>
      <c r="V858" s="1"/>
      <c r="W858" s="1"/>
      <c r="X858" s="1"/>
      <c r="Y858" s="1"/>
      <c r="Z858" s="1"/>
      <c r="AA858" s="1"/>
      <c r="AB858" s="1"/>
    </row>
    <row r="859" spans="1:28">
      <c r="A859" s="261"/>
      <c r="B859" s="261"/>
      <c r="C859" s="115"/>
      <c r="D859" s="1"/>
      <c r="E859" s="1"/>
      <c r="F859" s="1"/>
      <c r="G859" s="1"/>
      <c r="H859" s="1"/>
      <c r="I859" s="1"/>
      <c r="J859" s="1"/>
      <c r="K859" s="1"/>
      <c r="L859" s="2"/>
      <c r="M859" s="2"/>
      <c r="N859" s="2"/>
      <c r="O859" s="2"/>
      <c r="P859" s="2"/>
      <c r="Q859" s="2"/>
      <c r="R859" s="2"/>
      <c r="S859" s="2"/>
      <c r="T859" s="3"/>
      <c r="U859" s="1"/>
      <c r="V859" s="1"/>
      <c r="W859" s="1"/>
      <c r="X859" s="1"/>
      <c r="Y859" s="1"/>
      <c r="Z859" s="1"/>
      <c r="AA859" s="1"/>
      <c r="AB859" s="1"/>
    </row>
    <row r="860" spans="1:28">
      <c r="A860" s="261"/>
      <c r="B860" s="261"/>
      <c r="C860" s="115"/>
      <c r="D860" s="1"/>
      <c r="E860" s="1"/>
      <c r="F860" s="1"/>
      <c r="G860" s="1"/>
      <c r="H860" s="1"/>
      <c r="I860" s="1"/>
      <c r="J860" s="1"/>
      <c r="K860" s="1"/>
      <c r="L860" s="2"/>
      <c r="M860" s="2"/>
      <c r="N860" s="2"/>
      <c r="O860" s="2"/>
      <c r="P860" s="2"/>
      <c r="Q860" s="2"/>
      <c r="R860" s="2"/>
      <c r="S860" s="2"/>
      <c r="T860" s="3"/>
      <c r="U860" s="1"/>
      <c r="V860" s="1"/>
      <c r="W860" s="1"/>
      <c r="X860" s="1"/>
      <c r="Y860" s="1"/>
      <c r="Z860" s="1"/>
      <c r="AA860" s="1"/>
      <c r="AB860" s="1"/>
    </row>
    <row r="861" spans="1:28">
      <c r="A861" s="261"/>
      <c r="B861" s="261"/>
      <c r="C861" s="115"/>
      <c r="D861" s="1"/>
      <c r="E861" s="1"/>
      <c r="F861" s="1"/>
      <c r="G861" s="1"/>
      <c r="H861" s="1"/>
      <c r="I861" s="1"/>
      <c r="J861" s="1"/>
      <c r="K861" s="1"/>
      <c r="L861" s="2"/>
      <c r="M861" s="2"/>
      <c r="N861" s="2"/>
      <c r="O861" s="2"/>
      <c r="P861" s="2"/>
      <c r="Q861" s="2"/>
      <c r="R861" s="2"/>
      <c r="S861" s="2"/>
      <c r="T861" s="3"/>
      <c r="U861" s="1"/>
      <c r="V861" s="1"/>
      <c r="W861" s="1"/>
      <c r="X861" s="1"/>
      <c r="Y861" s="1"/>
      <c r="Z861" s="1"/>
      <c r="AA861" s="1"/>
      <c r="AB861" s="1"/>
    </row>
    <row r="862" spans="1:28">
      <c r="A862" s="261"/>
      <c r="B862" s="261"/>
      <c r="C862" s="115"/>
      <c r="D862" s="1"/>
      <c r="E862" s="1"/>
      <c r="F862" s="1"/>
      <c r="G862" s="1"/>
      <c r="H862" s="1"/>
      <c r="I862" s="1"/>
      <c r="J862" s="1"/>
      <c r="K862" s="1"/>
      <c r="L862" s="2"/>
      <c r="M862" s="2"/>
      <c r="N862" s="2"/>
      <c r="O862" s="2"/>
      <c r="P862" s="2"/>
      <c r="Q862" s="2"/>
      <c r="R862" s="2"/>
      <c r="S862" s="2"/>
      <c r="T862" s="3"/>
      <c r="U862" s="1"/>
      <c r="V862" s="1"/>
      <c r="W862" s="1"/>
      <c r="X862" s="1"/>
      <c r="Y862" s="1"/>
      <c r="Z862" s="1"/>
      <c r="AA862" s="1"/>
      <c r="AB862" s="1"/>
    </row>
    <row r="863" spans="1:28">
      <c r="A863" s="261"/>
      <c r="B863" s="261"/>
      <c r="C863" s="115"/>
      <c r="D863" s="1"/>
      <c r="E863" s="1"/>
      <c r="F863" s="1"/>
      <c r="G863" s="1"/>
      <c r="H863" s="1"/>
      <c r="I863" s="1"/>
      <c r="J863" s="1"/>
      <c r="K863" s="1"/>
      <c r="L863" s="2"/>
      <c r="M863" s="2"/>
      <c r="N863" s="2"/>
      <c r="O863" s="2"/>
      <c r="P863" s="2"/>
      <c r="Q863" s="2"/>
      <c r="R863" s="2"/>
      <c r="S863" s="2"/>
      <c r="T863" s="3"/>
      <c r="U863" s="1"/>
      <c r="V863" s="1"/>
      <c r="W863" s="1"/>
      <c r="X863" s="1"/>
      <c r="Y863" s="1"/>
      <c r="Z863" s="1"/>
      <c r="AA863" s="1"/>
      <c r="AB863" s="1"/>
    </row>
    <row r="864" spans="1:28">
      <c r="A864" s="261"/>
      <c r="B864" s="261"/>
      <c r="C864" s="115"/>
      <c r="D864" s="1"/>
      <c r="E864" s="1"/>
      <c r="F864" s="1"/>
      <c r="G864" s="1"/>
      <c r="H864" s="1"/>
      <c r="I864" s="1"/>
      <c r="J864" s="1"/>
      <c r="K864" s="1"/>
      <c r="L864" s="2"/>
      <c r="M864" s="2"/>
      <c r="N864" s="2"/>
      <c r="O864" s="2"/>
      <c r="P864" s="2"/>
      <c r="Q864" s="2"/>
      <c r="R864" s="2"/>
      <c r="S864" s="2"/>
      <c r="T864" s="3"/>
      <c r="U864" s="1"/>
      <c r="V864" s="1"/>
      <c r="W864" s="1"/>
      <c r="X864" s="1"/>
      <c r="Y864" s="1"/>
      <c r="Z864" s="1"/>
      <c r="AA864" s="1"/>
      <c r="AB864" s="1"/>
    </row>
    <row r="865" spans="1:28">
      <c r="A865" s="261"/>
      <c r="B865" s="261"/>
      <c r="C865" s="115"/>
      <c r="D865" s="1"/>
      <c r="E865" s="1"/>
      <c r="F865" s="1"/>
      <c r="G865" s="1"/>
      <c r="H865" s="1"/>
      <c r="I865" s="1"/>
      <c r="J865" s="1"/>
      <c r="K865" s="1"/>
      <c r="L865" s="2"/>
      <c r="M865" s="2"/>
      <c r="N865" s="2"/>
      <c r="O865" s="2"/>
      <c r="P865" s="2"/>
      <c r="Q865" s="2"/>
      <c r="R865" s="2"/>
      <c r="S865" s="2"/>
      <c r="T865" s="3"/>
      <c r="U865" s="1"/>
      <c r="V865" s="1"/>
      <c r="W865" s="1"/>
      <c r="X865" s="1"/>
      <c r="Y865" s="1"/>
      <c r="Z865" s="1"/>
      <c r="AA865" s="1"/>
      <c r="AB865" s="1"/>
    </row>
    <row r="866" spans="1:28">
      <c r="A866" s="261"/>
      <c r="B866" s="261"/>
      <c r="C866" s="115"/>
      <c r="D866" s="1"/>
      <c r="E866" s="1"/>
      <c r="F866" s="1"/>
      <c r="G866" s="1"/>
      <c r="H866" s="1"/>
      <c r="I866" s="1"/>
      <c r="J866" s="1"/>
      <c r="K866" s="1"/>
      <c r="L866" s="2"/>
      <c r="M866" s="2"/>
      <c r="N866" s="2"/>
      <c r="O866" s="2"/>
      <c r="P866" s="2"/>
      <c r="Q866" s="2"/>
      <c r="R866" s="2"/>
      <c r="S866" s="2"/>
      <c r="T866" s="3"/>
      <c r="U866" s="1"/>
      <c r="V866" s="1"/>
      <c r="W866" s="1"/>
      <c r="X866" s="1"/>
      <c r="Y866" s="1"/>
      <c r="Z866" s="1"/>
      <c r="AA866" s="1"/>
      <c r="AB866" s="1"/>
    </row>
    <row r="867" spans="1:28">
      <c r="A867" s="261"/>
      <c r="B867" s="261"/>
      <c r="C867" s="115"/>
      <c r="D867" s="1"/>
      <c r="E867" s="1"/>
      <c r="F867" s="1"/>
      <c r="G867" s="1"/>
      <c r="H867" s="1"/>
      <c r="I867" s="1"/>
      <c r="J867" s="1"/>
      <c r="K867" s="1"/>
      <c r="L867" s="2"/>
      <c r="M867" s="2"/>
      <c r="N867" s="2"/>
      <c r="O867" s="2"/>
      <c r="P867" s="2"/>
      <c r="Q867" s="2"/>
      <c r="R867" s="2"/>
      <c r="S867" s="2"/>
      <c r="T867" s="3"/>
      <c r="U867" s="1"/>
      <c r="V867" s="1"/>
      <c r="W867" s="1"/>
      <c r="X867" s="1"/>
      <c r="Y867" s="1"/>
      <c r="Z867" s="1"/>
      <c r="AA867" s="1"/>
      <c r="AB867" s="1"/>
    </row>
    <row r="868" spans="1:28">
      <c r="A868" s="261"/>
      <c r="B868" s="261"/>
      <c r="C868" s="115"/>
      <c r="D868" s="1"/>
      <c r="E868" s="1"/>
      <c r="F868" s="1"/>
      <c r="G868" s="1"/>
      <c r="H868" s="1"/>
      <c r="I868" s="1"/>
      <c r="J868" s="1"/>
      <c r="K868" s="1"/>
      <c r="L868" s="2"/>
      <c r="M868" s="2"/>
      <c r="N868" s="2"/>
      <c r="O868" s="2"/>
      <c r="P868" s="2"/>
      <c r="Q868" s="2"/>
      <c r="R868" s="2"/>
      <c r="S868" s="2"/>
      <c r="T868" s="3"/>
      <c r="U868" s="1"/>
      <c r="V868" s="1"/>
      <c r="W868" s="1"/>
      <c r="X868" s="1"/>
      <c r="Y868" s="1"/>
      <c r="Z868" s="1"/>
      <c r="AA868" s="1"/>
      <c r="AB868" s="1"/>
    </row>
    <row r="869" spans="1:28">
      <c r="A869" s="261"/>
      <c r="B869" s="261"/>
      <c r="C869" s="115"/>
      <c r="D869" s="1"/>
      <c r="E869" s="1"/>
      <c r="F869" s="1"/>
      <c r="G869" s="1"/>
      <c r="H869" s="1"/>
      <c r="I869" s="1"/>
      <c r="J869" s="1"/>
      <c r="K869" s="1"/>
      <c r="L869" s="2"/>
      <c r="M869" s="2"/>
      <c r="N869" s="2"/>
      <c r="O869" s="2"/>
      <c r="P869" s="2"/>
      <c r="Q869" s="2"/>
      <c r="R869" s="2"/>
      <c r="S869" s="2"/>
      <c r="T869" s="3"/>
      <c r="U869" s="1"/>
      <c r="V869" s="1"/>
      <c r="W869" s="1"/>
      <c r="X869" s="1"/>
      <c r="Y869" s="1"/>
      <c r="Z869" s="1"/>
      <c r="AA869" s="1"/>
      <c r="AB869" s="1"/>
    </row>
    <row r="870" spans="1:28">
      <c r="A870" s="261"/>
      <c r="B870" s="261"/>
      <c r="C870" s="115"/>
      <c r="D870" s="1"/>
      <c r="E870" s="1"/>
      <c r="F870" s="1"/>
      <c r="G870" s="1"/>
      <c r="H870" s="1"/>
      <c r="I870" s="1"/>
      <c r="J870" s="1"/>
      <c r="K870" s="1"/>
      <c r="L870" s="2"/>
      <c r="M870" s="2"/>
      <c r="N870" s="2"/>
      <c r="O870" s="2"/>
      <c r="P870" s="2"/>
      <c r="Q870" s="2"/>
      <c r="R870" s="2"/>
      <c r="S870" s="2"/>
      <c r="T870" s="3"/>
      <c r="U870" s="1"/>
      <c r="V870" s="1"/>
      <c r="W870" s="1"/>
      <c r="X870" s="1"/>
      <c r="Y870" s="1"/>
      <c r="Z870" s="1"/>
      <c r="AA870" s="1"/>
      <c r="AB870" s="1"/>
    </row>
    <row r="871" spans="1:28">
      <c r="A871" s="261"/>
      <c r="B871" s="261"/>
      <c r="C871" s="115"/>
      <c r="D871" s="1"/>
      <c r="E871" s="1"/>
      <c r="F871" s="1"/>
      <c r="G871" s="1"/>
      <c r="H871" s="1"/>
      <c r="I871" s="1"/>
      <c r="J871" s="1"/>
      <c r="K871" s="1"/>
      <c r="L871" s="2"/>
      <c r="M871" s="2"/>
      <c r="N871" s="2"/>
      <c r="O871" s="2"/>
      <c r="P871" s="2"/>
      <c r="Q871" s="2"/>
      <c r="R871" s="2"/>
      <c r="S871" s="2"/>
      <c r="T871" s="3"/>
      <c r="U871" s="1"/>
      <c r="V871" s="1"/>
      <c r="W871" s="1"/>
      <c r="X871" s="1"/>
      <c r="Y871" s="1"/>
      <c r="Z871" s="1"/>
      <c r="AA871" s="1"/>
      <c r="AB871" s="1"/>
    </row>
    <row r="872" spans="1:28">
      <c r="A872" s="261"/>
      <c r="B872" s="261"/>
      <c r="C872" s="115"/>
      <c r="D872" s="1"/>
      <c r="E872" s="1"/>
      <c r="F872" s="1"/>
      <c r="G872" s="1"/>
      <c r="H872" s="1"/>
      <c r="I872" s="1"/>
      <c r="J872" s="1"/>
      <c r="K872" s="1"/>
      <c r="L872" s="2"/>
      <c r="M872" s="2"/>
      <c r="N872" s="2"/>
      <c r="O872" s="2"/>
      <c r="P872" s="2"/>
      <c r="Q872" s="2"/>
      <c r="R872" s="2"/>
      <c r="S872" s="2"/>
      <c r="T872" s="3"/>
      <c r="U872" s="1"/>
      <c r="V872" s="1"/>
      <c r="W872" s="1"/>
      <c r="X872" s="1"/>
      <c r="Y872" s="1"/>
      <c r="Z872" s="1"/>
      <c r="AA872" s="1"/>
      <c r="AB872" s="1"/>
    </row>
    <row r="873" spans="1:28">
      <c r="A873" s="261"/>
      <c r="B873" s="261"/>
      <c r="C873" s="115"/>
      <c r="D873" s="1"/>
      <c r="E873" s="1"/>
      <c r="F873" s="1"/>
      <c r="G873" s="1"/>
      <c r="H873" s="1"/>
      <c r="I873" s="1"/>
      <c r="J873" s="1"/>
      <c r="K873" s="1"/>
      <c r="L873" s="2"/>
      <c r="M873" s="2"/>
      <c r="N873" s="2"/>
      <c r="O873" s="2"/>
      <c r="P873" s="2"/>
      <c r="Q873" s="2"/>
      <c r="R873" s="2"/>
      <c r="S873" s="2"/>
      <c r="T873" s="3"/>
      <c r="U873" s="1"/>
      <c r="V873" s="1"/>
      <c r="W873" s="1"/>
      <c r="X873" s="1"/>
      <c r="Y873" s="1"/>
      <c r="Z873" s="1"/>
      <c r="AA873" s="1"/>
      <c r="AB873" s="1"/>
    </row>
    <row r="874" spans="1:28">
      <c r="A874" s="261"/>
      <c r="B874" s="261"/>
      <c r="C874" s="115"/>
      <c r="D874" s="1"/>
      <c r="E874" s="1"/>
      <c r="F874" s="1"/>
      <c r="G874" s="1"/>
      <c r="H874" s="1"/>
      <c r="I874" s="1"/>
      <c r="J874" s="1"/>
      <c r="K874" s="1"/>
      <c r="L874" s="2"/>
      <c r="M874" s="2"/>
      <c r="N874" s="2"/>
      <c r="O874" s="2"/>
      <c r="P874" s="2"/>
      <c r="Q874" s="2"/>
      <c r="R874" s="2"/>
      <c r="S874" s="2"/>
      <c r="T874" s="3"/>
      <c r="U874" s="1"/>
      <c r="V874" s="1"/>
      <c r="W874" s="1"/>
      <c r="X874" s="1"/>
      <c r="Y874" s="1"/>
      <c r="Z874" s="1"/>
      <c r="AA874" s="1"/>
      <c r="AB874" s="1"/>
    </row>
    <row r="875" spans="1:28">
      <c r="A875" s="261"/>
      <c r="B875" s="261"/>
      <c r="C875" s="115"/>
      <c r="D875" s="1"/>
      <c r="E875" s="1"/>
      <c r="F875" s="1"/>
      <c r="G875" s="1"/>
      <c r="H875" s="1"/>
      <c r="I875" s="1"/>
      <c r="J875" s="1"/>
      <c r="K875" s="1"/>
      <c r="L875" s="2"/>
      <c r="M875" s="2"/>
      <c r="N875" s="2"/>
      <c r="O875" s="2"/>
      <c r="P875" s="2"/>
      <c r="Q875" s="2"/>
      <c r="R875" s="2"/>
      <c r="S875" s="2"/>
      <c r="T875" s="3"/>
      <c r="U875" s="1"/>
      <c r="V875" s="1"/>
      <c r="W875" s="1"/>
      <c r="X875" s="1"/>
      <c r="Y875" s="1"/>
      <c r="Z875" s="1"/>
      <c r="AA875" s="1"/>
      <c r="AB875" s="1"/>
    </row>
    <row r="876" spans="1:28">
      <c r="A876" s="261"/>
      <c r="B876" s="261"/>
      <c r="C876" s="115"/>
      <c r="D876" s="1"/>
      <c r="E876" s="1"/>
      <c r="F876" s="1"/>
      <c r="G876" s="1"/>
      <c r="H876" s="1"/>
      <c r="I876" s="1"/>
      <c r="J876" s="1"/>
      <c r="K876" s="1"/>
      <c r="L876" s="2"/>
      <c r="M876" s="2"/>
      <c r="N876" s="2"/>
      <c r="O876" s="2"/>
      <c r="P876" s="2"/>
      <c r="Q876" s="2"/>
      <c r="R876" s="2"/>
      <c r="S876" s="2"/>
      <c r="T876" s="3"/>
      <c r="U876" s="1"/>
      <c r="V876" s="1"/>
      <c r="W876" s="1"/>
      <c r="X876" s="1"/>
      <c r="Y876" s="1"/>
      <c r="Z876" s="1"/>
      <c r="AA876" s="1"/>
      <c r="AB876" s="1"/>
    </row>
    <row r="877" spans="1:28">
      <c r="A877" s="261"/>
      <c r="B877" s="261"/>
      <c r="C877" s="115"/>
      <c r="D877" s="1"/>
      <c r="E877" s="1"/>
      <c r="F877" s="1"/>
      <c r="G877" s="1"/>
      <c r="H877" s="1"/>
      <c r="I877" s="1"/>
      <c r="J877" s="1"/>
      <c r="K877" s="1"/>
      <c r="L877" s="2"/>
      <c r="M877" s="2"/>
      <c r="N877" s="2"/>
      <c r="O877" s="2"/>
      <c r="P877" s="2"/>
      <c r="Q877" s="2"/>
      <c r="R877" s="2"/>
      <c r="S877" s="2"/>
      <c r="T877" s="3"/>
      <c r="U877" s="1"/>
      <c r="V877" s="1"/>
      <c r="W877" s="1"/>
      <c r="X877" s="1"/>
      <c r="Y877" s="1"/>
      <c r="Z877" s="1"/>
      <c r="AA877" s="1"/>
      <c r="AB877" s="1"/>
    </row>
    <row r="878" spans="1:28">
      <c r="A878" s="261"/>
      <c r="B878" s="261"/>
      <c r="C878" s="115"/>
      <c r="D878" s="1"/>
      <c r="E878" s="1"/>
      <c r="F878" s="1"/>
      <c r="G878" s="1"/>
      <c r="H878" s="1"/>
      <c r="I878" s="1"/>
      <c r="J878" s="1"/>
      <c r="K878" s="1"/>
      <c r="L878" s="2"/>
      <c r="M878" s="2"/>
      <c r="N878" s="2"/>
      <c r="O878" s="2"/>
      <c r="P878" s="2"/>
      <c r="Q878" s="2"/>
      <c r="R878" s="2"/>
      <c r="S878" s="2"/>
      <c r="T878" s="3"/>
      <c r="U878" s="1"/>
      <c r="V878" s="1"/>
      <c r="W878" s="1"/>
      <c r="X878" s="1"/>
      <c r="Y878" s="1"/>
      <c r="Z878" s="1"/>
      <c r="AA878" s="1"/>
      <c r="AB878" s="1"/>
    </row>
    <row r="879" spans="1:28">
      <c r="A879" s="261"/>
      <c r="B879" s="261"/>
      <c r="C879" s="115"/>
      <c r="D879" s="1"/>
      <c r="E879" s="1"/>
      <c r="F879" s="1"/>
      <c r="G879" s="1"/>
      <c r="H879" s="1"/>
      <c r="I879" s="1"/>
      <c r="J879" s="1"/>
      <c r="K879" s="1"/>
      <c r="L879" s="2"/>
      <c r="M879" s="2"/>
      <c r="N879" s="2"/>
      <c r="O879" s="2"/>
      <c r="P879" s="2"/>
      <c r="Q879" s="2"/>
      <c r="R879" s="2"/>
      <c r="S879" s="2"/>
      <c r="T879" s="3"/>
      <c r="U879" s="1"/>
      <c r="V879" s="1"/>
      <c r="W879" s="1"/>
      <c r="X879" s="1"/>
      <c r="Y879" s="1"/>
      <c r="Z879" s="1"/>
      <c r="AA879" s="1"/>
      <c r="AB879" s="1"/>
    </row>
    <row r="880" spans="1:28">
      <c r="A880" s="261"/>
      <c r="B880" s="261"/>
      <c r="C880" s="115"/>
      <c r="D880" s="1"/>
      <c r="E880" s="1"/>
      <c r="F880" s="1"/>
      <c r="G880" s="1"/>
      <c r="H880" s="1"/>
      <c r="I880" s="1"/>
      <c r="J880" s="1"/>
      <c r="K880" s="1"/>
      <c r="L880" s="2"/>
      <c r="M880" s="2"/>
      <c r="N880" s="2"/>
      <c r="O880" s="2"/>
      <c r="P880" s="2"/>
      <c r="Q880" s="2"/>
      <c r="R880" s="2"/>
      <c r="S880" s="2"/>
      <c r="T880" s="3"/>
      <c r="U880" s="1"/>
      <c r="V880" s="1"/>
      <c r="W880" s="1"/>
      <c r="X880" s="1"/>
      <c r="Y880" s="1"/>
      <c r="Z880" s="1"/>
      <c r="AA880" s="1"/>
      <c r="AB880" s="1"/>
    </row>
    <row r="881" spans="1:28">
      <c r="A881" s="261"/>
      <c r="B881" s="261"/>
      <c r="C881" s="115"/>
      <c r="D881" s="1"/>
      <c r="E881" s="1"/>
      <c r="F881" s="1"/>
      <c r="G881" s="1"/>
      <c r="H881" s="1"/>
      <c r="I881" s="1"/>
      <c r="J881" s="1"/>
      <c r="K881" s="1"/>
      <c r="L881" s="2"/>
      <c r="M881" s="2"/>
      <c r="N881" s="2"/>
      <c r="O881" s="2"/>
      <c r="P881" s="2"/>
      <c r="Q881" s="2"/>
      <c r="R881" s="2"/>
      <c r="S881" s="2"/>
      <c r="T881" s="3"/>
      <c r="U881" s="1"/>
      <c r="V881" s="1"/>
      <c r="W881" s="1"/>
      <c r="X881" s="1"/>
      <c r="Y881" s="1"/>
      <c r="Z881" s="1"/>
      <c r="AA881" s="1"/>
      <c r="AB881" s="1"/>
    </row>
    <row r="882" spans="1:28">
      <c r="A882" s="261"/>
      <c r="B882" s="261"/>
      <c r="C882" s="115"/>
      <c r="D882" s="1"/>
      <c r="E882" s="1"/>
      <c r="F882" s="1"/>
      <c r="G882" s="1"/>
      <c r="H882" s="1"/>
      <c r="I882" s="1"/>
      <c r="J882" s="1"/>
      <c r="K882" s="1"/>
      <c r="L882" s="2"/>
      <c r="M882" s="2"/>
      <c r="N882" s="2"/>
      <c r="O882" s="2"/>
      <c r="P882" s="2"/>
      <c r="Q882" s="2"/>
      <c r="R882" s="2"/>
      <c r="S882" s="2"/>
      <c r="T882" s="3"/>
      <c r="U882" s="1"/>
      <c r="V882" s="1"/>
      <c r="W882" s="1"/>
      <c r="X882" s="1"/>
      <c r="Y882" s="1"/>
      <c r="Z882" s="1"/>
      <c r="AA882" s="1"/>
      <c r="AB882" s="1"/>
    </row>
    <row r="883" spans="1:28">
      <c r="A883" s="261"/>
      <c r="B883" s="261"/>
      <c r="C883" s="115"/>
      <c r="D883" s="1"/>
      <c r="E883" s="1"/>
      <c r="F883" s="1"/>
      <c r="G883" s="1"/>
      <c r="H883" s="1"/>
      <c r="I883" s="1"/>
      <c r="J883" s="1"/>
      <c r="K883" s="1"/>
      <c r="L883" s="2"/>
      <c r="M883" s="2"/>
      <c r="N883" s="2"/>
      <c r="O883" s="2"/>
      <c r="P883" s="2"/>
      <c r="Q883" s="2"/>
      <c r="R883" s="2"/>
      <c r="S883" s="2"/>
      <c r="T883" s="3"/>
      <c r="U883" s="1"/>
      <c r="V883" s="1"/>
      <c r="W883" s="1"/>
      <c r="X883" s="1"/>
      <c r="Y883" s="1"/>
      <c r="Z883" s="1"/>
      <c r="AA883" s="1"/>
      <c r="AB883" s="1"/>
    </row>
    <row r="884" spans="1:28">
      <c r="A884" s="261"/>
      <c r="B884" s="261"/>
      <c r="C884" s="115"/>
      <c r="D884" s="1"/>
      <c r="E884" s="1"/>
      <c r="F884" s="1"/>
      <c r="G884" s="1"/>
      <c r="H884" s="1"/>
      <c r="I884" s="1"/>
      <c r="J884" s="1"/>
      <c r="K884" s="1"/>
      <c r="L884" s="2"/>
      <c r="M884" s="2"/>
      <c r="N884" s="2"/>
      <c r="O884" s="2"/>
      <c r="P884" s="2"/>
      <c r="Q884" s="2"/>
      <c r="R884" s="2"/>
      <c r="S884" s="2"/>
      <c r="T884" s="3"/>
      <c r="U884" s="1"/>
      <c r="V884" s="1"/>
      <c r="W884" s="1"/>
      <c r="X884" s="1"/>
      <c r="Y884" s="1"/>
      <c r="Z884" s="1"/>
      <c r="AA884" s="1"/>
      <c r="AB884" s="1"/>
    </row>
    <row r="885" spans="1:28">
      <c r="A885" s="261"/>
      <c r="B885" s="261"/>
      <c r="C885" s="115"/>
      <c r="D885" s="1"/>
      <c r="E885" s="1"/>
      <c r="F885" s="1"/>
      <c r="G885" s="1"/>
      <c r="H885" s="1"/>
      <c r="I885" s="1"/>
      <c r="J885" s="1"/>
      <c r="K885" s="1"/>
      <c r="L885" s="2"/>
      <c r="M885" s="2"/>
      <c r="N885" s="2"/>
      <c r="O885" s="2"/>
      <c r="P885" s="2"/>
      <c r="Q885" s="2"/>
      <c r="R885" s="2"/>
      <c r="S885" s="2"/>
      <c r="T885" s="3"/>
      <c r="U885" s="1"/>
      <c r="V885" s="1"/>
      <c r="W885" s="1"/>
      <c r="X885" s="1"/>
      <c r="Y885" s="1"/>
      <c r="Z885" s="1"/>
      <c r="AA885" s="1"/>
      <c r="AB885" s="1"/>
    </row>
    <row r="886" spans="1:28">
      <c r="A886" s="261"/>
      <c r="B886" s="261"/>
      <c r="C886" s="115"/>
      <c r="D886" s="1"/>
      <c r="E886" s="1"/>
      <c r="F886" s="1"/>
      <c r="G886" s="1"/>
      <c r="H886" s="1"/>
      <c r="I886" s="1"/>
      <c r="J886" s="1"/>
      <c r="K886" s="1"/>
      <c r="L886" s="2"/>
      <c r="M886" s="2"/>
      <c r="N886" s="2"/>
      <c r="O886" s="2"/>
      <c r="P886" s="2"/>
      <c r="Q886" s="2"/>
      <c r="R886" s="2"/>
      <c r="S886" s="2"/>
      <c r="T886" s="3"/>
      <c r="U886" s="1"/>
      <c r="V886" s="1"/>
      <c r="W886" s="1"/>
      <c r="X886" s="1"/>
      <c r="Y886" s="1"/>
      <c r="Z886" s="1"/>
      <c r="AA886" s="1"/>
      <c r="AB886" s="1"/>
    </row>
    <row r="887" spans="1:28">
      <c r="A887" s="261"/>
      <c r="B887" s="261"/>
      <c r="C887" s="115"/>
      <c r="D887" s="1"/>
      <c r="E887" s="1"/>
      <c r="F887" s="1"/>
      <c r="G887" s="1"/>
      <c r="H887" s="1"/>
      <c r="I887" s="1"/>
      <c r="J887" s="1"/>
      <c r="K887" s="1"/>
      <c r="L887" s="2"/>
      <c r="M887" s="2"/>
      <c r="N887" s="2"/>
      <c r="O887" s="2"/>
      <c r="P887" s="2"/>
      <c r="Q887" s="2"/>
      <c r="R887" s="2"/>
      <c r="S887" s="2"/>
      <c r="T887" s="3"/>
      <c r="U887" s="1"/>
      <c r="V887" s="1"/>
      <c r="W887" s="1"/>
      <c r="X887" s="1"/>
      <c r="Y887" s="1"/>
      <c r="Z887" s="1"/>
      <c r="AA887" s="1"/>
      <c r="AB887" s="1"/>
    </row>
    <row r="888" spans="1:28">
      <c r="A888" s="261"/>
      <c r="B888" s="261"/>
      <c r="C888" s="115"/>
      <c r="D888" s="1"/>
      <c r="E888" s="1"/>
      <c r="F888" s="1"/>
      <c r="G888" s="1"/>
      <c r="H888" s="1"/>
      <c r="I888" s="1"/>
      <c r="J888" s="1"/>
      <c r="K888" s="1"/>
      <c r="L888" s="2"/>
      <c r="M888" s="2"/>
      <c r="N888" s="2"/>
      <c r="O888" s="2"/>
      <c r="P888" s="2"/>
      <c r="Q888" s="2"/>
      <c r="R888" s="2"/>
      <c r="S888" s="2"/>
      <c r="T888" s="3"/>
      <c r="U888" s="1"/>
      <c r="V888" s="1"/>
      <c r="W888" s="1"/>
      <c r="X888" s="1"/>
      <c r="Y888" s="1"/>
      <c r="Z888" s="1"/>
      <c r="AA888" s="1"/>
      <c r="AB888" s="1"/>
    </row>
    <row r="889" spans="1:28">
      <c r="A889" s="261"/>
      <c r="B889" s="261"/>
      <c r="C889" s="115"/>
      <c r="D889" s="1"/>
      <c r="E889" s="1"/>
      <c r="F889" s="1"/>
      <c r="G889" s="1"/>
      <c r="H889" s="1"/>
      <c r="I889" s="1"/>
      <c r="J889" s="1"/>
      <c r="K889" s="1"/>
      <c r="L889" s="2"/>
      <c r="M889" s="2"/>
      <c r="N889" s="2"/>
      <c r="O889" s="2"/>
      <c r="P889" s="2"/>
      <c r="Q889" s="2"/>
      <c r="R889" s="2"/>
      <c r="S889" s="2"/>
      <c r="T889" s="3"/>
      <c r="U889" s="1"/>
      <c r="V889" s="1"/>
      <c r="W889" s="1"/>
      <c r="X889" s="1"/>
      <c r="Y889" s="1"/>
      <c r="Z889" s="1"/>
      <c r="AA889" s="1"/>
      <c r="AB889" s="1"/>
    </row>
    <row r="890" spans="1:28">
      <c r="A890" s="261"/>
      <c r="B890" s="261"/>
      <c r="C890" s="115"/>
      <c r="D890" s="1"/>
      <c r="E890" s="1"/>
      <c r="F890" s="1"/>
      <c r="G890" s="1"/>
      <c r="H890" s="1"/>
      <c r="I890" s="1"/>
      <c r="J890" s="1"/>
      <c r="K890" s="1"/>
      <c r="L890" s="2"/>
      <c r="M890" s="2"/>
      <c r="N890" s="2"/>
      <c r="O890" s="2"/>
      <c r="P890" s="2"/>
      <c r="Q890" s="2"/>
      <c r="R890" s="2"/>
      <c r="S890" s="2"/>
      <c r="T890" s="3"/>
      <c r="U890" s="1"/>
      <c r="V890" s="1"/>
      <c r="W890" s="1"/>
      <c r="X890" s="1"/>
      <c r="Y890" s="1"/>
      <c r="Z890" s="1"/>
      <c r="AA890" s="1"/>
      <c r="AB890" s="1"/>
    </row>
    <row r="891" spans="1:28">
      <c r="A891" s="261"/>
      <c r="B891" s="261"/>
      <c r="C891" s="115"/>
      <c r="D891" s="1"/>
      <c r="E891" s="1"/>
      <c r="F891" s="1"/>
      <c r="G891" s="1"/>
      <c r="H891" s="1"/>
      <c r="I891" s="1"/>
      <c r="J891" s="1"/>
      <c r="K891" s="1"/>
      <c r="L891" s="2"/>
      <c r="M891" s="2"/>
      <c r="N891" s="2"/>
      <c r="O891" s="2"/>
      <c r="P891" s="2"/>
      <c r="Q891" s="2"/>
      <c r="R891" s="2"/>
      <c r="S891" s="2"/>
      <c r="T891" s="3"/>
      <c r="U891" s="1"/>
      <c r="V891" s="1"/>
      <c r="W891" s="1"/>
      <c r="X891" s="1"/>
      <c r="Y891" s="1"/>
      <c r="Z891" s="1"/>
      <c r="AA891" s="1"/>
      <c r="AB891" s="1"/>
    </row>
    <row r="892" spans="1:28">
      <c r="A892" s="261"/>
      <c r="B892" s="261"/>
      <c r="C892" s="115"/>
      <c r="D892" s="1"/>
      <c r="E892" s="1"/>
      <c r="F892" s="1"/>
      <c r="G892" s="1"/>
      <c r="H892" s="1"/>
      <c r="I892" s="1"/>
      <c r="J892" s="1"/>
      <c r="K892" s="1"/>
      <c r="L892" s="2"/>
      <c r="M892" s="2"/>
      <c r="N892" s="2"/>
      <c r="O892" s="2"/>
      <c r="P892" s="2"/>
      <c r="Q892" s="2"/>
      <c r="R892" s="2"/>
      <c r="S892" s="2"/>
      <c r="T892" s="3"/>
      <c r="U892" s="1"/>
      <c r="V892" s="1"/>
      <c r="W892" s="1"/>
      <c r="X892" s="1"/>
      <c r="Y892" s="1"/>
      <c r="Z892" s="1"/>
      <c r="AA892" s="1"/>
      <c r="AB892" s="1"/>
    </row>
    <row r="893" spans="1:28">
      <c r="A893" s="261"/>
      <c r="B893" s="261"/>
      <c r="C893" s="115"/>
      <c r="D893" s="1"/>
      <c r="E893" s="1"/>
      <c r="F893" s="1"/>
      <c r="G893" s="1"/>
      <c r="H893" s="1"/>
      <c r="I893" s="1"/>
      <c r="J893" s="1"/>
      <c r="K893" s="1"/>
      <c r="L893" s="2"/>
      <c r="M893" s="2"/>
      <c r="N893" s="2"/>
      <c r="O893" s="2"/>
      <c r="P893" s="2"/>
      <c r="Q893" s="2"/>
      <c r="R893" s="2"/>
      <c r="S893" s="2"/>
      <c r="T893" s="3"/>
      <c r="U893" s="1"/>
      <c r="V893" s="1"/>
      <c r="W893" s="1"/>
      <c r="X893" s="1"/>
      <c r="Y893" s="1"/>
      <c r="Z893" s="1"/>
      <c r="AA893" s="1"/>
      <c r="AB893" s="1"/>
    </row>
    <row r="894" spans="1:28">
      <c r="A894" s="261"/>
      <c r="B894" s="261"/>
      <c r="C894" s="115"/>
      <c r="D894" s="1"/>
      <c r="E894" s="1"/>
      <c r="F894" s="1"/>
      <c r="G894" s="1"/>
      <c r="H894" s="1"/>
      <c r="I894" s="1"/>
      <c r="J894" s="1"/>
      <c r="K894" s="1"/>
      <c r="L894" s="2"/>
      <c r="M894" s="2"/>
      <c r="N894" s="2"/>
      <c r="O894" s="2"/>
      <c r="P894" s="2"/>
      <c r="Q894" s="2"/>
      <c r="R894" s="2"/>
      <c r="S894" s="2"/>
      <c r="T894" s="3"/>
      <c r="U894" s="1"/>
      <c r="V894" s="1"/>
      <c r="W894" s="1"/>
      <c r="X894" s="1"/>
      <c r="Y894" s="1"/>
      <c r="Z894" s="1"/>
      <c r="AA894" s="1"/>
      <c r="AB894" s="1"/>
    </row>
    <row r="895" spans="1:28">
      <c r="A895" s="261"/>
      <c r="B895" s="261"/>
      <c r="C895" s="115"/>
      <c r="D895" s="1"/>
      <c r="E895" s="1"/>
      <c r="F895" s="1"/>
      <c r="G895" s="1"/>
      <c r="H895" s="1"/>
      <c r="I895" s="1"/>
      <c r="J895" s="1"/>
      <c r="K895" s="1"/>
      <c r="L895" s="2"/>
      <c r="M895" s="2"/>
      <c r="N895" s="2"/>
      <c r="O895" s="2"/>
      <c r="P895" s="2"/>
      <c r="Q895" s="2"/>
      <c r="R895" s="2"/>
      <c r="S895" s="2"/>
      <c r="T895" s="3"/>
      <c r="U895" s="1"/>
      <c r="V895" s="1"/>
      <c r="W895" s="1"/>
      <c r="X895" s="1"/>
      <c r="Y895" s="1"/>
      <c r="Z895" s="1"/>
      <c r="AA895" s="1"/>
      <c r="AB895" s="1"/>
    </row>
    <row r="896" spans="1:28">
      <c r="A896" s="261"/>
      <c r="B896" s="261"/>
      <c r="C896" s="115"/>
      <c r="D896" s="1"/>
      <c r="E896" s="1"/>
      <c r="F896" s="1"/>
      <c r="G896" s="1"/>
      <c r="H896" s="1"/>
      <c r="I896" s="1"/>
      <c r="J896" s="1"/>
      <c r="K896" s="1"/>
      <c r="L896" s="2"/>
      <c r="M896" s="2"/>
      <c r="N896" s="2"/>
      <c r="O896" s="2"/>
      <c r="P896" s="2"/>
      <c r="Q896" s="2"/>
      <c r="R896" s="2"/>
      <c r="S896" s="2"/>
      <c r="T896" s="3"/>
      <c r="U896" s="1"/>
      <c r="V896" s="1"/>
      <c r="W896" s="1"/>
      <c r="X896" s="1"/>
      <c r="Y896" s="1"/>
      <c r="Z896" s="1"/>
      <c r="AA896" s="1"/>
      <c r="AB896" s="1"/>
    </row>
    <row r="897" spans="1:28">
      <c r="A897" s="261"/>
      <c r="B897" s="261"/>
      <c r="C897" s="115"/>
      <c r="D897" s="1"/>
      <c r="E897" s="1"/>
      <c r="F897" s="1"/>
      <c r="G897" s="1"/>
      <c r="H897" s="1"/>
      <c r="I897" s="1"/>
      <c r="J897" s="1"/>
      <c r="K897" s="1"/>
      <c r="L897" s="2"/>
      <c r="M897" s="2"/>
      <c r="N897" s="2"/>
      <c r="O897" s="2"/>
      <c r="P897" s="2"/>
      <c r="Q897" s="2"/>
      <c r="R897" s="2"/>
      <c r="S897" s="2"/>
      <c r="T897" s="3"/>
      <c r="U897" s="1"/>
      <c r="V897" s="1"/>
      <c r="W897" s="1"/>
      <c r="X897" s="1"/>
      <c r="Y897" s="1"/>
      <c r="Z897" s="1"/>
      <c r="AA897" s="1"/>
      <c r="AB897" s="1"/>
    </row>
    <row r="898" spans="1:28">
      <c r="A898" s="261"/>
      <c r="B898" s="261"/>
      <c r="C898" s="115"/>
      <c r="D898" s="1"/>
      <c r="E898" s="1"/>
      <c r="F898" s="1"/>
      <c r="G898" s="1"/>
      <c r="H898" s="1"/>
      <c r="I898" s="1"/>
      <c r="J898" s="1"/>
      <c r="K898" s="1"/>
      <c r="L898" s="2"/>
      <c r="M898" s="2"/>
      <c r="N898" s="2"/>
      <c r="O898" s="2"/>
      <c r="P898" s="2"/>
      <c r="Q898" s="2"/>
      <c r="R898" s="2"/>
      <c r="S898" s="2"/>
      <c r="T898" s="3"/>
      <c r="U898" s="1"/>
      <c r="V898" s="1"/>
      <c r="W898" s="1"/>
      <c r="X898" s="1"/>
      <c r="Y898" s="1"/>
      <c r="Z898" s="1"/>
      <c r="AA898" s="1"/>
      <c r="AB898" s="1"/>
    </row>
    <row r="899" spans="1:28">
      <c r="A899" s="261"/>
      <c r="B899" s="261"/>
      <c r="C899" s="115"/>
      <c r="D899" s="1"/>
      <c r="E899" s="1"/>
      <c r="F899" s="1"/>
      <c r="G899" s="1"/>
      <c r="H899" s="1"/>
      <c r="I899" s="1"/>
      <c r="J899" s="1"/>
      <c r="K899" s="1"/>
      <c r="L899" s="2"/>
      <c r="M899" s="2"/>
      <c r="N899" s="2"/>
      <c r="O899" s="2"/>
      <c r="P899" s="2"/>
      <c r="Q899" s="2"/>
      <c r="R899" s="2"/>
      <c r="S899" s="2"/>
      <c r="T899" s="3"/>
      <c r="U899" s="1"/>
      <c r="V899" s="1"/>
      <c r="W899" s="1"/>
      <c r="X899" s="1"/>
      <c r="Y899" s="1"/>
      <c r="Z899" s="1"/>
      <c r="AA899" s="1"/>
      <c r="AB899" s="1"/>
    </row>
    <row r="900" spans="1:28">
      <c r="A900" s="261"/>
      <c r="B900" s="261"/>
      <c r="C900" s="115"/>
      <c r="D900" s="1"/>
      <c r="E900" s="1"/>
      <c r="F900" s="1"/>
      <c r="G900" s="1"/>
      <c r="H900" s="1"/>
      <c r="I900" s="1"/>
      <c r="J900" s="1"/>
      <c r="K900" s="1"/>
      <c r="L900" s="2"/>
      <c r="M900" s="2"/>
      <c r="N900" s="2"/>
      <c r="O900" s="2"/>
      <c r="P900" s="2"/>
      <c r="Q900" s="2"/>
      <c r="R900" s="2"/>
      <c r="S900" s="2"/>
      <c r="T900" s="3"/>
      <c r="U900" s="1"/>
      <c r="V900" s="1"/>
      <c r="W900" s="1"/>
      <c r="X900" s="1"/>
      <c r="Y900" s="1"/>
      <c r="Z900" s="1"/>
      <c r="AA900" s="1"/>
      <c r="AB900" s="1"/>
    </row>
    <row r="901" spans="1:28">
      <c r="A901" s="261"/>
      <c r="B901" s="261"/>
      <c r="C901" s="115"/>
      <c r="D901" s="1"/>
      <c r="E901" s="1"/>
      <c r="F901" s="1"/>
      <c r="G901" s="1"/>
      <c r="H901" s="1"/>
      <c r="I901" s="1"/>
      <c r="J901" s="1"/>
      <c r="K901" s="1"/>
      <c r="L901" s="2"/>
      <c r="M901" s="2"/>
      <c r="N901" s="2"/>
      <c r="O901" s="2"/>
      <c r="P901" s="2"/>
      <c r="Q901" s="2"/>
      <c r="R901" s="2"/>
      <c r="S901" s="2"/>
      <c r="T901" s="3"/>
      <c r="U901" s="1"/>
      <c r="V901" s="1"/>
      <c r="W901" s="1"/>
      <c r="X901" s="1"/>
      <c r="Y901" s="1"/>
      <c r="Z901" s="1"/>
      <c r="AA901" s="1"/>
      <c r="AB901" s="1"/>
    </row>
    <row r="902" spans="1:28">
      <c r="A902" s="261"/>
      <c r="B902" s="261"/>
      <c r="C902" s="115"/>
      <c r="D902" s="1"/>
      <c r="E902" s="1"/>
      <c r="F902" s="1"/>
      <c r="G902" s="1"/>
      <c r="H902" s="1"/>
      <c r="I902" s="1"/>
      <c r="J902" s="1"/>
      <c r="K902" s="1"/>
      <c r="L902" s="2"/>
      <c r="M902" s="2"/>
      <c r="N902" s="2"/>
      <c r="O902" s="2"/>
      <c r="P902" s="2"/>
      <c r="Q902" s="2"/>
      <c r="R902" s="2"/>
      <c r="S902" s="2"/>
      <c r="T902" s="3"/>
      <c r="U902" s="1"/>
      <c r="V902" s="1"/>
      <c r="W902" s="1"/>
      <c r="X902" s="1"/>
      <c r="Y902" s="1"/>
      <c r="Z902" s="1"/>
      <c r="AA902" s="1"/>
      <c r="AB902" s="1"/>
    </row>
    <row r="903" spans="1:28">
      <c r="A903" s="261"/>
      <c r="B903" s="261"/>
      <c r="C903" s="115"/>
      <c r="D903" s="1"/>
      <c r="E903" s="1"/>
      <c r="F903" s="1"/>
      <c r="G903" s="1"/>
      <c r="H903" s="1"/>
      <c r="I903" s="1"/>
      <c r="J903" s="1"/>
      <c r="K903" s="1"/>
      <c r="L903" s="2"/>
      <c r="M903" s="2"/>
      <c r="N903" s="2"/>
      <c r="O903" s="2"/>
      <c r="P903" s="2"/>
      <c r="Q903" s="2"/>
      <c r="R903" s="2"/>
      <c r="S903" s="2"/>
      <c r="T903" s="3"/>
      <c r="U903" s="1"/>
      <c r="V903" s="1"/>
      <c r="W903" s="1"/>
      <c r="X903" s="1"/>
      <c r="Y903" s="1"/>
      <c r="Z903" s="1"/>
      <c r="AA903" s="1"/>
      <c r="AB903" s="1"/>
    </row>
    <row r="904" spans="1:28">
      <c r="A904" s="261"/>
      <c r="B904" s="261"/>
      <c r="C904" s="115"/>
      <c r="D904" s="1"/>
      <c r="E904" s="1"/>
      <c r="F904" s="1"/>
      <c r="G904" s="1"/>
      <c r="H904" s="1"/>
      <c r="I904" s="1"/>
      <c r="J904" s="1"/>
      <c r="K904" s="1"/>
      <c r="L904" s="2"/>
      <c r="M904" s="2"/>
      <c r="N904" s="2"/>
      <c r="O904" s="2"/>
      <c r="P904" s="2"/>
      <c r="Q904" s="2"/>
      <c r="R904" s="2"/>
      <c r="S904" s="2"/>
      <c r="T904" s="3"/>
      <c r="U904" s="1"/>
      <c r="V904" s="1"/>
      <c r="W904" s="1"/>
      <c r="X904" s="1"/>
      <c r="Y904" s="1"/>
      <c r="Z904" s="1"/>
      <c r="AA904" s="1"/>
      <c r="AB904" s="1"/>
    </row>
    <row r="905" spans="1:28">
      <c r="A905" s="260"/>
      <c r="B905" s="260"/>
      <c r="C905" s="38"/>
      <c r="D905" s="4"/>
      <c r="E905" s="4"/>
      <c r="F905" s="4"/>
      <c r="G905" s="4"/>
      <c r="H905" s="4"/>
      <c r="I905" s="4"/>
      <c r="J905" s="4"/>
      <c r="K905" s="4"/>
      <c r="L905" s="5"/>
      <c r="M905" s="5"/>
      <c r="N905" s="5"/>
      <c r="O905" s="5"/>
      <c r="P905" s="5"/>
      <c r="Q905" s="5"/>
      <c r="R905" s="5"/>
      <c r="S905" s="5"/>
      <c r="T905" s="6"/>
      <c r="U905" s="1"/>
      <c r="V905" s="1"/>
      <c r="W905" s="1"/>
      <c r="X905" s="1"/>
      <c r="Y905" s="1"/>
      <c r="Z905" s="1"/>
      <c r="AA905" s="1"/>
      <c r="AB905" s="1"/>
    </row>
    <row r="906" spans="1:28">
      <c r="A906" s="261"/>
      <c r="B906" s="261"/>
      <c r="C906" s="115"/>
      <c r="D906" s="1"/>
      <c r="E906" s="1"/>
      <c r="F906" s="1"/>
      <c r="G906" s="1"/>
      <c r="H906" s="1"/>
      <c r="I906" s="1"/>
      <c r="J906" s="1"/>
      <c r="K906" s="1"/>
      <c r="L906" s="2"/>
      <c r="M906" s="2"/>
      <c r="N906" s="2"/>
      <c r="O906" s="2"/>
      <c r="P906" s="2"/>
      <c r="Q906" s="2"/>
      <c r="R906" s="2"/>
      <c r="S906" s="2"/>
      <c r="T906" s="3"/>
      <c r="U906" s="1"/>
      <c r="V906" s="1"/>
      <c r="W906" s="1"/>
      <c r="X906" s="1"/>
      <c r="Y906" s="1"/>
      <c r="Z906" s="1"/>
      <c r="AA906" s="1"/>
      <c r="AB906" s="1"/>
    </row>
    <row r="907" spans="1:28">
      <c r="A907" s="261"/>
      <c r="B907" s="261"/>
      <c r="C907" s="115"/>
      <c r="D907" s="1"/>
      <c r="E907" s="1"/>
      <c r="F907" s="1"/>
      <c r="G907" s="1"/>
      <c r="H907" s="1"/>
      <c r="I907" s="1"/>
      <c r="J907" s="1"/>
      <c r="K907" s="1"/>
      <c r="L907" s="2"/>
      <c r="M907" s="2"/>
      <c r="N907" s="2"/>
      <c r="O907" s="2"/>
      <c r="P907" s="2"/>
      <c r="Q907" s="2"/>
      <c r="R907" s="2"/>
      <c r="S907" s="2"/>
      <c r="T907" s="3"/>
      <c r="U907" s="1"/>
      <c r="V907" s="1"/>
      <c r="W907" s="1"/>
      <c r="X907" s="1"/>
      <c r="Y907" s="1"/>
      <c r="Z907" s="1"/>
      <c r="AA907" s="1"/>
      <c r="AB907" s="1"/>
    </row>
    <row r="908" spans="1:28">
      <c r="A908" s="261"/>
      <c r="B908" s="261"/>
      <c r="C908" s="115"/>
      <c r="D908" s="1"/>
      <c r="E908" s="1"/>
      <c r="F908" s="1"/>
      <c r="G908" s="1"/>
      <c r="H908" s="1"/>
      <c r="I908" s="1"/>
      <c r="J908" s="1"/>
      <c r="K908" s="1"/>
      <c r="L908" s="2"/>
      <c r="M908" s="2"/>
      <c r="N908" s="2"/>
      <c r="O908" s="2"/>
      <c r="P908" s="2"/>
      <c r="Q908" s="2"/>
      <c r="R908" s="2"/>
      <c r="S908" s="2"/>
      <c r="T908" s="3"/>
      <c r="U908" s="1"/>
      <c r="V908" s="1"/>
      <c r="W908" s="1"/>
      <c r="X908" s="1"/>
      <c r="Y908" s="1"/>
      <c r="Z908" s="1"/>
      <c r="AA908" s="1"/>
      <c r="AB908" s="1"/>
    </row>
    <row r="909" spans="1:28">
      <c r="A909" s="261"/>
      <c r="B909" s="261"/>
      <c r="C909" s="115"/>
      <c r="D909" s="1"/>
      <c r="E909" s="1"/>
      <c r="F909" s="1"/>
      <c r="G909" s="1"/>
      <c r="H909" s="1"/>
      <c r="I909" s="1"/>
      <c r="J909" s="1"/>
      <c r="K909" s="1"/>
      <c r="L909" s="2"/>
      <c r="M909" s="2"/>
      <c r="N909" s="2"/>
      <c r="O909" s="2"/>
      <c r="P909" s="2"/>
      <c r="Q909" s="2"/>
      <c r="R909" s="2"/>
      <c r="S909" s="2"/>
      <c r="T909" s="3"/>
      <c r="U909" s="1"/>
      <c r="V909" s="1"/>
      <c r="W909" s="1"/>
      <c r="X909" s="1"/>
      <c r="Y909" s="1"/>
      <c r="Z909" s="1"/>
      <c r="AA909" s="1"/>
      <c r="AB909" s="1"/>
    </row>
    <row r="910" spans="1:28">
      <c r="A910" s="261"/>
      <c r="B910" s="261"/>
      <c r="C910" s="115"/>
      <c r="D910" s="1"/>
      <c r="E910" s="1"/>
      <c r="F910" s="1"/>
      <c r="G910" s="1"/>
      <c r="H910" s="1"/>
      <c r="I910" s="1"/>
      <c r="J910" s="1"/>
      <c r="K910" s="1"/>
      <c r="L910" s="2"/>
      <c r="M910" s="2"/>
      <c r="N910" s="2"/>
      <c r="O910" s="2"/>
      <c r="P910" s="2"/>
      <c r="Q910" s="2"/>
      <c r="R910" s="2"/>
      <c r="S910" s="2"/>
      <c r="T910" s="3"/>
      <c r="U910" s="1"/>
      <c r="V910" s="1"/>
      <c r="W910" s="1"/>
      <c r="X910" s="1"/>
      <c r="Y910" s="1"/>
      <c r="Z910" s="1"/>
      <c r="AA910" s="1"/>
      <c r="AB910" s="1"/>
    </row>
    <row r="911" spans="1:28">
      <c r="A911" s="261"/>
      <c r="B911" s="261"/>
      <c r="C911" s="115"/>
      <c r="D911" s="1"/>
      <c r="E911" s="1"/>
      <c r="F911" s="1"/>
      <c r="G911" s="1"/>
      <c r="H911" s="1"/>
      <c r="I911" s="1"/>
      <c r="J911" s="1"/>
      <c r="K911" s="1"/>
      <c r="L911" s="2"/>
      <c r="M911" s="2"/>
      <c r="N911" s="2"/>
      <c r="O911" s="2"/>
      <c r="P911" s="2"/>
      <c r="Q911" s="2"/>
      <c r="R911" s="2"/>
      <c r="S911" s="2"/>
      <c r="T911" s="3"/>
      <c r="U911" s="1"/>
      <c r="V911" s="1"/>
      <c r="W911" s="1"/>
      <c r="X911" s="1"/>
      <c r="Y911" s="1"/>
      <c r="Z911" s="1"/>
      <c r="AA911" s="1"/>
      <c r="AB911" s="1"/>
    </row>
    <row r="912" spans="1:28">
      <c r="A912" s="261"/>
      <c r="B912" s="261"/>
      <c r="C912" s="115"/>
      <c r="D912" s="1"/>
      <c r="E912" s="1"/>
      <c r="F912" s="1"/>
      <c r="G912" s="1"/>
      <c r="H912" s="1"/>
      <c r="I912" s="1"/>
      <c r="J912" s="1"/>
      <c r="K912" s="1"/>
      <c r="L912" s="2"/>
      <c r="M912" s="2"/>
      <c r="N912" s="2"/>
      <c r="O912" s="2"/>
      <c r="P912" s="2"/>
      <c r="Q912" s="2"/>
      <c r="R912" s="2"/>
      <c r="S912" s="2"/>
      <c r="T912" s="3"/>
      <c r="U912" s="1"/>
      <c r="V912" s="1"/>
      <c r="W912" s="1"/>
      <c r="X912" s="1"/>
      <c r="Y912" s="1"/>
      <c r="Z912" s="1"/>
      <c r="AA912" s="1"/>
      <c r="AB912" s="1"/>
    </row>
    <row r="913" spans="1:28">
      <c r="A913" s="261"/>
      <c r="B913" s="261"/>
      <c r="C913" s="115"/>
      <c r="D913" s="1"/>
      <c r="E913" s="1"/>
      <c r="F913" s="1"/>
      <c r="G913" s="1"/>
      <c r="H913" s="1"/>
      <c r="I913" s="1"/>
      <c r="J913" s="1"/>
      <c r="K913" s="1"/>
      <c r="L913" s="2"/>
      <c r="M913" s="2"/>
      <c r="N913" s="2"/>
      <c r="O913" s="2"/>
      <c r="P913" s="2"/>
      <c r="Q913" s="2"/>
      <c r="R913" s="2"/>
      <c r="S913" s="2"/>
      <c r="T913" s="3"/>
      <c r="U913" s="1"/>
      <c r="V913" s="1"/>
      <c r="W913" s="1"/>
      <c r="X913" s="1"/>
      <c r="Y913" s="1"/>
      <c r="Z913" s="1"/>
      <c r="AA913" s="1"/>
      <c r="AB913" s="1"/>
    </row>
    <row r="914" spans="1:28">
      <c r="A914" s="261"/>
      <c r="B914" s="261"/>
      <c r="C914" s="115"/>
      <c r="D914" s="1"/>
      <c r="E914" s="1"/>
      <c r="F914" s="1"/>
      <c r="G914" s="1"/>
      <c r="H914" s="1"/>
      <c r="I914" s="1"/>
      <c r="J914" s="1"/>
      <c r="K914" s="1"/>
      <c r="L914" s="2"/>
      <c r="M914" s="2"/>
      <c r="N914" s="2"/>
      <c r="O914" s="2"/>
      <c r="P914" s="2"/>
      <c r="Q914" s="2"/>
      <c r="R914" s="2"/>
      <c r="S914" s="2"/>
      <c r="T914" s="3"/>
      <c r="U914" s="1"/>
      <c r="V914" s="1"/>
      <c r="W914" s="1"/>
      <c r="X914" s="1"/>
      <c r="Y914" s="1"/>
      <c r="Z914" s="1"/>
      <c r="AA914" s="1"/>
      <c r="AB914" s="1"/>
    </row>
    <row r="915" spans="1:28">
      <c r="A915" s="261"/>
      <c r="B915" s="261"/>
      <c r="C915" s="115"/>
      <c r="D915" s="1"/>
      <c r="E915" s="1"/>
      <c r="F915" s="1"/>
      <c r="G915" s="1"/>
      <c r="H915" s="1"/>
      <c r="I915" s="1"/>
      <c r="J915" s="1"/>
      <c r="K915" s="1"/>
      <c r="L915" s="2"/>
      <c r="M915" s="2"/>
      <c r="N915" s="2"/>
      <c r="O915" s="2"/>
      <c r="P915" s="2"/>
      <c r="Q915" s="2"/>
      <c r="R915" s="2"/>
      <c r="S915" s="2"/>
      <c r="T915" s="3"/>
      <c r="U915" s="1"/>
      <c r="V915" s="1"/>
      <c r="W915" s="1"/>
      <c r="X915" s="1"/>
      <c r="Y915" s="1"/>
      <c r="Z915" s="1"/>
      <c r="AA915" s="1"/>
      <c r="AB915" s="1"/>
    </row>
    <row r="916" spans="1:28">
      <c r="A916" s="261"/>
      <c r="B916" s="261"/>
      <c r="C916" s="115"/>
      <c r="D916" s="1"/>
      <c r="E916" s="1"/>
      <c r="F916" s="1"/>
      <c r="G916" s="1"/>
      <c r="H916" s="1"/>
      <c r="I916" s="1"/>
      <c r="J916" s="1"/>
      <c r="K916" s="1"/>
      <c r="L916" s="2"/>
      <c r="M916" s="2"/>
      <c r="N916" s="2"/>
      <c r="O916" s="2"/>
      <c r="P916" s="2"/>
      <c r="Q916" s="2"/>
      <c r="R916" s="2"/>
      <c r="S916" s="2"/>
      <c r="T916" s="3"/>
      <c r="U916" s="1"/>
      <c r="V916" s="1"/>
      <c r="W916" s="1"/>
      <c r="X916" s="1"/>
      <c r="Y916" s="1"/>
      <c r="Z916" s="1"/>
      <c r="AA916" s="1"/>
      <c r="AB916" s="1"/>
    </row>
    <row r="917" spans="1:28">
      <c r="A917" s="261"/>
      <c r="B917" s="261"/>
      <c r="C917" s="115"/>
      <c r="D917" s="1"/>
      <c r="E917" s="1"/>
      <c r="F917" s="1"/>
      <c r="G917" s="1"/>
      <c r="H917" s="1"/>
      <c r="I917" s="1"/>
      <c r="J917" s="1"/>
      <c r="K917" s="1"/>
      <c r="L917" s="2"/>
      <c r="M917" s="2"/>
      <c r="N917" s="2"/>
      <c r="O917" s="2"/>
      <c r="P917" s="2"/>
      <c r="Q917" s="2"/>
      <c r="R917" s="2"/>
      <c r="S917" s="2"/>
      <c r="T917" s="3"/>
      <c r="U917" s="1"/>
      <c r="V917" s="1"/>
      <c r="W917" s="1"/>
      <c r="X917" s="1"/>
      <c r="Y917" s="1"/>
      <c r="Z917" s="1"/>
      <c r="AA917" s="1"/>
      <c r="AB917" s="1"/>
    </row>
    <row r="918" spans="1:28">
      <c r="A918" s="261"/>
      <c r="B918" s="261"/>
      <c r="C918" s="115"/>
      <c r="D918" s="1"/>
      <c r="E918" s="1"/>
      <c r="F918" s="1"/>
      <c r="G918" s="1"/>
      <c r="H918" s="1"/>
      <c r="I918" s="1"/>
      <c r="J918" s="1"/>
      <c r="K918" s="1"/>
      <c r="L918" s="2"/>
      <c r="M918" s="2"/>
      <c r="N918" s="2"/>
      <c r="O918" s="2"/>
      <c r="P918" s="2"/>
      <c r="Q918" s="2"/>
      <c r="R918" s="2"/>
      <c r="S918" s="2"/>
      <c r="T918" s="3"/>
      <c r="U918" s="1"/>
      <c r="V918" s="1"/>
      <c r="W918" s="1"/>
      <c r="X918" s="1"/>
      <c r="Y918" s="1"/>
      <c r="Z918" s="1"/>
      <c r="AA918" s="1"/>
      <c r="AB918" s="1"/>
    </row>
    <row r="919" spans="1:28">
      <c r="A919" s="261"/>
      <c r="B919" s="261"/>
      <c r="C919" s="115"/>
      <c r="D919" s="1"/>
      <c r="E919" s="1"/>
      <c r="F919" s="1"/>
      <c r="G919" s="1"/>
      <c r="H919" s="1"/>
      <c r="I919" s="1"/>
      <c r="J919" s="1"/>
      <c r="K919" s="1"/>
      <c r="L919" s="2"/>
      <c r="M919" s="2"/>
      <c r="N919" s="2"/>
      <c r="O919" s="2"/>
      <c r="P919" s="2"/>
      <c r="Q919" s="2"/>
      <c r="R919" s="2"/>
      <c r="S919" s="2"/>
      <c r="T919" s="3"/>
      <c r="U919" s="1"/>
      <c r="V919" s="1"/>
      <c r="W919" s="1"/>
      <c r="X919" s="1"/>
      <c r="Y919" s="1"/>
      <c r="Z919" s="1"/>
      <c r="AA919" s="1"/>
      <c r="AB919" s="1"/>
    </row>
    <row r="920" spans="1:28">
      <c r="A920" s="261"/>
      <c r="B920" s="261"/>
      <c r="C920" s="115"/>
      <c r="D920" s="1"/>
      <c r="E920" s="1"/>
      <c r="F920" s="1"/>
      <c r="G920" s="1"/>
      <c r="H920" s="1"/>
      <c r="I920" s="1"/>
      <c r="J920" s="1"/>
      <c r="K920" s="1"/>
      <c r="L920" s="2"/>
      <c r="M920" s="2"/>
      <c r="N920" s="2"/>
      <c r="O920" s="2"/>
      <c r="P920" s="2"/>
      <c r="Q920" s="2"/>
      <c r="R920" s="2"/>
      <c r="S920" s="2"/>
      <c r="T920" s="3"/>
      <c r="U920" s="1"/>
      <c r="V920" s="1"/>
      <c r="W920" s="1"/>
      <c r="X920" s="1"/>
      <c r="Y920" s="1"/>
      <c r="Z920" s="1"/>
      <c r="AA920" s="1"/>
      <c r="AB920" s="1"/>
    </row>
    <row r="921" spans="1:28">
      <c r="A921" s="261"/>
      <c r="B921" s="261"/>
      <c r="C921" s="115"/>
      <c r="D921" s="1"/>
      <c r="E921" s="1"/>
      <c r="F921" s="1"/>
      <c r="G921" s="1"/>
      <c r="H921" s="1"/>
      <c r="I921" s="1"/>
      <c r="J921" s="1"/>
      <c r="K921" s="1"/>
      <c r="L921" s="2"/>
      <c r="M921" s="2"/>
      <c r="N921" s="2"/>
      <c r="O921" s="2"/>
      <c r="P921" s="2"/>
      <c r="Q921" s="2"/>
      <c r="R921" s="2"/>
      <c r="S921" s="2"/>
      <c r="T921" s="3"/>
      <c r="U921" s="1"/>
      <c r="V921" s="1"/>
      <c r="W921" s="1"/>
      <c r="X921" s="1"/>
      <c r="Y921" s="1"/>
      <c r="Z921" s="1"/>
      <c r="AA921" s="1"/>
      <c r="AB921" s="1"/>
    </row>
    <row r="922" spans="1:28">
      <c r="A922" s="261"/>
      <c r="B922" s="261"/>
      <c r="C922" s="115"/>
      <c r="D922" s="1"/>
      <c r="E922" s="1"/>
      <c r="F922" s="1"/>
      <c r="G922" s="1"/>
      <c r="H922" s="1"/>
      <c r="I922" s="1"/>
      <c r="J922" s="1"/>
      <c r="K922" s="1"/>
      <c r="L922" s="2"/>
      <c r="M922" s="2"/>
      <c r="N922" s="2"/>
      <c r="O922" s="2"/>
      <c r="P922" s="2"/>
      <c r="Q922" s="2"/>
      <c r="R922" s="2"/>
      <c r="S922" s="2"/>
      <c r="T922" s="3"/>
      <c r="U922" s="1"/>
      <c r="V922" s="1"/>
      <c r="W922" s="1"/>
      <c r="X922" s="1"/>
      <c r="Y922" s="1"/>
      <c r="Z922" s="1"/>
      <c r="AA922" s="1"/>
      <c r="AB922" s="1"/>
    </row>
    <row r="923" spans="1:28">
      <c r="A923" s="261"/>
      <c r="B923" s="261"/>
      <c r="C923" s="115"/>
      <c r="D923" s="1"/>
      <c r="E923" s="1"/>
      <c r="F923" s="1"/>
      <c r="G923" s="1"/>
      <c r="H923" s="1"/>
      <c r="I923" s="1"/>
      <c r="J923" s="1"/>
      <c r="K923" s="1"/>
      <c r="L923" s="2"/>
      <c r="M923" s="2"/>
      <c r="N923" s="2"/>
      <c r="O923" s="2"/>
      <c r="P923" s="2"/>
      <c r="Q923" s="2"/>
      <c r="R923" s="2"/>
      <c r="S923" s="2"/>
      <c r="T923" s="3"/>
      <c r="U923" s="1"/>
      <c r="V923" s="1"/>
      <c r="W923" s="1"/>
      <c r="X923" s="1"/>
      <c r="Y923" s="1"/>
      <c r="Z923" s="1"/>
      <c r="AA923" s="1"/>
      <c r="AB923" s="1"/>
    </row>
    <row r="924" spans="1:28">
      <c r="A924" s="261"/>
      <c r="B924" s="261"/>
      <c r="C924" s="115"/>
      <c r="D924" s="1"/>
      <c r="E924" s="1"/>
      <c r="F924" s="1"/>
      <c r="G924" s="1"/>
      <c r="H924" s="1"/>
      <c r="I924" s="1"/>
      <c r="J924" s="1"/>
      <c r="K924" s="1"/>
      <c r="L924" s="2"/>
      <c r="M924" s="2"/>
      <c r="N924" s="2"/>
      <c r="O924" s="2"/>
      <c r="P924" s="2"/>
      <c r="Q924" s="2"/>
      <c r="R924" s="2"/>
      <c r="S924" s="2"/>
      <c r="T924" s="3"/>
      <c r="U924" s="1"/>
      <c r="V924" s="1"/>
      <c r="W924" s="1"/>
      <c r="X924" s="1"/>
      <c r="Y924" s="1"/>
      <c r="Z924" s="1"/>
      <c r="AA924" s="1"/>
      <c r="AB924" s="1"/>
    </row>
    <row r="925" spans="1:28">
      <c r="A925" s="261"/>
      <c r="B925" s="261"/>
      <c r="C925" s="115"/>
      <c r="D925" s="1"/>
      <c r="E925" s="1"/>
      <c r="F925" s="1"/>
      <c r="G925" s="1"/>
      <c r="H925" s="1"/>
      <c r="I925" s="1"/>
      <c r="J925" s="1"/>
      <c r="K925" s="1"/>
      <c r="L925" s="2"/>
      <c r="M925" s="2"/>
      <c r="N925" s="2"/>
      <c r="O925" s="2"/>
      <c r="P925" s="2"/>
      <c r="Q925" s="2"/>
      <c r="R925" s="2"/>
      <c r="S925" s="2"/>
      <c r="T925" s="3"/>
      <c r="U925" s="1"/>
      <c r="V925" s="1"/>
      <c r="W925" s="1"/>
      <c r="X925" s="1"/>
      <c r="Y925" s="1"/>
      <c r="Z925" s="1"/>
      <c r="AA925" s="1"/>
      <c r="AB925" s="1"/>
    </row>
    <row r="926" spans="1:28">
      <c r="A926" s="261"/>
      <c r="B926" s="261"/>
      <c r="C926" s="115"/>
      <c r="D926" s="1"/>
      <c r="E926" s="1"/>
      <c r="F926" s="1"/>
      <c r="G926" s="1"/>
      <c r="H926" s="1"/>
      <c r="I926" s="1"/>
      <c r="J926" s="1"/>
      <c r="K926" s="1"/>
      <c r="L926" s="2"/>
      <c r="M926" s="2"/>
      <c r="N926" s="2"/>
      <c r="O926" s="2"/>
      <c r="P926" s="2"/>
      <c r="Q926" s="2"/>
      <c r="R926" s="2"/>
      <c r="S926" s="2"/>
      <c r="T926" s="3"/>
      <c r="U926" s="1"/>
      <c r="V926" s="1"/>
      <c r="W926" s="1"/>
      <c r="X926" s="1"/>
      <c r="Y926" s="1"/>
      <c r="Z926" s="1"/>
      <c r="AA926" s="1"/>
      <c r="AB926" s="1"/>
    </row>
    <row r="927" spans="1:28">
      <c r="A927" s="261"/>
      <c r="B927" s="261"/>
      <c r="C927" s="115"/>
      <c r="D927" s="1"/>
      <c r="E927" s="1"/>
      <c r="F927" s="1"/>
      <c r="G927" s="1"/>
      <c r="H927" s="1"/>
      <c r="I927" s="1"/>
      <c r="J927" s="1"/>
      <c r="K927" s="1"/>
      <c r="L927" s="2"/>
      <c r="M927" s="2"/>
      <c r="N927" s="2"/>
      <c r="O927" s="2"/>
      <c r="P927" s="2"/>
      <c r="Q927" s="2"/>
      <c r="R927" s="2"/>
      <c r="S927" s="2"/>
      <c r="T927" s="3"/>
      <c r="U927" s="1"/>
      <c r="V927" s="1"/>
      <c r="W927" s="1"/>
      <c r="X927" s="1"/>
      <c r="Y927" s="1"/>
      <c r="Z927" s="1"/>
      <c r="AA927" s="1"/>
      <c r="AB927" s="1"/>
    </row>
    <row r="928" spans="1:28">
      <c r="A928" s="261"/>
      <c r="B928" s="261"/>
      <c r="C928" s="115"/>
      <c r="D928" s="1"/>
      <c r="E928" s="1"/>
      <c r="F928" s="1"/>
      <c r="G928" s="1"/>
      <c r="H928" s="1"/>
      <c r="I928" s="1"/>
      <c r="J928" s="1"/>
      <c r="K928" s="1"/>
      <c r="L928" s="2"/>
      <c r="M928" s="2"/>
      <c r="N928" s="2"/>
      <c r="O928" s="2"/>
      <c r="P928" s="2"/>
      <c r="Q928" s="2"/>
      <c r="R928" s="2"/>
      <c r="S928" s="2"/>
      <c r="T928" s="3"/>
      <c r="U928" s="1"/>
      <c r="V928" s="1"/>
      <c r="W928" s="1"/>
      <c r="X928" s="1"/>
      <c r="Y928" s="1"/>
      <c r="Z928" s="1"/>
      <c r="AA928" s="1"/>
      <c r="AB928" s="1"/>
    </row>
    <row r="929" spans="1:28">
      <c r="A929" s="261"/>
      <c r="B929" s="261"/>
      <c r="C929" s="115"/>
      <c r="D929" s="1"/>
      <c r="E929" s="1"/>
      <c r="F929" s="1"/>
      <c r="G929" s="1"/>
      <c r="H929" s="1"/>
      <c r="I929" s="1"/>
      <c r="J929" s="1"/>
      <c r="K929" s="1"/>
      <c r="L929" s="2"/>
      <c r="M929" s="2"/>
      <c r="N929" s="2"/>
      <c r="O929" s="2"/>
      <c r="P929" s="2"/>
      <c r="Q929" s="2"/>
      <c r="R929" s="2"/>
      <c r="S929" s="2"/>
      <c r="T929" s="3"/>
      <c r="U929" s="1"/>
      <c r="V929" s="1"/>
      <c r="W929" s="1"/>
      <c r="X929" s="1"/>
      <c r="Y929" s="1"/>
      <c r="Z929" s="1"/>
      <c r="AA929" s="1"/>
      <c r="AB929" s="1"/>
    </row>
    <row r="930" spans="1:28">
      <c r="A930" s="261"/>
      <c r="B930" s="261"/>
      <c r="C930" s="115"/>
      <c r="D930" s="1"/>
      <c r="E930" s="1"/>
      <c r="F930" s="1"/>
      <c r="G930" s="1"/>
      <c r="H930" s="1"/>
      <c r="I930" s="1"/>
      <c r="J930" s="1"/>
      <c r="K930" s="1"/>
      <c r="L930" s="2"/>
      <c r="M930" s="2"/>
      <c r="N930" s="2"/>
      <c r="O930" s="2"/>
      <c r="P930" s="2"/>
      <c r="Q930" s="2"/>
      <c r="R930" s="2"/>
      <c r="S930" s="2"/>
      <c r="T930" s="3"/>
      <c r="U930" s="1"/>
      <c r="V930" s="1"/>
      <c r="W930" s="1"/>
      <c r="X930" s="1"/>
      <c r="Y930" s="1"/>
      <c r="Z930" s="1"/>
      <c r="AA930" s="1"/>
      <c r="AB930" s="1"/>
    </row>
    <row r="931" spans="1:28">
      <c r="A931" s="261"/>
      <c r="B931" s="261"/>
      <c r="C931" s="115"/>
      <c r="D931" s="1"/>
      <c r="E931" s="1"/>
      <c r="F931" s="1"/>
      <c r="G931" s="1"/>
      <c r="H931" s="1"/>
      <c r="I931" s="1"/>
      <c r="J931" s="1"/>
      <c r="K931" s="1"/>
      <c r="L931" s="2"/>
      <c r="M931" s="2"/>
      <c r="N931" s="2"/>
      <c r="O931" s="2"/>
      <c r="P931" s="2"/>
      <c r="Q931" s="2"/>
      <c r="R931" s="2"/>
      <c r="S931" s="2"/>
      <c r="T931" s="3"/>
      <c r="U931" s="1"/>
      <c r="V931" s="1"/>
      <c r="W931" s="1"/>
      <c r="X931" s="1"/>
      <c r="Y931" s="1"/>
      <c r="Z931" s="1"/>
      <c r="AA931" s="1"/>
      <c r="AB931" s="1"/>
    </row>
    <row r="932" spans="1:28">
      <c r="A932" s="261"/>
      <c r="B932" s="261"/>
      <c r="C932" s="115"/>
      <c r="D932" s="1"/>
      <c r="E932" s="1"/>
      <c r="F932" s="1"/>
      <c r="G932" s="1"/>
      <c r="H932" s="1"/>
      <c r="I932" s="1"/>
      <c r="J932" s="1"/>
      <c r="K932" s="1"/>
      <c r="L932" s="2"/>
      <c r="M932" s="2"/>
      <c r="N932" s="2"/>
      <c r="O932" s="2"/>
      <c r="P932" s="2"/>
      <c r="Q932" s="2"/>
      <c r="R932" s="2"/>
      <c r="S932" s="2"/>
      <c r="T932" s="3"/>
      <c r="U932" s="1"/>
      <c r="V932" s="1"/>
      <c r="W932" s="1"/>
      <c r="X932" s="1"/>
      <c r="Y932" s="1"/>
      <c r="Z932" s="1"/>
      <c r="AA932" s="1"/>
      <c r="AB932" s="1"/>
    </row>
    <row r="933" spans="1:28">
      <c r="A933" s="261"/>
      <c r="B933" s="261"/>
      <c r="C933" s="115"/>
      <c r="D933" s="1"/>
      <c r="E933" s="1"/>
      <c r="F933" s="1"/>
      <c r="G933" s="1"/>
      <c r="H933" s="1"/>
      <c r="I933" s="1"/>
      <c r="J933" s="1"/>
      <c r="K933" s="1"/>
      <c r="L933" s="2"/>
      <c r="M933" s="2"/>
      <c r="N933" s="2"/>
      <c r="O933" s="2"/>
      <c r="P933" s="2"/>
      <c r="Q933" s="2"/>
      <c r="R933" s="2"/>
      <c r="S933" s="2"/>
      <c r="T933" s="3"/>
      <c r="U933" s="1"/>
      <c r="V933" s="1"/>
      <c r="W933" s="1"/>
      <c r="X933" s="1"/>
      <c r="Y933" s="1"/>
      <c r="Z933" s="1"/>
      <c r="AA933" s="1"/>
      <c r="AB933" s="1"/>
    </row>
    <row r="934" spans="1:28">
      <c r="A934" s="261"/>
      <c r="B934" s="261"/>
      <c r="C934" s="115"/>
      <c r="D934" s="1"/>
      <c r="E934" s="1"/>
      <c r="F934" s="1"/>
      <c r="G934" s="1"/>
      <c r="H934" s="1"/>
      <c r="I934" s="1"/>
      <c r="J934" s="1"/>
      <c r="K934" s="1"/>
      <c r="L934" s="2"/>
      <c r="M934" s="2"/>
      <c r="N934" s="2"/>
      <c r="O934" s="2"/>
      <c r="P934" s="2"/>
      <c r="Q934" s="2"/>
      <c r="R934" s="2"/>
      <c r="S934" s="2"/>
      <c r="T934" s="3"/>
      <c r="U934" s="1"/>
      <c r="V934" s="1"/>
      <c r="W934" s="1"/>
      <c r="X934" s="1"/>
      <c r="Y934" s="1"/>
      <c r="Z934" s="1"/>
      <c r="AA934" s="1"/>
      <c r="AB934" s="1"/>
    </row>
    <row r="935" spans="1:28">
      <c r="A935" s="261"/>
      <c r="B935" s="261"/>
      <c r="C935" s="115"/>
      <c r="D935" s="1"/>
      <c r="E935" s="1"/>
      <c r="F935" s="1"/>
      <c r="G935" s="1"/>
      <c r="H935" s="1"/>
      <c r="I935" s="1"/>
      <c r="J935" s="1"/>
      <c r="K935" s="1"/>
      <c r="L935" s="2"/>
      <c r="M935" s="2"/>
      <c r="N935" s="2"/>
      <c r="O935" s="2"/>
      <c r="P935" s="2"/>
      <c r="Q935" s="2"/>
      <c r="R935" s="2"/>
      <c r="S935" s="2"/>
      <c r="T935" s="3"/>
      <c r="U935" s="1"/>
      <c r="V935" s="1"/>
      <c r="W935" s="1"/>
      <c r="X935" s="1"/>
      <c r="Y935" s="1"/>
      <c r="Z935" s="1"/>
      <c r="AA935" s="1"/>
      <c r="AB935" s="1"/>
    </row>
    <row r="936" spans="1:28">
      <c r="A936" s="261"/>
      <c r="B936" s="261"/>
      <c r="C936" s="115"/>
      <c r="D936" s="1"/>
      <c r="E936" s="1"/>
      <c r="F936" s="1"/>
      <c r="G936" s="1"/>
      <c r="H936" s="1"/>
      <c r="I936" s="1"/>
      <c r="J936" s="1"/>
      <c r="K936" s="1"/>
      <c r="L936" s="2"/>
      <c r="M936" s="2"/>
      <c r="N936" s="2"/>
      <c r="O936" s="2"/>
      <c r="P936" s="2"/>
      <c r="Q936" s="2"/>
      <c r="R936" s="2"/>
      <c r="S936" s="2"/>
      <c r="T936" s="3"/>
      <c r="U936" s="1"/>
      <c r="V936" s="1"/>
      <c r="W936" s="1"/>
      <c r="X936" s="1"/>
      <c r="Y936" s="1"/>
      <c r="Z936" s="1"/>
      <c r="AA936" s="1"/>
      <c r="AB936" s="1"/>
    </row>
    <row r="937" spans="1:28">
      <c r="A937" s="261"/>
      <c r="B937" s="261"/>
      <c r="C937" s="115"/>
      <c r="D937" s="1"/>
      <c r="E937" s="1"/>
      <c r="F937" s="1"/>
      <c r="G937" s="1"/>
      <c r="H937" s="1"/>
      <c r="I937" s="1"/>
      <c r="J937" s="1"/>
      <c r="K937" s="1"/>
      <c r="L937" s="2"/>
      <c r="M937" s="2"/>
      <c r="N937" s="2"/>
      <c r="O937" s="2"/>
      <c r="P937" s="2"/>
      <c r="Q937" s="2"/>
      <c r="R937" s="2"/>
      <c r="S937" s="2"/>
      <c r="T937" s="3"/>
      <c r="U937" s="1"/>
      <c r="V937" s="1"/>
      <c r="W937" s="1"/>
      <c r="X937" s="1"/>
      <c r="Y937" s="1"/>
      <c r="Z937" s="1"/>
      <c r="AA937" s="1"/>
      <c r="AB937" s="1"/>
    </row>
    <row r="938" spans="1:28">
      <c r="A938" s="261"/>
      <c r="B938" s="261"/>
      <c r="C938" s="115"/>
      <c r="D938" s="1"/>
      <c r="E938" s="1"/>
      <c r="F938" s="1"/>
      <c r="G938" s="1"/>
      <c r="H938" s="1"/>
      <c r="I938" s="1"/>
      <c r="J938" s="1"/>
      <c r="K938" s="1"/>
      <c r="L938" s="2"/>
      <c r="M938" s="2"/>
      <c r="N938" s="2"/>
      <c r="O938" s="2"/>
      <c r="P938" s="2"/>
      <c r="Q938" s="2"/>
      <c r="R938" s="2"/>
      <c r="S938" s="2"/>
      <c r="T938" s="3"/>
      <c r="U938" s="1"/>
      <c r="V938" s="1"/>
      <c r="W938" s="1"/>
      <c r="X938" s="1"/>
      <c r="Y938" s="1"/>
      <c r="Z938" s="1"/>
      <c r="AA938" s="1"/>
      <c r="AB938" s="1"/>
    </row>
    <row r="939" spans="1:28">
      <c r="A939" s="261"/>
      <c r="B939" s="261"/>
      <c r="C939" s="115"/>
      <c r="D939" s="1"/>
      <c r="E939" s="1"/>
      <c r="F939" s="1"/>
      <c r="G939" s="1"/>
      <c r="H939" s="1"/>
      <c r="I939" s="1"/>
      <c r="J939" s="1"/>
      <c r="K939" s="1"/>
      <c r="L939" s="2"/>
      <c r="M939" s="2"/>
      <c r="N939" s="2"/>
      <c r="O939" s="2"/>
      <c r="P939" s="2"/>
      <c r="Q939" s="2"/>
      <c r="R939" s="2"/>
      <c r="S939" s="2"/>
      <c r="T939" s="3"/>
      <c r="U939" s="1"/>
      <c r="V939" s="1"/>
      <c r="W939" s="1"/>
      <c r="X939" s="1"/>
      <c r="Y939" s="1"/>
      <c r="Z939" s="1"/>
      <c r="AA939" s="1"/>
      <c r="AB939" s="1"/>
    </row>
    <row r="940" spans="1:28">
      <c r="A940" s="261"/>
      <c r="B940" s="261"/>
      <c r="C940" s="115"/>
      <c r="D940" s="1"/>
      <c r="E940" s="1"/>
      <c r="F940" s="1"/>
      <c r="G940" s="1"/>
      <c r="H940" s="1"/>
      <c r="I940" s="1"/>
      <c r="J940" s="1"/>
      <c r="K940" s="1"/>
      <c r="L940" s="2"/>
      <c r="M940" s="2"/>
      <c r="N940" s="2"/>
      <c r="O940" s="2"/>
      <c r="P940" s="2"/>
      <c r="Q940" s="2"/>
      <c r="R940" s="2"/>
      <c r="S940" s="2"/>
      <c r="T940" s="3"/>
      <c r="U940" s="1"/>
      <c r="V940" s="1"/>
      <c r="W940" s="1"/>
      <c r="X940" s="1"/>
      <c r="Y940" s="1"/>
      <c r="Z940" s="1"/>
      <c r="AA940" s="1"/>
      <c r="AB940" s="1"/>
    </row>
    <row r="941" spans="1:28">
      <c r="A941" s="261"/>
      <c r="B941" s="261"/>
      <c r="C941" s="115"/>
      <c r="D941" s="1"/>
      <c r="E941" s="1"/>
      <c r="F941" s="1"/>
      <c r="G941" s="1"/>
      <c r="H941" s="1"/>
      <c r="I941" s="1"/>
      <c r="J941" s="1"/>
      <c r="K941" s="1"/>
      <c r="L941" s="2"/>
      <c r="M941" s="2"/>
      <c r="N941" s="2"/>
      <c r="O941" s="2"/>
      <c r="P941" s="2"/>
      <c r="Q941" s="2"/>
      <c r="R941" s="2"/>
      <c r="S941" s="2"/>
      <c r="T941" s="3"/>
      <c r="U941" s="1"/>
      <c r="V941" s="1"/>
      <c r="W941" s="1"/>
      <c r="X941" s="1"/>
      <c r="Y941" s="1"/>
      <c r="Z941" s="1"/>
      <c r="AA941" s="1"/>
      <c r="AB941" s="1"/>
    </row>
    <row r="942" spans="1:28">
      <c r="A942" s="261"/>
      <c r="B942" s="261"/>
      <c r="C942" s="115"/>
      <c r="D942" s="1"/>
      <c r="E942" s="1"/>
      <c r="F942" s="1"/>
      <c r="G942" s="1"/>
      <c r="H942" s="1"/>
      <c r="I942" s="1"/>
      <c r="J942" s="1"/>
      <c r="K942" s="1"/>
      <c r="L942" s="2"/>
      <c r="M942" s="2"/>
      <c r="N942" s="2"/>
      <c r="O942" s="2"/>
      <c r="P942" s="2"/>
      <c r="Q942" s="2"/>
      <c r="R942" s="2"/>
      <c r="S942" s="2"/>
      <c r="T942" s="3"/>
      <c r="U942" s="1"/>
      <c r="V942" s="1"/>
      <c r="W942" s="1"/>
      <c r="X942" s="1"/>
      <c r="Y942" s="1"/>
      <c r="Z942" s="1"/>
      <c r="AA942" s="1"/>
      <c r="AB942" s="1"/>
    </row>
    <row r="943" spans="1:28">
      <c r="A943" s="261"/>
      <c r="B943" s="261"/>
      <c r="C943" s="115"/>
      <c r="D943" s="1"/>
      <c r="E943" s="1"/>
      <c r="F943" s="1"/>
      <c r="G943" s="1"/>
      <c r="H943" s="1"/>
      <c r="I943" s="1"/>
      <c r="J943" s="1"/>
      <c r="K943" s="1"/>
      <c r="L943" s="2"/>
      <c r="M943" s="2"/>
      <c r="N943" s="2"/>
      <c r="O943" s="2"/>
      <c r="P943" s="2"/>
      <c r="Q943" s="2"/>
      <c r="R943" s="2"/>
      <c r="S943" s="2"/>
      <c r="T943" s="3"/>
      <c r="U943" s="1"/>
      <c r="V943" s="1"/>
      <c r="W943" s="1"/>
      <c r="X943" s="1"/>
      <c r="Y943" s="1"/>
      <c r="Z943" s="1"/>
      <c r="AA943" s="1"/>
      <c r="AB943" s="1"/>
    </row>
    <row r="944" spans="1:28">
      <c r="A944" s="261"/>
      <c r="B944" s="261"/>
      <c r="C944" s="115"/>
      <c r="D944" s="1"/>
      <c r="E944" s="1"/>
      <c r="F944" s="1"/>
      <c r="G944" s="1"/>
      <c r="H944" s="1"/>
      <c r="I944" s="1"/>
      <c r="J944" s="1"/>
      <c r="K944" s="1"/>
      <c r="L944" s="2"/>
      <c r="M944" s="2"/>
      <c r="N944" s="2"/>
      <c r="O944" s="2"/>
      <c r="P944" s="2"/>
      <c r="Q944" s="2"/>
      <c r="R944" s="2"/>
      <c r="S944" s="2"/>
      <c r="T944" s="3"/>
      <c r="U944" s="1"/>
      <c r="V944" s="1"/>
      <c r="W944" s="1"/>
      <c r="X944" s="1"/>
      <c r="Y944" s="1"/>
      <c r="Z944" s="1"/>
      <c r="AA944" s="1"/>
      <c r="AB944" s="1"/>
    </row>
    <row r="945" spans="1:28">
      <c r="A945" s="261"/>
      <c r="B945" s="261"/>
      <c r="C945" s="115"/>
      <c r="D945" s="1"/>
      <c r="E945" s="1"/>
      <c r="F945" s="1"/>
      <c r="G945" s="1"/>
      <c r="H945" s="1"/>
      <c r="I945" s="1"/>
      <c r="J945" s="1"/>
      <c r="K945" s="1"/>
      <c r="L945" s="2"/>
      <c r="M945" s="2"/>
      <c r="N945" s="2"/>
      <c r="O945" s="2"/>
      <c r="P945" s="2"/>
      <c r="Q945" s="2"/>
      <c r="R945" s="2"/>
      <c r="S945" s="2"/>
      <c r="T945" s="3"/>
      <c r="U945" s="1"/>
      <c r="V945" s="1"/>
      <c r="W945" s="1"/>
      <c r="X945" s="1"/>
      <c r="Y945" s="1"/>
      <c r="Z945" s="1"/>
      <c r="AA945" s="1"/>
      <c r="AB945" s="1"/>
    </row>
    <row r="946" spans="1:28">
      <c r="A946" s="261"/>
      <c r="B946" s="261"/>
      <c r="C946" s="115"/>
      <c r="D946" s="1"/>
      <c r="E946" s="1"/>
      <c r="F946" s="1"/>
      <c r="G946" s="1"/>
      <c r="H946" s="1"/>
      <c r="I946" s="1"/>
      <c r="J946" s="1"/>
      <c r="K946" s="1"/>
      <c r="L946" s="2"/>
      <c r="M946" s="2"/>
      <c r="N946" s="2"/>
      <c r="O946" s="2"/>
      <c r="P946" s="2"/>
      <c r="Q946" s="2"/>
      <c r="R946" s="2"/>
      <c r="S946" s="2"/>
      <c r="T946" s="3"/>
      <c r="U946" s="1"/>
      <c r="V946" s="1"/>
      <c r="W946" s="1"/>
      <c r="X946" s="1"/>
      <c r="Y946" s="1"/>
      <c r="Z946" s="1"/>
      <c r="AA946" s="1"/>
      <c r="AB946" s="1"/>
    </row>
    <row r="947" spans="1:28">
      <c r="A947" s="261"/>
      <c r="B947" s="261"/>
      <c r="C947" s="115"/>
      <c r="D947" s="1"/>
      <c r="E947" s="1"/>
      <c r="F947" s="1"/>
      <c r="G947" s="1"/>
      <c r="H947" s="1"/>
      <c r="I947" s="1"/>
      <c r="J947" s="1"/>
      <c r="K947" s="1"/>
      <c r="L947" s="2"/>
      <c r="M947" s="2"/>
      <c r="N947" s="2"/>
      <c r="O947" s="2"/>
      <c r="P947" s="2"/>
      <c r="Q947" s="2"/>
      <c r="R947" s="2"/>
      <c r="S947" s="2"/>
      <c r="T947" s="3"/>
      <c r="U947" s="1"/>
      <c r="V947" s="1"/>
      <c r="W947" s="1"/>
      <c r="X947" s="1"/>
      <c r="Y947" s="1"/>
      <c r="Z947" s="1"/>
      <c r="AA947" s="1"/>
      <c r="AB947" s="1"/>
    </row>
    <row r="948" spans="1:28">
      <c r="A948" s="261"/>
      <c r="B948" s="261"/>
      <c r="C948" s="115"/>
      <c r="D948" s="1"/>
      <c r="E948" s="1"/>
      <c r="F948" s="1"/>
      <c r="G948" s="1"/>
      <c r="H948" s="1"/>
      <c r="I948" s="1"/>
      <c r="J948" s="1"/>
      <c r="K948" s="1"/>
      <c r="L948" s="2"/>
      <c r="M948" s="2"/>
      <c r="N948" s="2"/>
      <c r="O948" s="2"/>
      <c r="P948" s="2"/>
      <c r="Q948" s="2"/>
      <c r="R948" s="2"/>
      <c r="S948" s="2"/>
      <c r="T948" s="3"/>
      <c r="U948" s="1"/>
      <c r="V948" s="1"/>
      <c r="W948" s="1"/>
      <c r="X948" s="1"/>
      <c r="Y948" s="1"/>
      <c r="Z948" s="1"/>
      <c r="AA948" s="1"/>
      <c r="AB948" s="1"/>
    </row>
    <row r="949" spans="1:28">
      <c r="A949" s="260"/>
      <c r="B949" s="260"/>
      <c r="C949" s="38"/>
      <c r="D949" s="4"/>
      <c r="E949" s="4"/>
      <c r="F949" s="4"/>
      <c r="G949" s="4"/>
      <c r="H949" s="4"/>
      <c r="I949" s="4"/>
      <c r="J949" s="4"/>
      <c r="K949" s="4"/>
      <c r="L949" s="5"/>
      <c r="M949" s="5"/>
      <c r="N949" s="5"/>
      <c r="O949" s="5"/>
      <c r="P949" s="5"/>
      <c r="Q949" s="5"/>
      <c r="R949" s="5"/>
      <c r="S949" s="5"/>
      <c r="T949" s="6"/>
      <c r="U949" s="1"/>
      <c r="V949" s="1"/>
      <c r="W949" s="1"/>
      <c r="X949" s="1"/>
      <c r="Y949" s="1"/>
      <c r="Z949" s="1"/>
      <c r="AA949" s="1"/>
      <c r="AB949" s="1"/>
    </row>
    <row r="950" spans="1:28">
      <c r="A950" s="261"/>
      <c r="B950" s="261"/>
      <c r="C950" s="115"/>
      <c r="D950" s="1"/>
      <c r="E950" s="1"/>
      <c r="F950" s="1"/>
      <c r="G950" s="1"/>
      <c r="H950" s="1"/>
      <c r="I950" s="1"/>
      <c r="J950" s="1"/>
      <c r="K950" s="1"/>
      <c r="L950" s="2"/>
      <c r="M950" s="2"/>
      <c r="N950" s="2"/>
      <c r="O950" s="2"/>
      <c r="P950" s="2"/>
      <c r="Q950" s="2"/>
      <c r="R950" s="2"/>
      <c r="S950" s="2"/>
      <c r="T950" s="3"/>
      <c r="U950" s="1"/>
      <c r="V950" s="1"/>
      <c r="W950" s="1"/>
      <c r="X950" s="1"/>
      <c r="Y950" s="1"/>
      <c r="Z950" s="1"/>
      <c r="AA950" s="1"/>
      <c r="AB950" s="1"/>
    </row>
    <row r="951" spans="1:28">
      <c r="A951" s="261"/>
      <c r="B951" s="261"/>
      <c r="C951" s="115"/>
      <c r="D951" s="1"/>
      <c r="E951" s="1"/>
      <c r="F951" s="1"/>
      <c r="G951" s="1"/>
      <c r="H951" s="1"/>
      <c r="I951" s="1"/>
      <c r="J951" s="1"/>
      <c r="K951" s="1"/>
      <c r="L951" s="2"/>
      <c r="M951" s="2"/>
      <c r="N951" s="2"/>
      <c r="O951" s="2"/>
      <c r="P951" s="2"/>
      <c r="Q951" s="2"/>
      <c r="R951" s="2"/>
      <c r="S951" s="2"/>
      <c r="T951" s="3"/>
      <c r="U951" s="1"/>
      <c r="V951" s="1"/>
      <c r="W951" s="1"/>
      <c r="X951" s="1"/>
      <c r="Y951" s="1"/>
      <c r="Z951" s="1"/>
      <c r="AA951" s="1"/>
      <c r="AB951" s="1"/>
    </row>
    <row r="952" spans="1:28">
      <c r="A952" s="261"/>
      <c r="B952" s="261"/>
      <c r="C952" s="115"/>
      <c r="D952" s="1"/>
      <c r="E952" s="1"/>
      <c r="F952" s="1"/>
      <c r="G952" s="1"/>
      <c r="H952" s="1"/>
      <c r="I952" s="1"/>
      <c r="J952" s="1"/>
      <c r="K952" s="1"/>
      <c r="L952" s="2"/>
      <c r="M952" s="2"/>
      <c r="N952" s="2"/>
      <c r="O952" s="2"/>
      <c r="P952" s="2"/>
      <c r="Q952" s="2"/>
      <c r="R952" s="2"/>
      <c r="S952" s="2"/>
      <c r="T952" s="3"/>
      <c r="U952" s="1"/>
      <c r="V952" s="1"/>
      <c r="W952" s="1"/>
      <c r="X952" s="1"/>
      <c r="Y952" s="1"/>
      <c r="Z952" s="1"/>
      <c r="AA952" s="1"/>
      <c r="AB952" s="1"/>
    </row>
    <row r="953" spans="1:28">
      <c r="A953" s="261"/>
      <c r="B953" s="261"/>
      <c r="C953" s="115"/>
      <c r="D953" s="1"/>
      <c r="E953" s="1"/>
      <c r="F953" s="1"/>
      <c r="G953" s="1"/>
      <c r="H953" s="1"/>
      <c r="I953" s="1"/>
      <c r="J953" s="1"/>
      <c r="K953" s="1"/>
      <c r="L953" s="2"/>
      <c r="M953" s="2"/>
      <c r="N953" s="2"/>
      <c r="O953" s="2"/>
      <c r="P953" s="2"/>
      <c r="Q953" s="2"/>
      <c r="R953" s="2"/>
      <c r="S953" s="2"/>
      <c r="T953" s="3"/>
      <c r="U953" s="1"/>
      <c r="V953" s="1"/>
      <c r="W953" s="1"/>
      <c r="X953" s="1"/>
      <c r="Y953" s="1"/>
      <c r="Z953" s="1"/>
      <c r="AA953" s="1"/>
      <c r="AB953" s="1"/>
    </row>
    <row r="954" spans="1:28">
      <c r="A954" s="261"/>
      <c r="B954" s="261"/>
      <c r="C954" s="115"/>
      <c r="D954" s="1"/>
      <c r="E954" s="1"/>
      <c r="F954" s="1"/>
      <c r="G954" s="1"/>
      <c r="H954" s="1"/>
      <c r="I954" s="1"/>
      <c r="J954" s="1"/>
      <c r="K954" s="1"/>
      <c r="L954" s="2"/>
      <c r="M954" s="2"/>
      <c r="N954" s="2"/>
      <c r="O954" s="2"/>
      <c r="P954" s="2"/>
      <c r="Q954" s="2"/>
      <c r="R954" s="2"/>
      <c r="S954" s="2"/>
      <c r="T954" s="3"/>
      <c r="U954" s="1"/>
      <c r="V954" s="1"/>
      <c r="W954" s="1"/>
      <c r="X954" s="1"/>
      <c r="Y954" s="1"/>
      <c r="Z954" s="1"/>
      <c r="AA954" s="1"/>
      <c r="AB954" s="1"/>
    </row>
    <row r="955" spans="1:28">
      <c r="A955" s="261"/>
      <c r="B955" s="261"/>
      <c r="C955" s="115"/>
      <c r="D955" s="1"/>
      <c r="E955" s="1"/>
      <c r="F955" s="1"/>
      <c r="G955" s="1"/>
      <c r="H955" s="1"/>
      <c r="I955" s="1"/>
      <c r="J955" s="1"/>
      <c r="K955" s="1"/>
      <c r="L955" s="2"/>
      <c r="M955" s="2"/>
      <c r="N955" s="2"/>
      <c r="O955" s="2"/>
      <c r="P955" s="2"/>
      <c r="Q955" s="2"/>
      <c r="R955" s="2"/>
      <c r="S955" s="2"/>
      <c r="T955" s="3"/>
      <c r="U955" s="1"/>
      <c r="V955" s="1"/>
      <c r="W955" s="1"/>
      <c r="X955" s="1"/>
      <c r="Y955" s="1"/>
      <c r="Z955" s="1"/>
      <c r="AA955" s="1"/>
      <c r="AB955" s="1"/>
    </row>
    <row r="956" spans="1:28">
      <c r="A956" s="261"/>
      <c r="B956" s="261"/>
      <c r="C956" s="115"/>
      <c r="D956" s="1"/>
      <c r="E956" s="1"/>
      <c r="F956" s="1"/>
      <c r="G956" s="1"/>
      <c r="H956" s="1"/>
      <c r="I956" s="1"/>
      <c r="J956" s="1"/>
      <c r="K956" s="1"/>
      <c r="L956" s="2"/>
      <c r="M956" s="2"/>
      <c r="N956" s="2"/>
      <c r="O956" s="2"/>
      <c r="P956" s="2"/>
      <c r="Q956" s="2"/>
      <c r="R956" s="2"/>
      <c r="S956" s="2"/>
      <c r="T956" s="3"/>
      <c r="U956" s="1"/>
      <c r="V956" s="1"/>
      <c r="W956" s="1"/>
      <c r="X956" s="1"/>
      <c r="Y956" s="1"/>
      <c r="Z956" s="1"/>
      <c r="AA956" s="1"/>
      <c r="AB956" s="1"/>
    </row>
    <row r="957" spans="1:28">
      <c r="A957" s="261"/>
      <c r="B957" s="261"/>
      <c r="C957" s="115"/>
      <c r="D957" s="1"/>
      <c r="E957" s="1"/>
      <c r="F957" s="1"/>
      <c r="G957" s="1"/>
      <c r="H957" s="1"/>
      <c r="I957" s="1"/>
      <c r="J957" s="1"/>
      <c r="K957" s="1"/>
      <c r="L957" s="2"/>
      <c r="M957" s="2"/>
      <c r="N957" s="2"/>
      <c r="O957" s="2"/>
      <c r="P957" s="2"/>
      <c r="Q957" s="2"/>
      <c r="R957" s="2"/>
      <c r="S957" s="2"/>
      <c r="T957" s="3"/>
      <c r="U957" s="1"/>
      <c r="V957" s="1"/>
      <c r="W957" s="1"/>
      <c r="X957" s="1"/>
      <c r="Y957" s="1"/>
      <c r="Z957" s="1"/>
      <c r="AA957" s="1"/>
      <c r="AB957" s="1"/>
    </row>
    <row r="958" spans="1:28">
      <c r="A958" s="261"/>
      <c r="B958" s="261"/>
      <c r="C958" s="115"/>
      <c r="D958" s="1"/>
      <c r="E958" s="1"/>
      <c r="F958" s="1"/>
      <c r="G958" s="1"/>
      <c r="H958" s="1"/>
      <c r="I958" s="1"/>
      <c r="J958" s="1"/>
      <c r="K958" s="1"/>
      <c r="L958" s="2"/>
      <c r="M958" s="2"/>
      <c r="N958" s="2"/>
      <c r="O958" s="2"/>
      <c r="P958" s="2"/>
      <c r="Q958" s="2"/>
      <c r="R958" s="2"/>
      <c r="S958" s="2"/>
      <c r="T958" s="3"/>
      <c r="U958" s="1"/>
      <c r="V958" s="1"/>
      <c r="W958" s="1"/>
      <c r="X958" s="1"/>
      <c r="Y958" s="1"/>
      <c r="Z958" s="1"/>
      <c r="AA958" s="1"/>
      <c r="AB958" s="1"/>
    </row>
    <row r="959" spans="1:28">
      <c r="A959" s="261"/>
      <c r="B959" s="261"/>
      <c r="C959" s="115"/>
      <c r="D959" s="1"/>
      <c r="E959" s="1"/>
      <c r="F959" s="1"/>
      <c r="G959" s="1"/>
      <c r="H959" s="1"/>
      <c r="I959" s="1"/>
      <c r="J959" s="1"/>
      <c r="K959" s="1"/>
      <c r="L959" s="2"/>
      <c r="M959" s="2"/>
      <c r="N959" s="2"/>
      <c r="O959" s="2"/>
      <c r="P959" s="2"/>
      <c r="Q959" s="2"/>
      <c r="R959" s="2"/>
      <c r="S959" s="2"/>
      <c r="T959" s="3"/>
      <c r="U959" s="1"/>
      <c r="V959" s="1"/>
      <c r="W959" s="1"/>
      <c r="X959" s="1"/>
      <c r="Y959" s="1"/>
      <c r="Z959" s="1"/>
      <c r="AA959" s="1"/>
      <c r="AB959" s="1"/>
    </row>
    <row r="960" spans="1:28">
      <c r="A960" s="261"/>
      <c r="B960" s="261"/>
      <c r="C960" s="115"/>
      <c r="D960" s="1"/>
      <c r="E960" s="1"/>
      <c r="F960" s="1"/>
      <c r="G960" s="1"/>
      <c r="H960" s="1"/>
      <c r="I960" s="1"/>
      <c r="J960" s="1"/>
      <c r="K960" s="1"/>
      <c r="L960" s="2"/>
      <c r="M960" s="2"/>
      <c r="N960" s="2"/>
      <c r="O960" s="2"/>
      <c r="P960" s="2"/>
      <c r="Q960" s="2"/>
      <c r="R960" s="2"/>
      <c r="S960" s="2"/>
      <c r="T960" s="3"/>
      <c r="U960" s="1"/>
      <c r="V960" s="1"/>
      <c r="W960" s="1"/>
      <c r="X960" s="1"/>
      <c r="Y960" s="1"/>
      <c r="Z960" s="1"/>
      <c r="AA960" s="1"/>
      <c r="AB960" s="1"/>
    </row>
    <row r="961" spans="1:28">
      <c r="A961" s="261"/>
      <c r="B961" s="261"/>
      <c r="C961" s="115"/>
      <c r="D961" s="1"/>
      <c r="E961" s="1"/>
      <c r="F961" s="1"/>
      <c r="G961" s="1"/>
      <c r="H961" s="1"/>
      <c r="I961" s="1"/>
      <c r="J961" s="1"/>
      <c r="K961" s="1"/>
      <c r="L961" s="2"/>
      <c r="M961" s="2"/>
      <c r="N961" s="2"/>
      <c r="O961" s="2"/>
      <c r="P961" s="2"/>
      <c r="Q961" s="2"/>
      <c r="R961" s="2"/>
      <c r="S961" s="2"/>
      <c r="T961" s="3"/>
      <c r="U961" s="1"/>
      <c r="V961" s="1"/>
      <c r="W961" s="1"/>
      <c r="X961" s="1"/>
      <c r="Y961" s="1"/>
      <c r="Z961" s="1"/>
      <c r="AA961" s="1"/>
      <c r="AB961" s="1"/>
    </row>
    <row r="962" spans="1:28">
      <c r="A962" s="261"/>
      <c r="B962" s="261"/>
      <c r="C962" s="115"/>
      <c r="D962" s="1"/>
      <c r="E962" s="1"/>
      <c r="F962" s="1"/>
      <c r="G962" s="1"/>
      <c r="H962" s="1"/>
      <c r="I962" s="1"/>
      <c r="J962" s="1"/>
      <c r="K962" s="1"/>
      <c r="L962" s="2"/>
      <c r="M962" s="2"/>
      <c r="N962" s="2"/>
      <c r="O962" s="2"/>
      <c r="P962" s="2"/>
      <c r="Q962" s="2"/>
      <c r="R962" s="2"/>
      <c r="S962" s="2"/>
      <c r="T962" s="3"/>
      <c r="U962" s="1"/>
      <c r="V962" s="1"/>
      <c r="W962" s="1"/>
      <c r="X962" s="1"/>
      <c r="Y962" s="1"/>
      <c r="Z962" s="1"/>
      <c r="AA962" s="1"/>
      <c r="AB962" s="1"/>
    </row>
    <row r="963" spans="1:28">
      <c r="A963" s="261"/>
      <c r="B963" s="261"/>
      <c r="C963" s="115"/>
      <c r="D963" s="1"/>
      <c r="E963" s="1"/>
      <c r="F963" s="1"/>
      <c r="G963" s="1"/>
      <c r="H963" s="1"/>
      <c r="I963" s="1"/>
      <c r="J963" s="1"/>
      <c r="K963" s="1"/>
      <c r="L963" s="2"/>
      <c r="M963" s="2"/>
      <c r="N963" s="2"/>
      <c r="O963" s="2"/>
      <c r="P963" s="2"/>
      <c r="Q963" s="2"/>
      <c r="R963" s="2"/>
      <c r="S963" s="2"/>
      <c r="T963" s="3"/>
      <c r="U963" s="1"/>
      <c r="V963" s="1"/>
      <c r="W963" s="1"/>
      <c r="X963" s="1"/>
      <c r="Y963" s="1"/>
      <c r="Z963" s="1"/>
      <c r="AA963" s="1"/>
      <c r="AB963" s="1"/>
    </row>
    <row r="964" spans="1:28">
      <c r="A964" s="261"/>
      <c r="B964" s="261"/>
      <c r="C964" s="115"/>
      <c r="D964" s="1"/>
      <c r="E964" s="1"/>
      <c r="F964" s="1"/>
      <c r="G964" s="1"/>
      <c r="H964" s="1"/>
      <c r="I964" s="1"/>
      <c r="J964" s="1"/>
      <c r="K964" s="1"/>
      <c r="L964" s="2"/>
      <c r="M964" s="2"/>
      <c r="N964" s="2"/>
      <c r="O964" s="2"/>
      <c r="P964" s="2"/>
      <c r="Q964" s="2"/>
      <c r="R964" s="2"/>
      <c r="S964" s="2"/>
      <c r="T964" s="3"/>
      <c r="U964" s="1"/>
      <c r="V964" s="1"/>
      <c r="W964" s="1"/>
      <c r="X964" s="1"/>
      <c r="Y964" s="1"/>
      <c r="Z964" s="1"/>
      <c r="AA964" s="1"/>
      <c r="AB964" s="1"/>
    </row>
    <row r="965" spans="1:28">
      <c r="A965" s="261"/>
      <c r="B965" s="261"/>
      <c r="C965" s="115"/>
      <c r="D965" s="1"/>
      <c r="E965" s="1"/>
      <c r="F965" s="1"/>
      <c r="G965" s="1"/>
      <c r="H965" s="1"/>
      <c r="I965" s="1"/>
      <c r="J965" s="1"/>
      <c r="K965" s="1"/>
      <c r="L965" s="2"/>
      <c r="M965" s="2"/>
      <c r="N965" s="2"/>
      <c r="O965" s="2"/>
      <c r="P965" s="2"/>
      <c r="Q965" s="2"/>
      <c r="R965" s="2"/>
      <c r="S965" s="2"/>
      <c r="T965" s="3"/>
      <c r="U965" s="1"/>
      <c r="V965" s="1"/>
      <c r="W965" s="1"/>
      <c r="X965" s="1"/>
      <c r="Y965" s="1"/>
      <c r="Z965" s="1"/>
      <c r="AA965" s="1"/>
      <c r="AB965" s="1"/>
    </row>
    <row r="966" spans="1:28">
      <c r="A966" s="261"/>
      <c r="B966" s="261"/>
      <c r="C966" s="115"/>
      <c r="D966" s="1"/>
      <c r="E966" s="1"/>
      <c r="F966" s="1"/>
      <c r="G966" s="1"/>
      <c r="H966" s="1"/>
      <c r="I966" s="1"/>
      <c r="J966" s="1"/>
      <c r="K966" s="1"/>
      <c r="L966" s="2"/>
      <c r="M966" s="2"/>
      <c r="N966" s="2"/>
      <c r="O966" s="2"/>
      <c r="P966" s="2"/>
      <c r="Q966" s="2"/>
      <c r="R966" s="2"/>
      <c r="S966" s="2"/>
      <c r="T966" s="3"/>
      <c r="U966" s="1"/>
      <c r="V966" s="1"/>
      <c r="W966" s="1"/>
      <c r="X966" s="1"/>
      <c r="Y966" s="1"/>
      <c r="Z966" s="1"/>
      <c r="AA966" s="1"/>
      <c r="AB966" s="1"/>
    </row>
    <row r="967" spans="1:28">
      <c r="A967" s="261"/>
      <c r="B967" s="261"/>
      <c r="C967" s="115"/>
      <c r="D967" s="1"/>
      <c r="E967" s="1"/>
      <c r="F967" s="1"/>
      <c r="G967" s="1"/>
      <c r="H967" s="1"/>
      <c r="I967" s="1"/>
      <c r="J967" s="1"/>
      <c r="K967" s="1"/>
      <c r="L967" s="2"/>
      <c r="M967" s="2"/>
      <c r="N967" s="2"/>
      <c r="O967" s="2"/>
      <c r="P967" s="2"/>
      <c r="Q967" s="2"/>
      <c r="R967" s="2"/>
      <c r="S967" s="2"/>
      <c r="T967" s="3"/>
      <c r="U967" s="1"/>
      <c r="V967" s="1"/>
      <c r="W967" s="1"/>
      <c r="X967" s="1"/>
      <c r="Y967" s="1"/>
      <c r="Z967" s="1"/>
      <c r="AA967" s="1"/>
      <c r="AB967" s="1"/>
    </row>
    <row r="968" spans="1:28">
      <c r="A968" s="261"/>
      <c r="B968" s="261"/>
      <c r="C968" s="115"/>
      <c r="D968" s="1"/>
      <c r="E968" s="1"/>
      <c r="F968" s="1"/>
      <c r="G968" s="1"/>
      <c r="H968" s="1"/>
      <c r="I968" s="1"/>
      <c r="J968" s="1"/>
      <c r="K968" s="1"/>
      <c r="L968" s="2"/>
      <c r="M968" s="2"/>
      <c r="N968" s="2"/>
      <c r="O968" s="2"/>
      <c r="P968" s="2"/>
      <c r="Q968" s="2"/>
      <c r="R968" s="2"/>
      <c r="S968" s="2"/>
      <c r="T968" s="3"/>
      <c r="U968" s="1"/>
      <c r="V968" s="1"/>
      <c r="W968" s="1"/>
      <c r="X968" s="1"/>
      <c r="Y968" s="1"/>
      <c r="Z968" s="1"/>
      <c r="AA968" s="1"/>
      <c r="AB968" s="1"/>
    </row>
    <row r="969" spans="1:28">
      <c r="A969" s="261"/>
      <c r="B969" s="261"/>
      <c r="C969" s="115"/>
      <c r="D969" s="1"/>
      <c r="E969" s="1"/>
      <c r="F969" s="1"/>
      <c r="G969" s="1"/>
      <c r="H969" s="1"/>
      <c r="I969" s="1"/>
      <c r="J969" s="1"/>
      <c r="K969" s="1"/>
      <c r="L969" s="2"/>
      <c r="M969" s="2"/>
      <c r="N969" s="2"/>
      <c r="O969" s="2"/>
      <c r="P969" s="2"/>
      <c r="Q969" s="2"/>
      <c r="R969" s="2"/>
      <c r="S969" s="2"/>
      <c r="T969" s="3"/>
      <c r="U969" s="1"/>
      <c r="V969" s="1"/>
      <c r="W969" s="1"/>
      <c r="X969" s="1"/>
      <c r="Y969" s="1"/>
      <c r="Z969" s="1"/>
      <c r="AA969" s="1"/>
      <c r="AB969" s="1"/>
    </row>
    <row r="970" spans="1:28">
      <c r="A970" s="261"/>
      <c r="B970" s="261"/>
      <c r="C970" s="115"/>
      <c r="D970" s="1"/>
      <c r="E970" s="1"/>
      <c r="F970" s="1"/>
      <c r="G970" s="1"/>
      <c r="H970" s="1"/>
      <c r="I970" s="1"/>
      <c r="J970" s="1"/>
      <c r="K970" s="1"/>
      <c r="L970" s="2"/>
      <c r="M970" s="2"/>
      <c r="N970" s="2"/>
      <c r="O970" s="2"/>
      <c r="P970" s="2"/>
      <c r="Q970" s="2"/>
      <c r="R970" s="2"/>
      <c r="S970" s="2"/>
      <c r="T970" s="3"/>
      <c r="U970" s="1"/>
      <c r="V970" s="1"/>
      <c r="W970" s="1"/>
      <c r="X970" s="1"/>
      <c r="Y970" s="1"/>
      <c r="Z970" s="1"/>
      <c r="AA970" s="1"/>
      <c r="AB970" s="1"/>
    </row>
    <row r="971" spans="1:28">
      <c r="A971" s="261"/>
      <c r="B971" s="261"/>
      <c r="C971" s="115"/>
      <c r="D971" s="1"/>
      <c r="E971" s="1"/>
      <c r="F971" s="1"/>
      <c r="G971" s="1"/>
      <c r="H971" s="1"/>
      <c r="I971" s="1"/>
      <c r="J971" s="1"/>
      <c r="K971" s="1"/>
      <c r="L971" s="2"/>
      <c r="M971" s="2"/>
      <c r="N971" s="2"/>
      <c r="O971" s="2"/>
      <c r="P971" s="2"/>
      <c r="Q971" s="2"/>
      <c r="R971" s="2"/>
      <c r="S971" s="2"/>
      <c r="T971" s="3"/>
      <c r="U971" s="1"/>
      <c r="V971" s="1"/>
      <c r="W971" s="1"/>
      <c r="X971" s="1"/>
      <c r="Y971" s="1"/>
      <c r="Z971" s="1"/>
      <c r="AA971" s="1"/>
      <c r="AB971" s="1"/>
    </row>
    <row r="972" spans="1:28">
      <c r="A972" s="261"/>
      <c r="B972" s="261"/>
      <c r="C972" s="115"/>
      <c r="D972" s="1"/>
      <c r="E972" s="1"/>
      <c r="F972" s="1"/>
      <c r="G972" s="1"/>
      <c r="H972" s="1"/>
      <c r="I972" s="1"/>
      <c r="J972" s="1"/>
      <c r="K972" s="1"/>
      <c r="L972" s="2"/>
      <c r="M972" s="2"/>
      <c r="N972" s="2"/>
      <c r="O972" s="2"/>
      <c r="P972" s="2"/>
      <c r="Q972" s="2"/>
      <c r="R972" s="2"/>
      <c r="S972" s="2"/>
      <c r="T972" s="3"/>
      <c r="U972" s="1"/>
      <c r="V972" s="1"/>
      <c r="W972" s="1"/>
      <c r="X972" s="1"/>
      <c r="Y972" s="1"/>
      <c r="Z972" s="1"/>
      <c r="AA972" s="1"/>
      <c r="AB972" s="1"/>
    </row>
    <row r="973" spans="1:28">
      <c r="A973" s="261"/>
      <c r="B973" s="261"/>
      <c r="C973" s="115"/>
      <c r="D973" s="1"/>
      <c r="E973" s="1"/>
      <c r="F973" s="1"/>
      <c r="G973" s="1"/>
      <c r="H973" s="1"/>
      <c r="I973" s="1"/>
      <c r="J973" s="1"/>
      <c r="K973" s="1"/>
      <c r="L973" s="2"/>
      <c r="M973" s="2"/>
      <c r="N973" s="2"/>
      <c r="O973" s="2"/>
      <c r="P973" s="2"/>
      <c r="Q973" s="2"/>
      <c r="R973" s="2"/>
      <c r="S973" s="2"/>
      <c r="T973" s="3"/>
      <c r="U973" s="1"/>
      <c r="V973" s="1"/>
      <c r="W973" s="1"/>
      <c r="X973" s="1"/>
      <c r="Y973" s="1"/>
      <c r="Z973" s="1"/>
      <c r="AA973" s="1"/>
      <c r="AB973" s="1"/>
    </row>
    <row r="974" spans="1:28">
      <c r="A974" s="261"/>
      <c r="B974" s="261"/>
      <c r="C974" s="115"/>
      <c r="D974" s="1"/>
      <c r="E974" s="1"/>
      <c r="F974" s="1"/>
      <c r="G974" s="1"/>
      <c r="H974" s="1"/>
      <c r="I974" s="1"/>
      <c r="J974" s="1"/>
      <c r="K974" s="1"/>
      <c r="L974" s="2"/>
      <c r="M974" s="2"/>
      <c r="N974" s="2"/>
      <c r="O974" s="2"/>
      <c r="P974" s="2"/>
      <c r="Q974" s="2"/>
      <c r="R974" s="2"/>
      <c r="S974" s="2"/>
      <c r="T974" s="3"/>
      <c r="U974" s="1"/>
      <c r="V974" s="1"/>
      <c r="W974" s="1"/>
      <c r="X974" s="1"/>
      <c r="Y974" s="1"/>
      <c r="Z974" s="1"/>
      <c r="AA974" s="1"/>
      <c r="AB974" s="1"/>
    </row>
    <row r="975" spans="1:28">
      <c r="A975" s="261"/>
      <c r="B975" s="261"/>
      <c r="C975" s="115"/>
      <c r="D975" s="1"/>
      <c r="E975" s="1"/>
      <c r="F975" s="1"/>
      <c r="G975" s="1"/>
      <c r="H975" s="1"/>
      <c r="I975" s="1"/>
      <c r="J975" s="1"/>
      <c r="K975" s="1"/>
      <c r="L975" s="2"/>
      <c r="M975" s="2"/>
      <c r="N975" s="2"/>
      <c r="O975" s="2"/>
      <c r="P975" s="2"/>
      <c r="Q975" s="2"/>
      <c r="R975" s="2"/>
      <c r="S975" s="2"/>
      <c r="T975" s="3"/>
      <c r="U975" s="1"/>
      <c r="V975" s="1"/>
      <c r="W975" s="1"/>
      <c r="X975" s="1"/>
      <c r="Y975" s="1"/>
      <c r="Z975" s="1"/>
      <c r="AA975" s="1"/>
      <c r="AB975" s="1"/>
    </row>
    <row r="976" spans="1:28">
      <c r="A976" s="261"/>
      <c r="B976" s="261"/>
      <c r="C976" s="115"/>
      <c r="D976" s="1"/>
      <c r="E976" s="1"/>
      <c r="F976" s="1"/>
      <c r="G976" s="1"/>
      <c r="H976" s="1"/>
      <c r="I976" s="1"/>
      <c r="J976" s="1"/>
      <c r="K976" s="1"/>
      <c r="L976" s="2"/>
      <c r="M976" s="2"/>
      <c r="N976" s="2"/>
      <c r="O976" s="2"/>
      <c r="P976" s="2"/>
      <c r="Q976" s="2"/>
      <c r="R976" s="2"/>
      <c r="S976" s="2"/>
      <c r="T976" s="3"/>
      <c r="U976" s="1"/>
      <c r="V976" s="1"/>
      <c r="W976" s="1"/>
      <c r="X976" s="1"/>
      <c r="Y976" s="1"/>
      <c r="Z976" s="1"/>
      <c r="AA976" s="1"/>
      <c r="AB976" s="1"/>
    </row>
    <row r="977" spans="1:28">
      <c r="A977" s="261"/>
      <c r="B977" s="261"/>
      <c r="C977" s="115"/>
      <c r="D977" s="1"/>
      <c r="E977" s="1"/>
      <c r="F977" s="1"/>
      <c r="G977" s="1"/>
      <c r="H977" s="1"/>
      <c r="I977" s="1"/>
      <c r="J977" s="1"/>
      <c r="K977" s="1"/>
      <c r="L977" s="2"/>
      <c r="M977" s="2"/>
      <c r="N977" s="2"/>
      <c r="O977" s="2"/>
      <c r="P977" s="2"/>
      <c r="Q977" s="2"/>
      <c r="R977" s="2"/>
      <c r="S977" s="2"/>
      <c r="T977" s="3"/>
      <c r="U977" s="1"/>
      <c r="V977" s="1"/>
      <c r="W977" s="1"/>
      <c r="X977" s="1"/>
      <c r="Y977" s="1"/>
      <c r="Z977" s="1"/>
      <c r="AA977" s="1"/>
      <c r="AB977" s="1"/>
    </row>
    <row r="978" spans="1:28">
      <c r="A978" s="261"/>
      <c r="B978" s="261"/>
      <c r="C978" s="115"/>
      <c r="D978" s="1"/>
      <c r="E978" s="1"/>
      <c r="F978" s="1"/>
      <c r="G978" s="1"/>
      <c r="H978" s="1"/>
      <c r="I978" s="1"/>
      <c r="J978" s="1"/>
      <c r="K978" s="1"/>
      <c r="L978" s="2"/>
      <c r="M978" s="2"/>
      <c r="N978" s="2"/>
      <c r="O978" s="2"/>
      <c r="P978" s="2"/>
      <c r="Q978" s="2"/>
      <c r="R978" s="2"/>
      <c r="S978" s="2"/>
      <c r="T978" s="3"/>
      <c r="U978" s="1"/>
      <c r="V978" s="1"/>
      <c r="W978" s="1"/>
      <c r="X978" s="1"/>
      <c r="Y978" s="1"/>
      <c r="Z978" s="1"/>
      <c r="AA978" s="1"/>
      <c r="AB978" s="1"/>
    </row>
    <row r="979" spans="1:28">
      <c r="A979" s="261"/>
      <c r="B979" s="261"/>
      <c r="C979" s="115"/>
      <c r="D979" s="1"/>
      <c r="E979" s="1"/>
      <c r="F979" s="1"/>
      <c r="G979" s="1"/>
      <c r="H979" s="1"/>
      <c r="I979" s="1"/>
      <c r="J979" s="1"/>
      <c r="K979" s="1"/>
      <c r="L979" s="2"/>
      <c r="M979" s="2"/>
      <c r="N979" s="2"/>
      <c r="O979" s="2"/>
      <c r="P979" s="2"/>
      <c r="Q979" s="2"/>
      <c r="R979" s="2"/>
      <c r="S979" s="2"/>
      <c r="T979" s="3"/>
      <c r="U979" s="1"/>
      <c r="V979" s="1"/>
      <c r="W979" s="1"/>
      <c r="X979" s="1"/>
      <c r="Y979" s="1"/>
      <c r="Z979" s="1"/>
      <c r="AA979" s="1"/>
      <c r="AB979" s="1"/>
    </row>
    <row r="980" spans="1:28">
      <c r="A980" s="261"/>
      <c r="B980" s="261"/>
      <c r="C980" s="115"/>
      <c r="D980" s="1"/>
      <c r="E980" s="1"/>
      <c r="F980" s="1"/>
      <c r="G980" s="1"/>
      <c r="H980" s="1"/>
      <c r="I980" s="1"/>
      <c r="J980" s="1"/>
      <c r="K980" s="1"/>
      <c r="L980" s="2"/>
      <c r="M980" s="2"/>
      <c r="N980" s="2"/>
      <c r="O980" s="2"/>
      <c r="P980" s="2"/>
      <c r="Q980" s="2"/>
      <c r="R980" s="2"/>
      <c r="S980" s="2"/>
      <c r="T980" s="3"/>
      <c r="U980" s="1"/>
      <c r="V980" s="1"/>
      <c r="W980" s="1"/>
      <c r="X980" s="1"/>
      <c r="Y980" s="1"/>
      <c r="Z980" s="1"/>
      <c r="AA980" s="1"/>
      <c r="AB980" s="1"/>
    </row>
    <row r="981" spans="1:28">
      <c r="A981" s="261"/>
      <c r="B981" s="261"/>
      <c r="C981" s="115"/>
      <c r="D981" s="1"/>
      <c r="E981" s="1"/>
      <c r="F981" s="1"/>
      <c r="G981" s="1"/>
      <c r="H981" s="1"/>
      <c r="I981" s="1"/>
      <c r="J981" s="1"/>
      <c r="K981" s="1"/>
      <c r="L981" s="2"/>
      <c r="M981" s="2"/>
      <c r="N981" s="2"/>
      <c r="O981" s="2"/>
      <c r="P981" s="2"/>
      <c r="Q981" s="2"/>
      <c r="R981" s="2"/>
      <c r="S981" s="2"/>
      <c r="T981" s="3"/>
      <c r="U981" s="1"/>
      <c r="V981" s="1"/>
      <c r="W981" s="1"/>
      <c r="X981" s="1"/>
      <c r="Y981" s="1"/>
      <c r="Z981" s="1"/>
      <c r="AA981" s="1"/>
      <c r="AB981" s="1"/>
    </row>
    <row r="982" spans="1:28">
      <c r="A982" s="261"/>
      <c r="B982" s="261"/>
      <c r="C982" s="115"/>
      <c r="D982" s="1"/>
      <c r="E982" s="1"/>
      <c r="F982" s="1"/>
      <c r="G982" s="1"/>
      <c r="H982" s="1"/>
      <c r="I982" s="1"/>
      <c r="J982" s="1"/>
      <c r="K982" s="1"/>
      <c r="L982" s="2"/>
      <c r="M982" s="2"/>
      <c r="N982" s="2"/>
      <c r="O982" s="2"/>
      <c r="P982" s="2"/>
      <c r="Q982" s="2"/>
      <c r="R982" s="2"/>
      <c r="S982" s="2"/>
      <c r="T982" s="3"/>
      <c r="U982" s="1"/>
      <c r="V982" s="1"/>
      <c r="W982" s="1"/>
      <c r="X982" s="1"/>
      <c r="Y982" s="1"/>
      <c r="Z982" s="1"/>
      <c r="AA982" s="1"/>
      <c r="AB982" s="1"/>
    </row>
    <row r="983" spans="1:28">
      <c r="A983" s="261"/>
      <c r="B983" s="261"/>
      <c r="C983" s="115"/>
      <c r="D983" s="1"/>
      <c r="E983" s="1"/>
      <c r="F983" s="1"/>
      <c r="G983" s="1"/>
      <c r="H983" s="1"/>
      <c r="I983" s="1"/>
      <c r="J983" s="1"/>
      <c r="K983" s="1"/>
      <c r="L983" s="2"/>
      <c r="M983" s="2"/>
      <c r="N983" s="2"/>
      <c r="O983" s="2"/>
      <c r="P983" s="2"/>
      <c r="Q983" s="2"/>
      <c r="R983" s="2"/>
      <c r="S983" s="2"/>
      <c r="T983" s="3"/>
      <c r="U983" s="1"/>
      <c r="V983" s="1"/>
      <c r="W983" s="1"/>
      <c r="X983" s="1"/>
      <c r="Y983" s="1"/>
      <c r="Z983" s="1"/>
      <c r="AA983" s="1"/>
      <c r="AB983" s="1"/>
    </row>
    <row r="984" spans="1:28">
      <c r="A984" s="261"/>
      <c r="B984" s="261"/>
      <c r="C984" s="115"/>
      <c r="D984" s="1"/>
      <c r="E984" s="1"/>
      <c r="F984" s="1"/>
      <c r="G984" s="1"/>
      <c r="H984" s="1"/>
      <c r="I984" s="1"/>
      <c r="J984" s="1"/>
      <c r="K984" s="1"/>
      <c r="L984" s="2"/>
      <c r="M984" s="2"/>
      <c r="N984" s="2"/>
      <c r="O984" s="2"/>
      <c r="P984" s="2"/>
      <c r="Q984" s="2"/>
      <c r="R984" s="2"/>
      <c r="S984" s="2"/>
      <c r="T984" s="3"/>
      <c r="U984" s="1"/>
      <c r="V984" s="1"/>
      <c r="W984" s="1"/>
      <c r="X984" s="1"/>
      <c r="Y984" s="1"/>
      <c r="Z984" s="1"/>
      <c r="AA984" s="1"/>
      <c r="AB984" s="1"/>
    </row>
    <row r="985" spans="1:28">
      <c r="A985" s="261"/>
      <c r="B985" s="261"/>
      <c r="C985" s="115"/>
      <c r="D985" s="1"/>
      <c r="E985" s="1"/>
      <c r="F985" s="1"/>
      <c r="G985" s="1"/>
      <c r="H985" s="1"/>
      <c r="I985" s="1"/>
      <c r="J985" s="1"/>
      <c r="K985" s="1"/>
      <c r="L985" s="2"/>
      <c r="M985" s="2"/>
      <c r="N985" s="2"/>
      <c r="O985" s="2"/>
      <c r="P985" s="2"/>
      <c r="Q985" s="2"/>
      <c r="R985" s="2"/>
      <c r="S985" s="2"/>
      <c r="T985" s="3"/>
      <c r="U985" s="1"/>
      <c r="V985" s="1"/>
      <c r="W985" s="1"/>
      <c r="X985" s="1"/>
      <c r="Y985" s="1"/>
      <c r="Z985" s="1"/>
      <c r="AA985" s="1"/>
      <c r="AB985" s="1"/>
    </row>
    <row r="986" spans="1:28">
      <c r="A986" s="261"/>
      <c r="B986" s="261"/>
      <c r="C986" s="115"/>
      <c r="D986" s="1"/>
      <c r="E986" s="1"/>
      <c r="F986" s="1"/>
      <c r="G986" s="1"/>
      <c r="H986" s="1"/>
      <c r="I986" s="1"/>
      <c r="J986" s="1"/>
      <c r="K986" s="1"/>
      <c r="L986" s="2"/>
      <c r="M986" s="2"/>
      <c r="N986" s="2"/>
      <c r="O986" s="2"/>
      <c r="P986" s="2"/>
      <c r="Q986" s="2"/>
      <c r="R986" s="2"/>
      <c r="S986" s="2"/>
      <c r="T986" s="3"/>
      <c r="U986" s="1"/>
      <c r="V986" s="1"/>
      <c r="W986" s="1"/>
      <c r="X986" s="1"/>
      <c r="Y986" s="1"/>
      <c r="Z986" s="1"/>
      <c r="AA986" s="1"/>
      <c r="AB986" s="1"/>
    </row>
    <row r="987" spans="1:28">
      <c r="A987" s="261"/>
      <c r="B987" s="261"/>
      <c r="C987" s="115"/>
      <c r="D987" s="1"/>
      <c r="E987" s="1"/>
      <c r="F987" s="1"/>
      <c r="G987" s="1"/>
      <c r="H987" s="1"/>
      <c r="I987" s="1"/>
      <c r="J987" s="1"/>
      <c r="K987" s="1"/>
      <c r="L987" s="2"/>
      <c r="M987" s="2"/>
      <c r="N987" s="2"/>
      <c r="O987" s="2"/>
      <c r="P987" s="2"/>
      <c r="Q987" s="2"/>
      <c r="R987" s="2"/>
      <c r="S987" s="2"/>
      <c r="T987" s="3"/>
      <c r="U987" s="1"/>
      <c r="V987" s="1"/>
      <c r="W987" s="1"/>
      <c r="X987" s="1"/>
      <c r="Y987" s="1"/>
      <c r="Z987" s="1"/>
      <c r="AA987" s="1"/>
      <c r="AB987" s="1"/>
    </row>
    <row r="988" spans="1:28">
      <c r="A988" s="260"/>
      <c r="B988" s="260"/>
      <c r="C988" s="38"/>
      <c r="D988" s="4"/>
      <c r="E988" s="4"/>
      <c r="F988" s="4"/>
      <c r="G988" s="4"/>
      <c r="H988" s="4"/>
      <c r="I988" s="4"/>
      <c r="J988" s="4"/>
      <c r="K988" s="4"/>
      <c r="L988" s="5"/>
      <c r="M988" s="5"/>
      <c r="N988" s="5"/>
      <c r="O988" s="5"/>
      <c r="P988" s="5"/>
      <c r="Q988" s="5"/>
      <c r="R988" s="5"/>
      <c r="S988" s="5"/>
      <c r="T988" s="6"/>
      <c r="U988" s="1"/>
      <c r="V988" s="1"/>
      <c r="W988" s="1"/>
      <c r="X988" s="1"/>
      <c r="Y988" s="1"/>
      <c r="Z988" s="1"/>
      <c r="AA988" s="1"/>
      <c r="AB988" s="1"/>
    </row>
    <row r="989" spans="1:28">
      <c r="A989" s="261"/>
      <c r="B989" s="261"/>
      <c r="C989" s="115"/>
      <c r="D989" s="1"/>
      <c r="E989" s="1"/>
      <c r="F989" s="1"/>
      <c r="G989" s="1"/>
      <c r="H989" s="1"/>
      <c r="I989" s="1"/>
      <c r="J989" s="1"/>
      <c r="K989" s="1"/>
      <c r="L989" s="2"/>
      <c r="M989" s="2"/>
      <c r="N989" s="2"/>
      <c r="O989" s="2"/>
      <c r="P989" s="2"/>
      <c r="Q989" s="2"/>
      <c r="R989" s="2"/>
      <c r="S989" s="2"/>
      <c r="T989" s="3"/>
      <c r="U989" s="1"/>
      <c r="V989" s="1"/>
      <c r="W989" s="1"/>
      <c r="X989" s="1"/>
      <c r="Y989" s="1"/>
      <c r="Z989" s="1"/>
      <c r="AA989" s="1"/>
      <c r="AB989" s="1"/>
    </row>
    <row r="990" spans="1:28">
      <c r="A990" s="261"/>
      <c r="B990" s="261"/>
      <c r="C990" s="115"/>
      <c r="D990" s="1"/>
      <c r="E990" s="1"/>
      <c r="F990" s="1"/>
      <c r="G990" s="1"/>
      <c r="H990" s="1"/>
      <c r="I990" s="1"/>
      <c r="J990" s="1"/>
      <c r="K990" s="1"/>
      <c r="L990" s="2"/>
      <c r="M990" s="2"/>
      <c r="N990" s="2"/>
      <c r="O990" s="2"/>
      <c r="P990" s="2"/>
      <c r="Q990" s="2"/>
      <c r="R990" s="2"/>
      <c r="S990" s="2"/>
      <c r="T990" s="3"/>
      <c r="U990" s="1"/>
      <c r="V990" s="1"/>
      <c r="W990" s="1"/>
      <c r="X990" s="1"/>
      <c r="Y990" s="1"/>
      <c r="Z990" s="1"/>
      <c r="AA990" s="1"/>
      <c r="AB990" s="1"/>
    </row>
    <row r="991" spans="1:28">
      <c r="A991" s="261"/>
      <c r="B991" s="261"/>
      <c r="C991" s="115"/>
      <c r="D991" s="1"/>
      <c r="E991" s="1"/>
      <c r="F991" s="1"/>
      <c r="G991" s="1"/>
      <c r="H991" s="1"/>
      <c r="I991" s="1"/>
      <c r="J991" s="1"/>
      <c r="K991" s="1"/>
      <c r="L991" s="2"/>
      <c r="M991" s="2"/>
      <c r="N991" s="2"/>
      <c r="O991" s="2"/>
      <c r="P991" s="2"/>
      <c r="Q991" s="2"/>
      <c r="R991" s="2"/>
      <c r="S991" s="2"/>
      <c r="T991" s="3"/>
      <c r="U991" s="1"/>
      <c r="V991" s="1"/>
      <c r="W991" s="1"/>
      <c r="X991" s="1"/>
      <c r="Y991" s="1"/>
      <c r="Z991" s="1"/>
      <c r="AA991" s="1"/>
      <c r="AB991" s="1"/>
    </row>
    <row r="992" spans="1:28">
      <c r="A992" s="261"/>
      <c r="B992" s="261"/>
      <c r="C992" s="115"/>
      <c r="D992" s="1"/>
      <c r="E992" s="1"/>
      <c r="F992" s="1"/>
      <c r="G992" s="1"/>
      <c r="H992" s="1"/>
      <c r="I992" s="1"/>
      <c r="J992" s="1"/>
      <c r="K992" s="1"/>
      <c r="L992" s="2"/>
      <c r="M992" s="2"/>
      <c r="N992" s="2"/>
      <c r="O992" s="2"/>
      <c r="P992" s="2"/>
      <c r="Q992" s="2"/>
      <c r="R992" s="2"/>
      <c r="S992" s="2"/>
      <c r="T992" s="3"/>
      <c r="U992" s="1"/>
      <c r="V992" s="1"/>
      <c r="W992" s="1"/>
      <c r="X992" s="1"/>
      <c r="Y992" s="1"/>
      <c r="Z992" s="1"/>
      <c r="AA992" s="1"/>
      <c r="AB992" s="1"/>
    </row>
    <row r="993" spans="1:28">
      <c r="A993" s="261"/>
      <c r="B993" s="261"/>
      <c r="C993" s="115"/>
      <c r="D993" s="1"/>
      <c r="E993" s="1"/>
      <c r="F993" s="1"/>
      <c r="G993" s="1"/>
      <c r="H993" s="1"/>
      <c r="I993" s="1"/>
      <c r="J993" s="1"/>
      <c r="K993" s="1"/>
      <c r="L993" s="2"/>
      <c r="M993" s="2"/>
      <c r="N993" s="2"/>
      <c r="O993" s="2"/>
      <c r="P993" s="2"/>
      <c r="Q993" s="2"/>
      <c r="R993" s="2"/>
      <c r="S993" s="2"/>
      <c r="T993" s="3"/>
      <c r="U993" s="1"/>
      <c r="V993" s="1"/>
      <c r="W993" s="1"/>
      <c r="X993" s="1"/>
      <c r="Y993" s="1"/>
      <c r="Z993" s="1"/>
      <c r="AA993" s="1"/>
      <c r="AB993" s="1"/>
    </row>
    <row r="994" spans="1:28">
      <c r="A994" s="261"/>
      <c r="B994" s="261"/>
      <c r="C994" s="115"/>
      <c r="D994" s="1"/>
      <c r="E994" s="1"/>
      <c r="F994" s="1"/>
      <c r="G994" s="1"/>
      <c r="H994" s="1"/>
      <c r="I994" s="1"/>
      <c r="J994" s="1"/>
      <c r="K994" s="1"/>
      <c r="L994" s="2"/>
      <c r="M994" s="2"/>
      <c r="N994" s="2"/>
      <c r="O994" s="2"/>
      <c r="P994" s="2"/>
      <c r="Q994" s="2"/>
      <c r="R994" s="2"/>
      <c r="S994" s="2"/>
      <c r="T994" s="3"/>
      <c r="U994" s="1"/>
      <c r="V994" s="1"/>
      <c r="W994" s="1"/>
      <c r="X994" s="1"/>
      <c r="Y994" s="1"/>
      <c r="Z994" s="1"/>
      <c r="AA994" s="1"/>
      <c r="AB994" s="1"/>
    </row>
    <row r="995" spans="1:28">
      <c r="A995" s="261"/>
      <c r="B995" s="261"/>
      <c r="C995" s="115"/>
      <c r="D995" s="1"/>
      <c r="E995" s="1"/>
      <c r="F995" s="1"/>
      <c r="G995" s="1"/>
      <c r="H995" s="1"/>
      <c r="I995" s="1"/>
      <c r="J995" s="1"/>
      <c r="K995" s="1"/>
      <c r="L995" s="2"/>
      <c r="M995" s="2"/>
      <c r="N995" s="2"/>
      <c r="O995" s="2"/>
      <c r="P995" s="2"/>
      <c r="Q995" s="2"/>
      <c r="R995" s="2"/>
      <c r="S995" s="2"/>
      <c r="T995" s="3"/>
      <c r="U995" s="1"/>
      <c r="V995" s="1"/>
      <c r="W995" s="1"/>
      <c r="X995" s="1"/>
      <c r="Y995" s="1"/>
      <c r="Z995" s="1"/>
      <c r="AA995" s="1"/>
      <c r="AB995" s="1"/>
    </row>
    <row r="996" spans="1:28">
      <c r="A996" s="261"/>
      <c r="B996" s="261"/>
      <c r="C996" s="115"/>
      <c r="D996" s="1"/>
      <c r="E996" s="1"/>
      <c r="F996" s="1"/>
      <c r="G996" s="1"/>
      <c r="H996" s="1"/>
      <c r="I996" s="1"/>
      <c r="J996" s="1"/>
      <c r="K996" s="1"/>
      <c r="L996" s="2"/>
      <c r="M996" s="2"/>
      <c r="N996" s="2"/>
      <c r="O996" s="2"/>
      <c r="P996" s="2"/>
      <c r="Q996" s="2"/>
      <c r="R996" s="2"/>
      <c r="S996" s="2"/>
      <c r="T996" s="3"/>
      <c r="U996" s="1"/>
      <c r="V996" s="1"/>
      <c r="W996" s="1"/>
      <c r="X996" s="1"/>
      <c r="Y996" s="1"/>
      <c r="Z996" s="1"/>
      <c r="AA996" s="1"/>
      <c r="AB996" s="1"/>
    </row>
    <row r="997" spans="1:28">
      <c r="A997" s="261"/>
      <c r="B997" s="261"/>
      <c r="C997" s="115"/>
      <c r="D997" s="1"/>
      <c r="E997" s="1"/>
      <c r="F997" s="1"/>
      <c r="G997" s="1"/>
      <c r="H997" s="1"/>
      <c r="I997" s="1"/>
      <c r="J997" s="1"/>
      <c r="K997" s="1"/>
      <c r="L997" s="2"/>
      <c r="M997" s="2"/>
      <c r="N997" s="2"/>
      <c r="O997" s="2"/>
      <c r="P997" s="2"/>
      <c r="Q997" s="2"/>
      <c r="R997" s="2"/>
      <c r="S997" s="2"/>
      <c r="T997" s="3"/>
      <c r="U997" s="1"/>
      <c r="V997" s="1"/>
      <c r="W997" s="1"/>
      <c r="X997" s="1"/>
      <c r="Y997" s="1"/>
      <c r="Z997" s="1"/>
      <c r="AA997" s="1"/>
      <c r="AB997" s="1"/>
    </row>
    <row r="998" spans="1:28">
      <c r="A998" s="261"/>
      <c r="B998" s="261"/>
      <c r="C998" s="115"/>
      <c r="D998" s="1"/>
      <c r="E998" s="1"/>
      <c r="F998" s="1"/>
      <c r="G998" s="1"/>
      <c r="H998" s="1"/>
      <c r="I998" s="1"/>
      <c r="J998" s="1"/>
      <c r="K998" s="1"/>
      <c r="L998" s="2"/>
      <c r="M998" s="2"/>
      <c r="N998" s="2"/>
      <c r="O998" s="2"/>
      <c r="P998" s="2"/>
      <c r="Q998" s="2"/>
      <c r="R998" s="2"/>
      <c r="S998" s="2"/>
      <c r="T998" s="3"/>
      <c r="U998" s="1"/>
      <c r="V998" s="1"/>
      <c r="W998" s="1"/>
      <c r="X998" s="1"/>
      <c r="Y998" s="1"/>
      <c r="Z998" s="1"/>
      <c r="AA998" s="1"/>
      <c r="AB998" s="1"/>
    </row>
    <row r="999" spans="1:28">
      <c r="A999" s="261"/>
      <c r="B999" s="261"/>
      <c r="C999" s="115"/>
      <c r="D999" s="1"/>
      <c r="E999" s="1"/>
      <c r="F999" s="1"/>
      <c r="G999" s="1"/>
      <c r="H999" s="1"/>
      <c r="I999" s="1"/>
      <c r="J999" s="1"/>
      <c r="K999" s="1"/>
      <c r="L999" s="2"/>
      <c r="M999" s="2"/>
      <c r="N999" s="2"/>
      <c r="O999" s="2"/>
      <c r="P999" s="2"/>
      <c r="Q999" s="2"/>
      <c r="R999" s="2"/>
      <c r="S999" s="2"/>
      <c r="T999" s="3"/>
      <c r="U999" s="1"/>
      <c r="V999" s="1"/>
      <c r="W999" s="1"/>
      <c r="X999" s="1"/>
      <c r="Y999" s="1"/>
      <c r="Z999" s="1"/>
      <c r="AA999" s="1"/>
      <c r="AB999" s="1"/>
    </row>
    <row r="1000" spans="1:28">
      <c r="A1000" s="261"/>
      <c r="B1000" s="261"/>
      <c r="C1000" s="115"/>
      <c r="D1000" s="1"/>
      <c r="E1000" s="1"/>
      <c r="F1000" s="1"/>
      <c r="G1000" s="1"/>
      <c r="H1000" s="1"/>
      <c r="I1000" s="1"/>
      <c r="J1000" s="1"/>
      <c r="K1000" s="1"/>
      <c r="L1000" s="2"/>
      <c r="M1000" s="2"/>
      <c r="N1000" s="2"/>
      <c r="O1000" s="2"/>
      <c r="P1000" s="2"/>
      <c r="Q1000" s="2"/>
      <c r="R1000" s="2"/>
      <c r="S1000" s="2"/>
      <c r="T1000" s="3"/>
      <c r="U1000" s="1"/>
      <c r="V1000" s="1"/>
      <c r="W1000" s="1"/>
      <c r="X1000" s="1"/>
      <c r="Y1000" s="1"/>
      <c r="Z1000" s="1"/>
      <c r="AA1000" s="1"/>
      <c r="AB1000" s="1"/>
    </row>
    <row r="1001" spans="1:28">
      <c r="A1001" s="261"/>
      <c r="B1001" s="261"/>
      <c r="C1001" s="115"/>
      <c r="D1001" s="1"/>
      <c r="E1001" s="1"/>
      <c r="F1001" s="1"/>
      <c r="G1001" s="1"/>
      <c r="H1001" s="1"/>
      <c r="I1001" s="1"/>
      <c r="J1001" s="1"/>
      <c r="K1001" s="1"/>
      <c r="L1001" s="2"/>
      <c r="M1001" s="2"/>
      <c r="N1001" s="2"/>
      <c r="O1001" s="2"/>
      <c r="P1001" s="2"/>
      <c r="Q1001" s="2"/>
      <c r="R1001" s="2"/>
      <c r="S1001" s="2"/>
      <c r="T1001" s="3"/>
      <c r="U1001" s="1"/>
      <c r="V1001" s="1"/>
      <c r="W1001" s="1"/>
      <c r="X1001" s="1"/>
      <c r="Y1001" s="1"/>
      <c r="Z1001" s="1"/>
      <c r="AA1001" s="1"/>
      <c r="AB1001" s="1"/>
    </row>
    <row r="1002" spans="1:28">
      <c r="A1002" s="261"/>
      <c r="B1002" s="261"/>
      <c r="C1002" s="115"/>
      <c r="D1002" s="1"/>
      <c r="E1002" s="1"/>
      <c r="F1002" s="1"/>
      <c r="G1002" s="1"/>
      <c r="H1002" s="1"/>
      <c r="I1002" s="1"/>
      <c r="J1002" s="1"/>
      <c r="K1002" s="1"/>
      <c r="L1002" s="2"/>
      <c r="M1002" s="2"/>
      <c r="N1002" s="2"/>
      <c r="O1002" s="2"/>
      <c r="P1002" s="2"/>
      <c r="Q1002" s="2"/>
      <c r="R1002" s="2"/>
      <c r="S1002" s="2"/>
      <c r="T1002" s="3"/>
      <c r="U1002" s="1"/>
      <c r="V1002" s="1"/>
      <c r="W1002" s="1"/>
      <c r="X1002" s="1"/>
      <c r="Y1002" s="1"/>
      <c r="Z1002" s="1"/>
      <c r="AA1002" s="1"/>
      <c r="AB1002" s="1"/>
    </row>
    <row r="1003" spans="1:28">
      <c r="A1003" s="261"/>
      <c r="B1003" s="261"/>
      <c r="C1003" s="115"/>
      <c r="D1003" s="1"/>
      <c r="E1003" s="1"/>
      <c r="F1003" s="1"/>
      <c r="G1003" s="1"/>
      <c r="H1003" s="1"/>
      <c r="I1003" s="1"/>
      <c r="J1003" s="1"/>
      <c r="K1003" s="1"/>
      <c r="L1003" s="2"/>
      <c r="M1003" s="2"/>
      <c r="N1003" s="2"/>
      <c r="O1003" s="2"/>
      <c r="P1003" s="2"/>
      <c r="Q1003" s="2"/>
      <c r="R1003" s="2"/>
      <c r="S1003" s="2"/>
      <c r="T1003" s="3"/>
      <c r="U1003" s="1"/>
      <c r="V1003" s="1"/>
      <c r="W1003" s="1"/>
      <c r="X1003" s="1"/>
      <c r="Y1003" s="1"/>
      <c r="Z1003" s="1"/>
      <c r="AA1003" s="1"/>
      <c r="AB1003" s="1"/>
    </row>
    <row r="1004" spans="1:28">
      <c r="A1004" s="261"/>
      <c r="B1004" s="261"/>
      <c r="C1004" s="115"/>
      <c r="D1004" s="1"/>
      <c r="E1004" s="1"/>
      <c r="F1004" s="1"/>
      <c r="G1004" s="1"/>
      <c r="H1004" s="1"/>
      <c r="I1004" s="1"/>
      <c r="J1004" s="1"/>
      <c r="K1004" s="1"/>
      <c r="L1004" s="2"/>
      <c r="M1004" s="2"/>
      <c r="N1004" s="2"/>
      <c r="O1004" s="2"/>
      <c r="P1004" s="2"/>
      <c r="Q1004" s="2"/>
      <c r="R1004" s="2"/>
      <c r="S1004" s="2"/>
      <c r="T1004" s="3"/>
      <c r="U1004" s="1"/>
      <c r="V1004" s="1"/>
      <c r="W1004" s="1"/>
      <c r="X1004" s="1"/>
      <c r="Y1004" s="1"/>
      <c r="Z1004" s="1"/>
      <c r="AA1004" s="1"/>
      <c r="AB1004" s="1"/>
    </row>
    <row r="1005" spans="1:28">
      <c r="A1005" s="261"/>
      <c r="B1005" s="261"/>
      <c r="C1005" s="115"/>
      <c r="D1005" s="1"/>
      <c r="E1005" s="1"/>
      <c r="F1005" s="1"/>
      <c r="G1005" s="1"/>
      <c r="H1005" s="1"/>
      <c r="I1005" s="1"/>
      <c r="J1005" s="1"/>
      <c r="K1005" s="1"/>
      <c r="L1005" s="2"/>
      <c r="M1005" s="2"/>
      <c r="N1005" s="2"/>
      <c r="O1005" s="2"/>
      <c r="P1005" s="2"/>
      <c r="Q1005" s="2"/>
      <c r="R1005" s="2"/>
      <c r="S1005" s="2"/>
      <c r="T1005" s="3"/>
      <c r="U1005" s="1"/>
      <c r="V1005" s="1"/>
      <c r="W1005" s="1"/>
      <c r="X1005" s="1"/>
      <c r="Y1005" s="1"/>
      <c r="Z1005" s="1"/>
      <c r="AA1005" s="1"/>
      <c r="AB1005" s="1"/>
    </row>
    <row r="1006" spans="1:28">
      <c r="A1006" s="261"/>
      <c r="B1006" s="261"/>
      <c r="C1006" s="115"/>
      <c r="D1006" s="1"/>
      <c r="E1006" s="1"/>
      <c r="F1006" s="1"/>
      <c r="G1006" s="1"/>
      <c r="H1006" s="1"/>
      <c r="I1006" s="1"/>
      <c r="J1006" s="1"/>
      <c r="K1006" s="1"/>
      <c r="L1006" s="2"/>
      <c r="M1006" s="2"/>
      <c r="N1006" s="2"/>
      <c r="O1006" s="2"/>
      <c r="P1006" s="2"/>
      <c r="Q1006" s="2"/>
      <c r="R1006" s="2"/>
      <c r="S1006" s="2"/>
      <c r="T1006" s="3"/>
      <c r="U1006" s="1"/>
      <c r="V1006" s="1"/>
      <c r="W1006" s="1"/>
      <c r="X1006" s="1"/>
      <c r="Y1006" s="1"/>
      <c r="Z1006" s="1"/>
      <c r="AA1006" s="1"/>
      <c r="AB1006" s="1"/>
    </row>
    <row r="1007" spans="1:28">
      <c r="A1007" s="261"/>
      <c r="B1007" s="261"/>
      <c r="C1007" s="115"/>
      <c r="D1007" s="1"/>
      <c r="E1007" s="1"/>
      <c r="F1007" s="1"/>
      <c r="G1007" s="1"/>
      <c r="H1007" s="1"/>
      <c r="I1007" s="1"/>
      <c r="J1007" s="1"/>
      <c r="K1007" s="1"/>
      <c r="L1007" s="2"/>
      <c r="M1007" s="2"/>
      <c r="N1007" s="2"/>
      <c r="O1007" s="2"/>
      <c r="P1007" s="2"/>
      <c r="Q1007" s="2"/>
      <c r="R1007" s="2"/>
      <c r="S1007" s="2"/>
      <c r="T1007" s="3"/>
      <c r="U1007" s="1"/>
      <c r="V1007" s="1"/>
      <c r="W1007" s="1"/>
      <c r="X1007" s="1"/>
      <c r="Y1007" s="1"/>
      <c r="Z1007" s="1"/>
      <c r="AA1007" s="1"/>
      <c r="AB1007" s="1"/>
    </row>
    <row r="1008" spans="1:28">
      <c r="A1008" s="261"/>
      <c r="B1008" s="261"/>
      <c r="C1008" s="115"/>
      <c r="D1008" s="1"/>
      <c r="E1008" s="1"/>
      <c r="F1008" s="1"/>
      <c r="G1008" s="1"/>
      <c r="H1008" s="1"/>
      <c r="I1008" s="1"/>
      <c r="J1008" s="1"/>
      <c r="K1008" s="1"/>
      <c r="L1008" s="2"/>
      <c r="M1008" s="2"/>
      <c r="N1008" s="2"/>
      <c r="O1008" s="2"/>
      <c r="P1008" s="2"/>
      <c r="Q1008" s="2"/>
      <c r="R1008" s="2"/>
      <c r="S1008" s="2"/>
      <c r="T1008" s="3"/>
      <c r="U1008" s="1"/>
      <c r="V1008" s="1"/>
      <c r="W1008" s="1"/>
      <c r="X1008" s="1"/>
      <c r="Y1008" s="1"/>
      <c r="Z1008" s="1"/>
      <c r="AA1008" s="1"/>
      <c r="AB1008" s="1"/>
    </row>
    <row r="1009" spans="1:28">
      <c r="A1009" s="261"/>
      <c r="B1009" s="261"/>
      <c r="C1009" s="115"/>
      <c r="D1009" s="1"/>
      <c r="E1009" s="1"/>
      <c r="F1009" s="1"/>
      <c r="G1009" s="1"/>
      <c r="H1009" s="1"/>
      <c r="I1009" s="1"/>
      <c r="J1009" s="1"/>
      <c r="K1009" s="1"/>
      <c r="L1009" s="2"/>
      <c r="M1009" s="2"/>
      <c r="N1009" s="2"/>
      <c r="O1009" s="2"/>
      <c r="P1009" s="2"/>
      <c r="Q1009" s="2"/>
      <c r="R1009" s="2"/>
      <c r="S1009" s="2"/>
      <c r="T1009" s="3"/>
      <c r="U1009" s="1"/>
      <c r="V1009" s="1"/>
      <c r="W1009" s="1"/>
      <c r="X1009" s="1"/>
      <c r="Y1009" s="1"/>
      <c r="Z1009" s="1"/>
      <c r="AA1009" s="1"/>
      <c r="AB1009" s="1"/>
    </row>
    <row r="1010" spans="1:28">
      <c r="A1010" s="261"/>
      <c r="B1010" s="261"/>
      <c r="C1010" s="115"/>
      <c r="D1010" s="1"/>
      <c r="E1010" s="1"/>
      <c r="F1010" s="1"/>
      <c r="G1010" s="1"/>
      <c r="H1010" s="1"/>
      <c r="I1010" s="1"/>
      <c r="J1010" s="1"/>
      <c r="K1010" s="1"/>
      <c r="L1010" s="2"/>
      <c r="M1010" s="2"/>
      <c r="N1010" s="2"/>
      <c r="O1010" s="2"/>
      <c r="P1010" s="2"/>
      <c r="Q1010" s="2"/>
      <c r="R1010" s="2"/>
      <c r="S1010" s="2"/>
      <c r="T1010" s="3"/>
      <c r="U1010" s="1"/>
      <c r="V1010" s="1"/>
      <c r="W1010" s="1"/>
      <c r="X1010" s="1"/>
      <c r="Y1010" s="1"/>
      <c r="Z1010" s="1"/>
      <c r="AA1010" s="1"/>
      <c r="AB1010" s="1"/>
    </row>
    <row r="1011" spans="1:28">
      <c r="A1011" s="261"/>
      <c r="B1011" s="261"/>
      <c r="C1011" s="115"/>
      <c r="D1011" s="1"/>
      <c r="E1011" s="1"/>
      <c r="F1011" s="1"/>
      <c r="G1011" s="1"/>
      <c r="H1011" s="1"/>
      <c r="I1011" s="1"/>
      <c r="J1011" s="1"/>
      <c r="K1011" s="1"/>
      <c r="L1011" s="2"/>
      <c r="M1011" s="2"/>
      <c r="N1011" s="2"/>
      <c r="O1011" s="2"/>
      <c r="P1011" s="2"/>
      <c r="Q1011" s="2"/>
      <c r="R1011" s="2"/>
      <c r="S1011" s="2"/>
      <c r="T1011" s="3"/>
      <c r="U1011" s="1"/>
      <c r="V1011" s="1"/>
      <c r="W1011" s="1"/>
      <c r="X1011" s="1"/>
      <c r="Y1011" s="1"/>
      <c r="Z1011" s="1"/>
      <c r="AA1011" s="1"/>
      <c r="AB1011" s="1"/>
    </row>
    <row r="1012" spans="1:28">
      <c r="A1012" s="261"/>
      <c r="B1012" s="261"/>
      <c r="C1012" s="115"/>
      <c r="D1012" s="1"/>
      <c r="E1012" s="1"/>
      <c r="F1012" s="1"/>
      <c r="G1012" s="1"/>
      <c r="H1012" s="1"/>
      <c r="I1012" s="1"/>
      <c r="J1012" s="1"/>
      <c r="K1012" s="1"/>
      <c r="L1012" s="2"/>
      <c r="M1012" s="2"/>
      <c r="N1012" s="2"/>
      <c r="O1012" s="2"/>
      <c r="P1012" s="2"/>
      <c r="Q1012" s="2"/>
      <c r="R1012" s="2"/>
      <c r="S1012" s="2"/>
      <c r="T1012" s="3"/>
      <c r="U1012" s="1"/>
      <c r="V1012" s="1"/>
      <c r="W1012" s="1"/>
      <c r="X1012" s="1"/>
      <c r="Y1012" s="1"/>
      <c r="Z1012" s="1"/>
      <c r="AA1012" s="1"/>
      <c r="AB1012" s="1"/>
    </row>
    <row r="1013" spans="1:28">
      <c r="A1013" s="261"/>
      <c r="B1013" s="261"/>
      <c r="C1013" s="115"/>
      <c r="D1013" s="1"/>
      <c r="E1013" s="1"/>
      <c r="F1013" s="1"/>
      <c r="G1013" s="1"/>
      <c r="H1013" s="1"/>
      <c r="I1013" s="1"/>
      <c r="J1013" s="1"/>
      <c r="K1013" s="1"/>
      <c r="L1013" s="2"/>
      <c r="M1013" s="2"/>
      <c r="N1013" s="2"/>
      <c r="O1013" s="2"/>
      <c r="P1013" s="2"/>
      <c r="Q1013" s="2"/>
      <c r="R1013" s="2"/>
      <c r="S1013" s="2"/>
      <c r="T1013" s="3"/>
      <c r="U1013" s="1"/>
      <c r="V1013" s="1"/>
      <c r="W1013" s="1"/>
      <c r="X1013" s="1"/>
      <c r="Y1013" s="1"/>
      <c r="Z1013" s="1"/>
      <c r="AA1013" s="1"/>
      <c r="AB1013" s="1"/>
    </row>
    <row r="1014" spans="1:28">
      <c r="A1014" s="261"/>
      <c r="B1014" s="261"/>
      <c r="C1014" s="115"/>
      <c r="D1014" s="1"/>
      <c r="E1014" s="1"/>
      <c r="F1014" s="1"/>
      <c r="G1014" s="1"/>
      <c r="H1014" s="1"/>
      <c r="I1014" s="1"/>
      <c r="J1014" s="1"/>
      <c r="K1014" s="1"/>
      <c r="L1014" s="2"/>
      <c r="M1014" s="2"/>
      <c r="N1014" s="2"/>
      <c r="O1014" s="2"/>
      <c r="P1014" s="2"/>
      <c r="Q1014" s="2"/>
      <c r="R1014" s="2"/>
      <c r="S1014" s="2"/>
      <c r="T1014" s="3"/>
      <c r="U1014" s="1"/>
      <c r="V1014" s="1"/>
      <c r="W1014" s="1"/>
      <c r="X1014" s="1"/>
      <c r="Y1014" s="1"/>
      <c r="Z1014" s="1"/>
      <c r="AA1014" s="1"/>
      <c r="AB1014" s="1"/>
    </row>
    <row r="1015" spans="1:28">
      <c r="A1015" s="261"/>
      <c r="B1015" s="261"/>
      <c r="C1015" s="115"/>
      <c r="D1015" s="1"/>
      <c r="E1015" s="1"/>
      <c r="F1015" s="1"/>
      <c r="G1015" s="1"/>
      <c r="H1015" s="1"/>
      <c r="I1015" s="1"/>
      <c r="J1015" s="1"/>
      <c r="K1015" s="1"/>
      <c r="L1015" s="2"/>
      <c r="M1015" s="2"/>
      <c r="N1015" s="2"/>
      <c r="O1015" s="2"/>
      <c r="P1015" s="2"/>
      <c r="Q1015" s="2"/>
      <c r="R1015" s="2"/>
      <c r="S1015" s="2"/>
      <c r="T1015" s="3"/>
      <c r="U1015" s="1"/>
      <c r="V1015" s="1"/>
      <c r="W1015" s="1"/>
      <c r="X1015" s="1"/>
      <c r="Y1015" s="1"/>
      <c r="Z1015" s="1"/>
      <c r="AA1015" s="1"/>
      <c r="AB1015" s="1"/>
    </row>
    <row r="1016" spans="1:28">
      <c r="A1016" s="261"/>
      <c r="B1016" s="261"/>
      <c r="C1016" s="115"/>
      <c r="D1016" s="1"/>
      <c r="E1016" s="1"/>
      <c r="F1016" s="1"/>
      <c r="G1016" s="1"/>
      <c r="H1016" s="1"/>
      <c r="I1016" s="1"/>
      <c r="J1016" s="1"/>
      <c r="K1016" s="1"/>
      <c r="L1016" s="2"/>
      <c r="M1016" s="2"/>
      <c r="N1016" s="2"/>
      <c r="O1016" s="2"/>
      <c r="P1016" s="2"/>
      <c r="Q1016" s="2"/>
      <c r="R1016" s="2"/>
      <c r="S1016" s="2"/>
      <c r="T1016" s="3"/>
      <c r="U1016" s="1"/>
      <c r="V1016" s="1"/>
      <c r="W1016" s="1"/>
      <c r="X1016" s="1"/>
      <c r="Y1016" s="1"/>
      <c r="Z1016" s="1"/>
      <c r="AA1016" s="1"/>
      <c r="AB1016" s="1"/>
    </row>
    <row r="1017" spans="1:28">
      <c r="A1017" s="261"/>
      <c r="B1017" s="261"/>
      <c r="C1017" s="115"/>
      <c r="D1017" s="1"/>
      <c r="E1017" s="1"/>
      <c r="F1017" s="1"/>
      <c r="G1017" s="1"/>
      <c r="H1017" s="1"/>
      <c r="I1017" s="1"/>
      <c r="J1017" s="1"/>
      <c r="K1017" s="1"/>
      <c r="L1017" s="2"/>
      <c r="M1017" s="2"/>
      <c r="N1017" s="2"/>
      <c r="O1017" s="2"/>
      <c r="P1017" s="2"/>
      <c r="Q1017" s="2"/>
      <c r="R1017" s="2"/>
      <c r="S1017" s="2"/>
      <c r="T1017" s="3"/>
      <c r="U1017" s="1"/>
      <c r="V1017" s="1"/>
      <c r="W1017" s="1"/>
      <c r="X1017" s="1"/>
      <c r="Y1017" s="1"/>
      <c r="Z1017" s="1"/>
      <c r="AA1017" s="1"/>
      <c r="AB1017" s="1"/>
    </row>
    <row r="1018" spans="1:28">
      <c r="A1018" s="261"/>
      <c r="B1018" s="261"/>
      <c r="C1018" s="115"/>
      <c r="D1018" s="1"/>
      <c r="E1018" s="1"/>
      <c r="F1018" s="1"/>
      <c r="G1018" s="1"/>
      <c r="H1018" s="1"/>
      <c r="I1018" s="1"/>
      <c r="J1018" s="1"/>
      <c r="K1018" s="1"/>
      <c r="L1018" s="2"/>
      <c r="M1018" s="2"/>
      <c r="N1018" s="2"/>
      <c r="O1018" s="2"/>
      <c r="P1018" s="2"/>
      <c r="Q1018" s="2"/>
      <c r="R1018" s="2"/>
      <c r="S1018" s="2"/>
      <c r="T1018" s="3"/>
      <c r="U1018" s="1"/>
      <c r="V1018" s="1"/>
      <c r="W1018" s="1"/>
      <c r="X1018" s="1"/>
      <c r="Y1018" s="1"/>
      <c r="Z1018" s="1"/>
      <c r="AA1018" s="1"/>
      <c r="AB1018" s="1"/>
    </row>
    <row r="1019" spans="1:28">
      <c r="A1019" s="261"/>
      <c r="B1019" s="261"/>
      <c r="C1019" s="115"/>
      <c r="D1019" s="1"/>
      <c r="E1019" s="1"/>
      <c r="F1019" s="1"/>
      <c r="G1019" s="1"/>
      <c r="H1019" s="1"/>
      <c r="I1019" s="1"/>
      <c r="J1019" s="1"/>
      <c r="K1019" s="1"/>
      <c r="L1019" s="2"/>
      <c r="M1019" s="2"/>
      <c r="N1019" s="2"/>
      <c r="O1019" s="2"/>
      <c r="P1019" s="2"/>
      <c r="Q1019" s="2"/>
      <c r="R1019" s="2"/>
      <c r="S1019" s="2"/>
      <c r="T1019" s="3"/>
      <c r="U1019" s="1"/>
      <c r="V1019" s="1"/>
      <c r="W1019" s="1"/>
      <c r="X1019" s="1"/>
      <c r="Y1019" s="1"/>
      <c r="Z1019" s="1"/>
      <c r="AA1019" s="1"/>
      <c r="AB1019" s="1"/>
    </row>
    <row r="1020" spans="1:28">
      <c r="A1020" s="261"/>
      <c r="B1020" s="261"/>
      <c r="C1020" s="115"/>
      <c r="D1020" s="1"/>
      <c r="E1020" s="1"/>
      <c r="F1020" s="1"/>
      <c r="G1020" s="1"/>
      <c r="H1020" s="1"/>
      <c r="I1020" s="1"/>
      <c r="J1020" s="1"/>
      <c r="K1020" s="1"/>
      <c r="L1020" s="2"/>
      <c r="M1020" s="2"/>
      <c r="N1020" s="2"/>
      <c r="O1020" s="2"/>
      <c r="P1020" s="2"/>
      <c r="Q1020" s="2"/>
      <c r="R1020" s="2"/>
      <c r="S1020" s="2"/>
      <c r="T1020" s="3"/>
      <c r="U1020" s="1"/>
      <c r="V1020" s="1"/>
      <c r="W1020" s="1"/>
      <c r="X1020" s="1"/>
      <c r="Y1020" s="1"/>
      <c r="Z1020" s="1"/>
      <c r="AA1020" s="1"/>
      <c r="AB1020" s="1"/>
    </row>
    <row r="1021" spans="1:28">
      <c r="A1021" s="261"/>
      <c r="B1021" s="261"/>
      <c r="C1021" s="115"/>
      <c r="D1021" s="1"/>
      <c r="E1021" s="1"/>
      <c r="F1021" s="1"/>
      <c r="G1021" s="1"/>
      <c r="H1021" s="1"/>
      <c r="I1021" s="1"/>
      <c r="J1021" s="1"/>
      <c r="K1021" s="1"/>
      <c r="L1021" s="2"/>
      <c r="M1021" s="2"/>
      <c r="N1021" s="2"/>
      <c r="O1021" s="2"/>
      <c r="P1021" s="2"/>
      <c r="Q1021" s="2"/>
      <c r="R1021" s="2"/>
      <c r="S1021" s="2"/>
      <c r="T1021" s="3"/>
      <c r="U1021" s="1"/>
      <c r="V1021" s="1"/>
      <c r="W1021" s="1"/>
      <c r="X1021" s="1"/>
      <c r="Y1021" s="1"/>
      <c r="Z1021" s="1"/>
      <c r="AA1021" s="1"/>
      <c r="AB1021" s="1"/>
    </row>
    <row r="1022" spans="1:28">
      <c r="A1022" s="261"/>
      <c r="B1022" s="261"/>
      <c r="C1022" s="115"/>
      <c r="D1022" s="1"/>
      <c r="E1022" s="1"/>
      <c r="F1022" s="1"/>
      <c r="G1022" s="1"/>
      <c r="H1022" s="1"/>
      <c r="I1022" s="1"/>
      <c r="J1022" s="1"/>
      <c r="K1022" s="1"/>
      <c r="L1022" s="2"/>
      <c r="M1022" s="2"/>
      <c r="N1022" s="2"/>
      <c r="O1022" s="2"/>
      <c r="P1022" s="2"/>
      <c r="Q1022" s="2"/>
      <c r="R1022" s="2"/>
      <c r="S1022" s="2"/>
      <c r="T1022" s="3"/>
      <c r="U1022" s="1"/>
      <c r="V1022" s="1"/>
      <c r="W1022" s="1"/>
      <c r="X1022" s="1"/>
      <c r="Y1022" s="1"/>
      <c r="Z1022" s="1"/>
      <c r="AA1022" s="1"/>
      <c r="AB1022" s="1"/>
    </row>
    <row r="1023" spans="1:28">
      <c r="A1023" s="261"/>
      <c r="B1023" s="261"/>
      <c r="C1023" s="115"/>
      <c r="D1023" s="1"/>
      <c r="E1023" s="1"/>
      <c r="F1023" s="1"/>
      <c r="G1023" s="1"/>
      <c r="H1023" s="1"/>
      <c r="I1023" s="1"/>
      <c r="J1023" s="1"/>
      <c r="K1023" s="1"/>
      <c r="L1023" s="2"/>
      <c r="M1023" s="2"/>
      <c r="N1023" s="2"/>
      <c r="O1023" s="2"/>
      <c r="P1023" s="2"/>
      <c r="Q1023" s="2"/>
      <c r="R1023" s="2"/>
      <c r="S1023" s="2"/>
      <c r="T1023" s="3"/>
      <c r="U1023" s="1"/>
      <c r="V1023" s="1"/>
      <c r="W1023" s="1"/>
      <c r="X1023" s="1"/>
      <c r="Y1023" s="1"/>
      <c r="Z1023" s="1"/>
      <c r="AA1023" s="1"/>
      <c r="AB1023" s="1"/>
    </row>
    <row r="1024" spans="1:28">
      <c r="A1024" s="261"/>
      <c r="B1024" s="261"/>
      <c r="C1024" s="115"/>
      <c r="D1024" s="1"/>
      <c r="E1024" s="1"/>
      <c r="F1024" s="1"/>
      <c r="G1024" s="1"/>
      <c r="H1024" s="1"/>
      <c r="I1024" s="1"/>
      <c r="J1024" s="1"/>
      <c r="K1024" s="1"/>
      <c r="L1024" s="2"/>
      <c r="M1024" s="2"/>
      <c r="N1024" s="2"/>
      <c r="O1024" s="2"/>
      <c r="P1024" s="2"/>
      <c r="Q1024" s="2"/>
      <c r="R1024" s="2"/>
      <c r="S1024" s="2"/>
      <c r="T1024" s="3"/>
      <c r="U1024" s="1"/>
      <c r="V1024" s="1"/>
      <c r="W1024" s="1"/>
      <c r="X1024" s="1"/>
      <c r="Y1024" s="1"/>
      <c r="Z1024" s="1"/>
      <c r="AA1024" s="1"/>
      <c r="AB1024" s="1"/>
    </row>
    <row r="1025" spans="1:28">
      <c r="A1025" s="260"/>
      <c r="B1025" s="260"/>
      <c r="C1025" s="38"/>
      <c r="D1025" s="4"/>
      <c r="E1025" s="4"/>
      <c r="F1025" s="4"/>
      <c r="G1025" s="4"/>
      <c r="H1025" s="4"/>
      <c r="I1025" s="4"/>
      <c r="J1025" s="4"/>
      <c r="K1025" s="4"/>
      <c r="L1025" s="5"/>
      <c r="M1025" s="5"/>
      <c r="N1025" s="5"/>
      <c r="O1025" s="5"/>
      <c r="P1025" s="5"/>
      <c r="Q1025" s="5"/>
      <c r="R1025" s="5"/>
      <c r="S1025" s="5"/>
      <c r="T1025" s="6"/>
      <c r="U1025" s="1"/>
      <c r="V1025" s="1"/>
      <c r="W1025" s="1"/>
      <c r="X1025" s="1"/>
      <c r="Y1025" s="1"/>
      <c r="Z1025" s="1"/>
      <c r="AA1025" s="1"/>
      <c r="AB1025" s="1"/>
    </row>
    <row r="1026" spans="1:28">
      <c r="A1026" s="261"/>
      <c r="B1026" s="261"/>
      <c r="C1026" s="115"/>
      <c r="D1026" s="1"/>
      <c r="E1026" s="1"/>
      <c r="F1026" s="1"/>
      <c r="G1026" s="1"/>
      <c r="H1026" s="1"/>
      <c r="I1026" s="1"/>
      <c r="J1026" s="1"/>
      <c r="K1026" s="1"/>
      <c r="L1026" s="2"/>
      <c r="M1026" s="2"/>
      <c r="N1026" s="2"/>
      <c r="O1026" s="2"/>
      <c r="P1026" s="2"/>
      <c r="Q1026" s="2"/>
      <c r="R1026" s="2"/>
      <c r="S1026" s="2"/>
      <c r="T1026" s="3"/>
      <c r="U1026" s="1"/>
      <c r="V1026" s="1"/>
      <c r="W1026" s="1"/>
      <c r="X1026" s="1"/>
      <c r="Y1026" s="1"/>
      <c r="Z1026" s="1"/>
      <c r="AA1026" s="1"/>
      <c r="AB1026" s="1"/>
    </row>
    <row r="1027" spans="1:28">
      <c r="A1027" s="261"/>
      <c r="B1027" s="261"/>
      <c r="C1027" s="115"/>
      <c r="D1027" s="1"/>
      <c r="E1027" s="1"/>
      <c r="F1027" s="1"/>
      <c r="G1027" s="1"/>
      <c r="H1027" s="1"/>
      <c r="I1027" s="1"/>
      <c r="J1027" s="1"/>
      <c r="K1027" s="1"/>
      <c r="L1027" s="2"/>
      <c r="M1027" s="2"/>
      <c r="N1027" s="2"/>
      <c r="O1027" s="2"/>
      <c r="P1027" s="2"/>
      <c r="Q1027" s="2"/>
      <c r="R1027" s="2"/>
      <c r="S1027" s="2"/>
      <c r="T1027" s="3"/>
      <c r="U1027" s="1"/>
      <c r="V1027" s="1"/>
      <c r="W1027" s="1"/>
      <c r="X1027" s="1"/>
      <c r="Y1027" s="1"/>
      <c r="Z1027" s="1"/>
      <c r="AA1027" s="1"/>
      <c r="AB1027" s="1"/>
    </row>
    <row r="1028" spans="1:28">
      <c r="A1028" s="261"/>
      <c r="B1028" s="261"/>
      <c r="C1028" s="115"/>
      <c r="D1028" s="1"/>
      <c r="E1028" s="1"/>
      <c r="F1028" s="1"/>
      <c r="G1028" s="1"/>
      <c r="H1028" s="1"/>
      <c r="I1028" s="1"/>
      <c r="J1028" s="1"/>
      <c r="K1028" s="1"/>
      <c r="L1028" s="2"/>
      <c r="M1028" s="2"/>
      <c r="N1028" s="2"/>
      <c r="O1028" s="2"/>
      <c r="P1028" s="2"/>
      <c r="Q1028" s="2"/>
      <c r="R1028" s="2"/>
      <c r="S1028" s="2"/>
      <c r="T1028" s="3"/>
      <c r="U1028" s="1"/>
      <c r="V1028" s="1"/>
      <c r="W1028" s="1"/>
      <c r="X1028" s="1"/>
      <c r="Y1028" s="1"/>
      <c r="Z1028" s="1"/>
      <c r="AA1028" s="1"/>
      <c r="AB1028" s="1"/>
    </row>
    <row r="1029" spans="1:28">
      <c r="A1029" s="261"/>
      <c r="B1029" s="261"/>
      <c r="C1029" s="115"/>
      <c r="D1029" s="1"/>
      <c r="E1029" s="1"/>
      <c r="F1029" s="1"/>
      <c r="G1029" s="1"/>
      <c r="H1029" s="1"/>
      <c r="I1029" s="1"/>
      <c r="J1029" s="1"/>
      <c r="K1029" s="1"/>
      <c r="L1029" s="2"/>
      <c r="M1029" s="2"/>
      <c r="N1029" s="2"/>
      <c r="O1029" s="2"/>
      <c r="P1029" s="2"/>
      <c r="Q1029" s="2"/>
      <c r="R1029" s="2"/>
      <c r="S1029" s="2"/>
      <c r="T1029" s="3"/>
      <c r="U1029" s="1"/>
      <c r="V1029" s="1"/>
      <c r="W1029" s="1"/>
      <c r="X1029" s="1"/>
      <c r="Y1029" s="1"/>
      <c r="Z1029" s="1"/>
      <c r="AA1029" s="1"/>
      <c r="AB1029" s="1"/>
    </row>
    <row r="1030" spans="1:28">
      <c r="A1030" s="261"/>
      <c r="B1030" s="261"/>
      <c r="C1030" s="115"/>
      <c r="D1030" s="1"/>
      <c r="E1030" s="1"/>
      <c r="F1030" s="1"/>
      <c r="G1030" s="1"/>
      <c r="H1030" s="1"/>
      <c r="I1030" s="1"/>
      <c r="J1030" s="1"/>
      <c r="K1030" s="1"/>
      <c r="L1030" s="2"/>
      <c r="M1030" s="2"/>
      <c r="N1030" s="2"/>
      <c r="O1030" s="2"/>
      <c r="P1030" s="2"/>
      <c r="Q1030" s="2"/>
      <c r="R1030" s="2"/>
      <c r="S1030" s="2"/>
      <c r="T1030" s="3"/>
      <c r="U1030" s="1"/>
      <c r="V1030" s="1"/>
      <c r="W1030" s="1"/>
      <c r="X1030" s="1"/>
      <c r="Y1030" s="1"/>
      <c r="Z1030" s="1"/>
      <c r="AA1030" s="1"/>
      <c r="AB1030" s="1"/>
    </row>
    <row r="1031" spans="1:28">
      <c r="A1031" s="261"/>
      <c r="B1031" s="261"/>
      <c r="C1031" s="115"/>
      <c r="D1031" s="1"/>
      <c r="E1031" s="1"/>
      <c r="F1031" s="1"/>
      <c r="G1031" s="1"/>
      <c r="H1031" s="1"/>
      <c r="I1031" s="1"/>
      <c r="J1031" s="1"/>
      <c r="K1031" s="1"/>
      <c r="L1031" s="2"/>
      <c r="M1031" s="2"/>
      <c r="N1031" s="2"/>
      <c r="O1031" s="2"/>
      <c r="P1031" s="2"/>
      <c r="Q1031" s="2"/>
      <c r="R1031" s="2"/>
      <c r="S1031" s="2"/>
      <c r="T1031" s="3"/>
      <c r="U1031" s="1"/>
      <c r="V1031" s="1"/>
      <c r="W1031" s="1"/>
      <c r="X1031" s="1"/>
      <c r="Y1031" s="1"/>
      <c r="Z1031" s="1"/>
      <c r="AA1031" s="1"/>
      <c r="AB1031" s="1"/>
    </row>
    <row r="1032" spans="1:28">
      <c r="A1032" s="261"/>
      <c r="B1032" s="261"/>
      <c r="C1032" s="115"/>
      <c r="D1032" s="1"/>
      <c r="E1032" s="1"/>
      <c r="F1032" s="1"/>
      <c r="G1032" s="1"/>
      <c r="H1032" s="1"/>
      <c r="I1032" s="1"/>
      <c r="J1032" s="1"/>
      <c r="K1032" s="1"/>
      <c r="L1032" s="2"/>
      <c r="M1032" s="2"/>
      <c r="N1032" s="2"/>
      <c r="O1032" s="2"/>
      <c r="P1032" s="2"/>
      <c r="Q1032" s="2"/>
      <c r="R1032" s="2"/>
      <c r="S1032" s="2"/>
      <c r="T1032" s="3"/>
      <c r="U1032" s="1"/>
      <c r="V1032" s="1"/>
      <c r="W1032" s="1"/>
      <c r="X1032" s="1"/>
      <c r="Y1032" s="1"/>
      <c r="Z1032" s="1"/>
      <c r="AA1032" s="1"/>
      <c r="AB1032" s="1"/>
    </row>
    <row r="1033" spans="1:28">
      <c r="A1033" s="261"/>
      <c r="B1033" s="261"/>
      <c r="C1033" s="115"/>
      <c r="D1033" s="1"/>
      <c r="E1033" s="1"/>
      <c r="F1033" s="1"/>
      <c r="G1033" s="1"/>
      <c r="H1033" s="1"/>
      <c r="I1033" s="1"/>
      <c r="J1033" s="1"/>
      <c r="K1033" s="1"/>
      <c r="L1033" s="2"/>
      <c r="M1033" s="2"/>
      <c r="N1033" s="2"/>
      <c r="O1033" s="2"/>
      <c r="P1033" s="2"/>
      <c r="Q1033" s="2"/>
      <c r="R1033" s="2"/>
      <c r="S1033" s="2"/>
      <c r="T1033" s="3"/>
      <c r="U1033" s="1"/>
      <c r="V1033" s="1"/>
      <c r="W1033" s="1"/>
      <c r="X1033" s="1"/>
      <c r="Y1033" s="1"/>
      <c r="Z1033" s="1"/>
      <c r="AA1033" s="1"/>
      <c r="AB1033" s="1"/>
    </row>
    <row r="1034" spans="1:28">
      <c r="A1034" s="261"/>
      <c r="B1034" s="261"/>
      <c r="C1034" s="115"/>
      <c r="D1034" s="1"/>
      <c r="E1034" s="1"/>
      <c r="F1034" s="1"/>
      <c r="G1034" s="1"/>
      <c r="H1034" s="1"/>
      <c r="I1034" s="1"/>
      <c r="J1034" s="1"/>
      <c r="K1034" s="1"/>
      <c r="L1034" s="2"/>
      <c r="M1034" s="2"/>
      <c r="N1034" s="2"/>
      <c r="O1034" s="2"/>
      <c r="P1034" s="2"/>
      <c r="Q1034" s="2"/>
      <c r="R1034" s="2"/>
      <c r="S1034" s="2"/>
      <c r="T1034" s="3"/>
      <c r="U1034" s="1"/>
      <c r="V1034" s="1"/>
      <c r="W1034" s="1"/>
      <c r="X1034" s="1"/>
      <c r="Y1034" s="1"/>
      <c r="Z1034" s="1"/>
      <c r="AA1034" s="1"/>
      <c r="AB1034" s="1"/>
    </row>
    <row r="1035" spans="1:28">
      <c r="A1035" s="261"/>
      <c r="B1035" s="261"/>
      <c r="C1035" s="115"/>
      <c r="D1035" s="1"/>
      <c r="E1035" s="1"/>
      <c r="F1035" s="1"/>
      <c r="G1035" s="1"/>
      <c r="H1035" s="1"/>
      <c r="I1035" s="1"/>
      <c r="J1035" s="1"/>
      <c r="K1035" s="1"/>
      <c r="L1035" s="2"/>
      <c r="M1035" s="2"/>
      <c r="N1035" s="2"/>
      <c r="O1035" s="2"/>
      <c r="P1035" s="2"/>
      <c r="Q1035" s="2"/>
      <c r="R1035" s="2"/>
      <c r="S1035" s="2"/>
      <c r="T1035" s="3"/>
      <c r="U1035" s="1"/>
      <c r="V1035" s="1"/>
      <c r="W1035" s="1"/>
      <c r="X1035" s="1"/>
      <c r="Y1035" s="1"/>
      <c r="Z1035" s="1"/>
      <c r="AA1035" s="1"/>
      <c r="AB1035" s="1"/>
    </row>
    <row r="1036" spans="1:28">
      <c r="A1036" s="261"/>
      <c r="B1036" s="261"/>
      <c r="C1036" s="115"/>
      <c r="D1036" s="1"/>
      <c r="E1036" s="1"/>
      <c r="F1036" s="1"/>
      <c r="G1036" s="1"/>
      <c r="H1036" s="1"/>
      <c r="I1036" s="1"/>
      <c r="J1036" s="1"/>
      <c r="K1036" s="1"/>
      <c r="L1036" s="2"/>
      <c r="M1036" s="2"/>
      <c r="N1036" s="2"/>
      <c r="O1036" s="2"/>
      <c r="P1036" s="2"/>
      <c r="Q1036" s="2"/>
      <c r="R1036" s="2"/>
      <c r="S1036" s="2"/>
      <c r="T1036" s="3"/>
      <c r="U1036" s="1"/>
      <c r="V1036" s="1"/>
      <c r="W1036" s="1"/>
      <c r="X1036" s="1"/>
      <c r="Y1036" s="1"/>
      <c r="Z1036" s="1"/>
      <c r="AA1036" s="1"/>
      <c r="AB1036" s="1"/>
    </row>
    <row r="1037" spans="1:28">
      <c r="A1037" s="261"/>
      <c r="B1037" s="261"/>
      <c r="C1037" s="115"/>
      <c r="D1037" s="1"/>
      <c r="E1037" s="1"/>
      <c r="F1037" s="1"/>
      <c r="G1037" s="1"/>
      <c r="H1037" s="1"/>
      <c r="I1037" s="1"/>
      <c r="J1037" s="1"/>
      <c r="K1037" s="1"/>
      <c r="L1037" s="2"/>
      <c r="M1037" s="2"/>
      <c r="N1037" s="2"/>
      <c r="O1037" s="2"/>
      <c r="P1037" s="2"/>
      <c r="Q1037" s="2"/>
      <c r="R1037" s="2"/>
      <c r="S1037" s="2"/>
      <c r="T1037" s="3"/>
      <c r="U1037" s="1"/>
      <c r="V1037" s="1"/>
      <c r="W1037" s="1"/>
      <c r="X1037" s="1"/>
      <c r="Y1037" s="1"/>
      <c r="Z1037" s="1"/>
      <c r="AA1037" s="1"/>
      <c r="AB1037" s="1"/>
    </row>
    <row r="1038" spans="1:28">
      <c r="A1038" s="261"/>
      <c r="B1038" s="261"/>
      <c r="C1038" s="115"/>
      <c r="D1038" s="1"/>
      <c r="E1038" s="1"/>
      <c r="F1038" s="1"/>
      <c r="G1038" s="1"/>
      <c r="H1038" s="1"/>
      <c r="I1038" s="1"/>
      <c r="J1038" s="1"/>
      <c r="K1038" s="1"/>
      <c r="L1038" s="2"/>
      <c r="M1038" s="2"/>
      <c r="N1038" s="2"/>
      <c r="O1038" s="2"/>
      <c r="P1038" s="2"/>
      <c r="Q1038" s="2"/>
      <c r="R1038" s="2"/>
      <c r="S1038" s="2"/>
      <c r="T1038" s="3"/>
      <c r="U1038" s="1"/>
      <c r="V1038" s="1"/>
      <c r="W1038" s="1"/>
      <c r="X1038" s="1"/>
      <c r="Y1038" s="1"/>
      <c r="Z1038" s="1"/>
      <c r="AA1038" s="1"/>
      <c r="AB1038" s="1"/>
    </row>
    <row r="1039" spans="1:28">
      <c r="A1039" s="261"/>
      <c r="B1039" s="261"/>
      <c r="C1039" s="115"/>
      <c r="D1039" s="1"/>
      <c r="E1039" s="1"/>
      <c r="F1039" s="1"/>
      <c r="G1039" s="1"/>
      <c r="H1039" s="1"/>
      <c r="I1039" s="1"/>
      <c r="J1039" s="1"/>
      <c r="K1039" s="1"/>
      <c r="L1039" s="2"/>
      <c r="M1039" s="2"/>
      <c r="N1039" s="2"/>
      <c r="O1039" s="2"/>
      <c r="P1039" s="2"/>
      <c r="Q1039" s="2"/>
      <c r="R1039" s="2"/>
      <c r="S1039" s="2"/>
      <c r="T1039" s="3"/>
      <c r="U1039" s="1"/>
      <c r="V1039" s="1"/>
      <c r="W1039" s="1"/>
      <c r="X1039" s="1"/>
      <c r="Y1039" s="1"/>
      <c r="Z1039" s="1"/>
      <c r="AA1039" s="1"/>
      <c r="AB1039" s="1"/>
    </row>
    <row r="1040" spans="1:28">
      <c r="A1040" s="261"/>
      <c r="B1040" s="261"/>
      <c r="C1040" s="115"/>
      <c r="D1040" s="1"/>
      <c r="E1040" s="1"/>
      <c r="F1040" s="1"/>
      <c r="G1040" s="1"/>
      <c r="H1040" s="1"/>
      <c r="I1040" s="1"/>
      <c r="J1040" s="1"/>
      <c r="K1040" s="1"/>
      <c r="L1040" s="2"/>
      <c r="M1040" s="2"/>
      <c r="N1040" s="2"/>
      <c r="O1040" s="2"/>
      <c r="P1040" s="2"/>
      <c r="Q1040" s="2"/>
      <c r="R1040" s="2"/>
      <c r="S1040" s="2"/>
      <c r="T1040" s="3"/>
      <c r="U1040" s="1"/>
      <c r="V1040" s="1"/>
      <c r="W1040" s="1"/>
      <c r="X1040" s="1"/>
      <c r="Y1040" s="1"/>
      <c r="Z1040" s="1"/>
      <c r="AA1040" s="1"/>
      <c r="AB1040" s="1"/>
    </row>
    <row r="1041" spans="1:28">
      <c r="A1041" s="260"/>
      <c r="B1041" s="260"/>
      <c r="C1041" s="38"/>
      <c r="D1041" s="4"/>
      <c r="E1041" s="4"/>
      <c r="F1041" s="4"/>
      <c r="G1041" s="4"/>
      <c r="H1041" s="4"/>
      <c r="I1041" s="4"/>
      <c r="J1041" s="4"/>
      <c r="K1041" s="4"/>
      <c r="L1041" s="5"/>
      <c r="M1041" s="5"/>
      <c r="N1041" s="5"/>
      <c r="O1041" s="5"/>
      <c r="P1041" s="5"/>
      <c r="Q1041" s="5"/>
      <c r="R1041" s="5"/>
      <c r="S1041" s="5"/>
      <c r="T1041" s="6"/>
      <c r="U1041" s="1"/>
      <c r="V1041" s="1"/>
      <c r="W1041" s="1"/>
      <c r="X1041" s="1"/>
      <c r="Y1041" s="1"/>
      <c r="Z1041" s="1"/>
      <c r="AA1041" s="1"/>
      <c r="AB1041" s="1"/>
    </row>
    <row r="1042" spans="1:28">
      <c r="A1042" s="260"/>
      <c r="B1042" s="260"/>
      <c r="C1042" s="38"/>
      <c r="D1042" s="4"/>
      <c r="E1042" s="4"/>
      <c r="F1042" s="4"/>
      <c r="G1042" s="4"/>
      <c r="H1042" s="4"/>
      <c r="I1042" s="4"/>
      <c r="J1042" s="4"/>
      <c r="K1042" s="4"/>
      <c r="L1042" s="5"/>
      <c r="M1042" s="5"/>
      <c r="N1042" s="5"/>
      <c r="O1042" s="5"/>
      <c r="P1042" s="5"/>
      <c r="Q1042" s="5"/>
      <c r="R1042" s="5"/>
      <c r="S1042" s="5"/>
      <c r="T1042" s="6"/>
      <c r="U1042" s="1"/>
      <c r="V1042" s="1"/>
      <c r="W1042" s="1"/>
      <c r="X1042" s="1"/>
      <c r="Y1042" s="1"/>
      <c r="Z1042" s="1"/>
      <c r="AA1042" s="1"/>
      <c r="AB1042" s="1"/>
    </row>
    <row r="1043" spans="1:28">
      <c r="A1043" s="261"/>
      <c r="B1043" s="261"/>
      <c r="C1043" s="115"/>
      <c r="D1043" s="1"/>
      <c r="E1043" s="1"/>
      <c r="F1043" s="1"/>
      <c r="G1043" s="1"/>
      <c r="H1043" s="1"/>
      <c r="I1043" s="1"/>
      <c r="J1043" s="1"/>
      <c r="K1043" s="1"/>
      <c r="L1043" s="2"/>
      <c r="M1043" s="2"/>
      <c r="N1043" s="2"/>
      <c r="O1043" s="2"/>
      <c r="P1043" s="2"/>
      <c r="Q1043" s="2"/>
      <c r="R1043" s="2"/>
      <c r="S1043" s="2"/>
      <c r="T1043" s="3"/>
      <c r="U1043" s="1"/>
      <c r="V1043" s="1"/>
      <c r="W1043" s="1"/>
      <c r="X1043" s="1"/>
      <c r="Y1043" s="1"/>
      <c r="Z1043" s="1"/>
      <c r="AA1043" s="1"/>
      <c r="AB1043" s="1"/>
    </row>
    <row r="1044" spans="1:28">
      <c r="A1044" s="261"/>
      <c r="B1044" s="261"/>
      <c r="C1044" s="115"/>
      <c r="D1044" s="1"/>
      <c r="E1044" s="1"/>
      <c r="F1044" s="1"/>
      <c r="G1044" s="1"/>
      <c r="H1044" s="1"/>
      <c r="I1044" s="1"/>
      <c r="J1044" s="1"/>
      <c r="K1044" s="1"/>
      <c r="L1044" s="2"/>
      <c r="M1044" s="2"/>
      <c r="N1044" s="2"/>
      <c r="O1044" s="2"/>
      <c r="P1044" s="2"/>
      <c r="Q1044" s="2"/>
      <c r="R1044" s="2"/>
      <c r="S1044" s="2"/>
      <c r="T1044" s="3"/>
      <c r="U1044" s="1"/>
      <c r="V1044" s="1"/>
      <c r="W1044" s="1"/>
      <c r="X1044" s="1"/>
      <c r="Y1044" s="1"/>
      <c r="Z1044" s="1"/>
      <c r="AA1044" s="1"/>
      <c r="AB1044" s="1"/>
    </row>
    <row r="1045" spans="1:28">
      <c r="A1045" s="261"/>
      <c r="B1045" s="261"/>
      <c r="C1045" s="115"/>
      <c r="D1045" s="1"/>
      <c r="E1045" s="1"/>
      <c r="F1045" s="1"/>
      <c r="G1045" s="1"/>
      <c r="H1045" s="1"/>
      <c r="I1045" s="1"/>
      <c r="J1045" s="1"/>
      <c r="K1045" s="1"/>
      <c r="L1045" s="2"/>
      <c r="M1045" s="2"/>
      <c r="N1045" s="2"/>
      <c r="O1045" s="2"/>
      <c r="P1045" s="2"/>
      <c r="Q1045" s="2"/>
      <c r="R1045" s="2"/>
      <c r="S1045" s="2"/>
      <c r="T1045" s="3"/>
      <c r="U1045" s="1"/>
      <c r="V1045" s="1"/>
      <c r="W1045" s="1"/>
      <c r="X1045" s="1"/>
      <c r="Y1045" s="1"/>
      <c r="Z1045" s="1"/>
      <c r="AA1045" s="1"/>
      <c r="AB1045" s="1"/>
    </row>
    <row r="1046" spans="1:28">
      <c r="A1046" s="261"/>
      <c r="B1046" s="261"/>
      <c r="C1046" s="115"/>
      <c r="D1046" s="1"/>
      <c r="E1046" s="1"/>
      <c r="F1046" s="1"/>
      <c r="G1046" s="1"/>
      <c r="H1046" s="1"/>
      <c r="I1046" s="1"/>
      <c r="J1046" s="1"/>
      <c r="K1046" s="1"/>
      <c r="L1046" s="2"/>
      <c r="M1046" s="2"/>
      <c r="N1046" s="2"/>
      <c r="O1046" s="2"/>
      <c r="P1046" s="2"/>
      <c r="Q1046" s="2"/>
      <c r="R1046" s="2"/>
      <c r="S1046" s="2"/>
      <c r="T1046" s="3"/>
      <c r="U1046" s="1"/>
      <c r="V1046" s="1"/>
      <c r="W1046" s="1"/>
      <c r="X1046" s="1"/>
      <c r="Y1046" s="1"/>
      <c r="Z1046" s="1"/>
      <c r="AA1046" s="1"/>
      <c r="AB1046" s="1"/>
    </row>
    <row r="1047" spans="1:28">
      <c r="A1047" s="261"/>
      <c r="B1047" s="261"/>
      <c r="C1047" s="115"/>
      <c r="D1047" s="1"/>
      <c r="E1047" s="1"/>
      <c r="F1047" s="1"/>
      <c r="G1047" s="1"/>
      <c r="H1047" s="1"/>
      <c r="I1047" s="1"/>
      <c r="J1047" s="1"/>
      <c r="K1047" s="1"/>
      <c r="L1047" s="2"/>
      <c r="M1047" s="2"/>
      <c r="N1047" s="2"/>
      <c r="O1047" s="2"/>
      <c r="P1047" s="2"/>
      <c r="Q1047" s="2"/>
      <c r="R1047" s="2"/>
      <c r="S1047" s="2"/>
      <c r="T1047" s="3"/>
      <c r="U1047" s="1"/>
      <c r="V1047" s="1"/>
      <c r="W1047" s="1"/>
      <c r="X1047" s="1"/>
      <c r="Y1047" s="1"/>
      <c r="Z1047" s="1"/>
      <c r="AA1047" s="1"/>
      <c r="AB1047" s="1"/>
    </row>
    <row r="1048" spans="1:28">
      <c r="A1048" s="261"/>
      <c r="B1048" s="261"/>
      <c r="C1048" s="115"/>
      <c r="D1048" s="1"/>
      <c r="E1048" s="1"/>
      <c r="F1048" s="1"/>
      <c r="G1048" s="1"/>
      <c r="H1048" s="1"/>
      <c r="I1048" s="1"/>
      <c r="J1048" s="1"/>
      <c r="K1048" s="1"/>
      <c r="L1048" s="2"/>
      <c r="M1048" s="2"/>
      <c r="N1048" s="2"/>
      <c r="O1048" s="2"/>
      <c r="P1048" s="2"/>
      <c r="Q1048" s="2"/>
      <c r="R1048" s="2"/>
      <c r="S1048" s="2"/>
      <c r="T1048" s="3"/>
      <c r="U1048" s="1"/>
      <c r="V1048" s="1"/>
      <c r="W1048" s="1"/>
      <c r="X1048" s="1"/>
      <c r="Y1048" s="1"/>
      <c r="Z1048" s="1"/>
      <c r="AA1048" s="1"/>
      <c r="AB1048" s="1"/>
    </row>
    <row r="1049" spans="1:28">
      <c r="A1049" s="261"/>
      <c r="B1049" s="261"/>
      <c r="C1049" s="115"/>
      <c r="D1049" s="1"/>
      <c r="E1049" s="1"/>
      <c r="F1049" s="1"/>
      <c r="G1049" s="1"/>
      <c r="H1049" s="1"/>
      <c r="I1049" s="1"/>
      <c r="J1049" s="1"/>
      <c r="K1049" s="1"/>
      <c r="L1049" s="2"/>
      <c r="M1049" s="2"/>
      <c r="N1049" s="2"/>
      <c r="O1049" s="2"/>
      <c r="P1049" s="2"/>
      <c r="Q1049" s="2"/>
      <c r="R1049" s="2"/>
      <c r="S1049" s="2"/>
      <c r="T1049" s="3"/>
      <c r="U1049" s="1"/>
      <c r="V1049" s="1"/>
      <c r="W1049" s="1"/>
      <c r="X1049" s="1"/>
      <c r="Y1049" s="1"/>
      <c r="Z1049" s="1"/>
      <c r="AA1049" s="1"/>
      <c r="AB1049" s="1"/>
    </row>
    <row r="1050" spans="1:28">
      <c r="A1050" s="261"/>
      <c r="B1050" s="261"/>
      <c r="C1050" s="115"/>
      <c r="D1050" s="1"/>
      <c r="E1050" s="1"/>
      <c r="F1050" s="1"/>
      <c r="G1050" s="1"/>
      <c r="H1050" s="1"/>
      <c r="I1050" s="1"/>
      <c r="J1050" s="1"/>
      <c r="K1050" s="1"/>
      <c r="L1050" s="2"/>
      <c r="M1050" s="2"/>
      <c r="N1050" s="2"/>
      <c r="O1050" s="2"/>
      <c r="P1050" s="2"/>
      <c r="Q1050" s="2"/>
      <c r="R1050" s="2"/>
      <c r="S1050" s="2"/>
      <c r="T1050" s="3"/>
      <c r="U1050" s="1"/>
      <c r="V1050" s="1"/>
      <c r="W1050" s="1"/>
      <c r="X1050" s="1"/>
      <c r="Y1050" s="1"/>
      <c r="Z1050" s="1"/>
      <c r="AA1050" s="1"/>
      <c r="AB1050" s="1"/>
    </row>
    <row r="1051" spans="1:28">
      <c r="A1051" s="261"/>
      <c r="B1051" s="261"/>
      <c r="C1051" s="115"/>
      <c r="D1051" s="1"/>
      <c r="E1051" s="1"/>
      <c r="F1051" s="1"/>
      <c r="G1051" s="1"/>
      <c r="H1051" s="1"/>
      <c r="I1051" s="1"/>
      <c r="J1051" s="1"/>
      <c r="K1051" s="1"/>
      <c r="L1051" s="2"/>
      <c r="M1051" s="2"/>
      <c r="N1051" s="2"/>
      <c r="O1051" s="2"/>
      <c r="P1051" s="2"/>
      <c r="Q1051" s="2"/>
      <c r="R1051" s="2"/>
      <c r="S1051" s="2"/>
      <c r="T1051" s="3"/>
      <c r="U1051" s="1"/>
      <c r="V1051" s="1"/>
      <c r="W1051" s="1"/>
      <c r="X1051" s="1"/>
      <c r="Y1051" s="1"/>
      <c r="Z1051" s="1"/>
      <c r="AA1051" s="1"/>
      <c r="AB1051" s="1"/>
    </row>
    <row r="1052" spans="1:28">
      <c r="A1052" s="261"/>
      <c r="B1052" s="261"/>
      <c r="C1052" s="115"/>
      <c r="D1052" s="1"/>
      <c r="E1052" s="1"/>
      <c r="F1052" s="1"/>
      <c r="G1052" s="1"/>
      <c r="H1052" s="1"/>
      <c r="I1052" s="1"/>
      <c r="J1052" s="1"/>
      <c r="K1052" s="1"/>
      <c r="L1052" s="2"/>
      <c r="M1052" s="2"/>
      <c r="N1052" s="2"/>
      <c r="O1052" s="2"/>
      <c r="P1052" s="2"/>
      <c r="Q1052" s="2"/>
      <c r="R1052" s="2"/>
      <c r="S1052" s="2"/>
      <c r="T1052" s="3"/>
      <c r="U1052" s="1"/>
      <c r="V1052" s="1"/>
      <c r="W1052" s="1"/>
      <c r="X1052" s="1"/>
      <c r="Y1052" s="1"/>
      <c r="Z1052" s="1"/>
      <c r="AA1052" s="1"/>
      <c r="AB1052" s="1"/>
    </row>
    <row r="1053" spans="1:28">
      <c r="A1053" s="261"/>
      <c r="B1053" s="261"/>
      <c r="C1053" s="115"/>
      <c r="D1053" s="1"/>
      <c r="E1053" s="1"/>
      <c r="F1053" s="1"/>
      <c r="G1053" s="1"/>
      <c r="H1053" s="1"/>
      <c r="I1053" s="1"/>
      <c r="J1053" s="1"/>
      <c r="K1053" s="1"/>
      <c r="L1053" s="2"/>
      <c r="M1053" s="2"/>
      <c r="N1053" s="2"/>
      <c r="O1053" s="2"/>
      <c r="P1053" s="2"/>
      <c r="Q1053" s="2"/>
      <c r="R1053" s="2"/>
      <c r="S1053" s="2"/>
      <c r="T1053" s="3"/>
      <c r="U1053" s="1"/>
      <c r="V1053" s="1"/>
      <c r="W1053" s="1"/>
      <c r="X1053" s="1"/>
      <c r="Y1053" s="1"/>
      <c r="Z1053" s="1"/>
      <c r="AA1053" s="1"/>
      <c r="AB1053" s="1"/>
    </row>
    <row r="1054" spans="1:28">
      <c r="A1054" s="261"/>
      <c r="B1054" s="261"/>
      <c r="C1054" s="115"/>
      <c r="D1054" s="1"/>
      <c r="E1054" s="1"/>
      <c r="F1054" s="1"/>
      <c r="G1054" s="1"/>
      <c r="H1054" s="1"/>
      <c r="I1054" s="1"/>
      <c r="J1054" s="1"/>
      <c r="K1054" s="1"/>
      <c r="L1054" s="2"/>
      <c r="M1054" s="2"/>
      <c r="N1054" s="2"/>
      <c r="O1054" s="2"/>
      <c r="P1054" s="2"/>
      <c r="Q1054" s="2"/>
      <c r="R1054" s="2"/>
      <c r="S1054" s="2"/>
      <c r="T1054" s="3"/>
      <c r="U1054" s="1"/>
      <c r="V1054" s="1"/>
      <c r="W1054" s="1"/>
      <c r="X1054" s="1"/>
      <c r="Y1054" s="1"/>
      <c r="Z1054" s="1"/>
      <c r="AA1054" s="1"/>
      <c r="AB1054" s="1"/>
    </row>
    <row r="1055" spans="1:28">
      <c r="A1055" s="261"/>
      <c r="B1055" s="261"/>
      <c r="C1055" s="115"/>
      <c r="D1055" s="1"/>
      <c r="E1055" s="1"/>
      <c r="F1055" s="1"/>
      <c r="G1055" s="1"/>
      <c r="H1055" s="1"/>
      <c r="I1055" s="1"/>
      <c r="J1055" s="1"/>
      <c r="K1055" s="1"/>
      <c r="L1055" s="2"/>
      <c r="M1055" s="2"/>
      <c r="N1055" s="2"/>
      <c r="O1055" s="2"/>
      <c r="P1055" s="2"/>
      <c r="Q1055" s="2"/>
      <c r="R1055" s="2"/>
      <c r="S1055" s="2"/>
      <c r="T1055" s="3"/>
      <c r="U1055" s="1"/>
      <c r="V1055" s="1"/>
      <c r="W1055" s="1"/>
      <c r="X1055" s="1"/>
      <c r="Y1055" s="1"/>
      <c r="Z1055" s="1"/>
      <c r="AA1055" s="1"/>
      <c r="AB1055" s="1"/>
    </row>
    <row r="1056" spans="1:28">
      <c r="A1056" s="261"/>
      <c r="B1056" s="261"/>
      <c r="C1056" s="115"/>
      <c r="D1056" s="1"/>
      <c r="E1056" s="1"/>
      <c r="F1056" s="1"/>
      <c r="G1056" s="1"/>
      <c r="H1056" s="1"/>
      <c r="I1056" s="1"/>
      <c r="J1056" s="1"/>
      <c r="K1056" s="1"/>
      <c r="L1056" s="2"/>
      <c r="M1056" s="2"/>
      <c r="N1056" s="2"/>
      <c r="O1056" s="2"/>
      <c r="P1056" s="2"/>
      <c r="Q1056" s="2"/>
      <c r="R1056" s="2"/>
      <c r="S1056" s="2"/>
      <c r="T1056" s="3"/>
      <c r="U1056" s="1"/>
      <c r="V1056" s="1"/>
      <c r="W1056" s="1"/>
      <c r="X1056" s="1"/>
      <c r="Y1056" s="1"/>
      <c r="Z1056" s="1"/>
      <c r="AA1056" s="1"/>
      <c r="AB1056" s="1"/>
    </row>
    <row r="1057" spans="1:28">
      <c r="A1057" s="261"/>
      <c r="B1057" s="261"/>
      <c r="C1057" s="115"/>
      <c r="D1057" s="1"/>
      <c r="E1057" s="1"/>
      <c r="F1057" s="1"/>
      <c r="G1057" s="1"/>
      <c r="H1057" s="1"/>
      <c r="I1057" s="1"/>
      <c r="J1057" s="1"/>
      <c r="K1057" s="1"/>
      <c r="L1057" s="2"/>
      <c r="M1057" s="2"/>
      <c r="N1057" s="2"/>
      <c r="O1057" s="2"/>
      <c r="P1057" s="2"/>
      <c r="Q1057" s="2"/>
      <c r="R1057" s="2"/>
      <c r="S1057" s="2"/>
      <c r="T1057" s="3"/>
      <c r="U1057" s="1"/>
      <c r="V1057" s="1"/>
      <c r="W1057" s="1"/>
      <c r="X1057" s="1"/>
      <c r="Y1057" s="1"/>
      <c r="Z1057" s="1"/>
      <c r="AA1057" s="1"/>
      <c r="AB1057" s="1"/>
    </row>
    <row r="1058" spans="1:28">
      <c r="A1058" s="261"/>
      <c r="B1058" s="261"/>
      <c r="C1058" s="115"/>
      <c r="D1058" s="1"/>
      <c r="E1058" s="1"/>
      <c r="F1058" s="1"/>
      <c r="G1058" s="1"/>
      <c r="H1058" s="1"/>
      <c r="I1058" s="1"/>
      <c r="J1058" s="1"/>
      <c r="K1058" s="1"/>
      <c r="L1058" s="2"/>
      <c r="M1058" s="2"/>
      <c r="N1058" s="2"/>
      <c r="O1058" s="2"/>
      <c r="P1058" s="2"/>
      <c r="Q1058" s="2"/>
      <c r="R1058" s="2"/>
      <c r="S1058" s="2"/>
      <c r="T1058" s="3"/>
      <c r="U1058" s="1"/>
      <c r="V1058" s="1"/>
      <c r="W1058" s="1"/>
      <c r="X1058" s="1"/>
      <c r="Y1058" s="1"/>
      <c r="Z1058" s="1"/>
      <c r="AA1058" s="1"/>
      <c r="AB1058" s="1"/>
    </row>
    <row r="1059" spans="1:28">
      <c r="A1059" s="261"/>
      <c r="B1059" s="261"/>
      <c r="C1059" s="115"/>
      <c r="D1059" s="1"/>
      <c r="E1059" s="1"/>
      <c r="F1059" s="1"/>
      <c r="G1059" s="1"/>
      <c r="H1059" s="1"/>
      <c r="I1059" s="1"/>
      <c r="J1059" s="1"/>
      <c r="K1059" s="1"/>
      <c r="L1059" s="2"/>
      <c r="M1059" s="2"/>
      <c r="N1059" s="2"/>
      <c r="O1059" s="2"/>
      <c r="P1059" s="2"/>
      <c r="Q1059" s="2"/>
      <c r="R1059" s="2"/>
      <c r="S1059" s="2"/>
      <c r="T1059" s="3"/>
      <c r="U1059" s="1"/>
      <c r="V1059" s="1"/>
      <c r="W1059" s="1"/>
      <c r="X1059" s="1"/>
      <c r="Y1059" s="1"/>
      <c r="Z1059" s="1"/>
      <c r="AA1059" s="1"/>
      <c r="AB1059" s="1"/>
    </row>
    <row r="1060" spans="1:28">
      <c r="A1060" s="261"/>
      <c r="B1060" s="261"/>
      <c r="C1060" s="115"/>
      <c r="D1060" s="1"/>
      <c r="E1060" s="1"/>
      <c r="F1060" s="1"/>
      <c r="G1060" s="1"/>
      <c r="H1060" s="1"/>
      <c r="I1060" s="1"/>
      <c r="J1060" s="1"/>
      <c r="K1060" s="1"/>
      <c r="L1060" s="2"/>
      <c r="M1060" s="2"/>
      <c r="N1060" s="2"/>
      <c r="O1060" s="2"/>
      <c r="P1060" s="2"/>
      <c r="Q1060" s="2"/>
      <c r="R1060" s="2"/>
      <c r="S1060" s="2"/>
      <c r="T1060" s="3"/>
      <c r="U1060" s="1"/>
      <c r="V1060" s="1"/>
      <c r="W1060" s="1"/>
      <c r="X1060" s="1"/>
      <c r="Y1060" s="1"/>
      <c r="Z1060" s="1"/>
      <c r="AA1060" s="1"/>
      <c r="AB1060" s="1"/>
    </row>
    <row r="1061" spans="1:28">
      <c r="A1061" s="261"/>
      <c r="B1061" s="261"/>
      <c r="C1061" s="115"/>
      <c r="D1061" s="1"/>
      <c r="E1061" s="1"/>
      <c r="F1061" s="1"/>
      <c r="G1061" s="1"/>
      <c r="H1061" s="1"/>
      <c r="I1061" s="1"/>
      <c r="J1061" s="1"/>
      <c r="K1061" s="1"/>
      <c r="L1061" s="2"/>
      <c r="M1061" s="2"/>
      <c r="N1061" s="2"/>
      <c r="O1061" s="2"/>
      <c r="P1061" s="2"/>
      <c r="Q1061" s="2"/>
      <c r="R1061" s="2"/>
      <c r="S1061" s="2"/>
      <c r="T1061" s="3"/>
      <c r="U1061" s="1"/>
      <c r="V1061" s="1"/>
      <c r="W1061" s="1"/>
      <c r="X1061" s="1"/>
      <c r="Y1061" s="1"/>
      <c r="Z1061" s="1"/>
      <c r="AA1061" s="1"/>
      <c r="AB1061" s="1"/>
    </row>
    <row r="1062" spans="1:28">
      <c r="A1062" s="260"/>
      <c r="B1062" s="260"/>
      <c r="C1062" s="38"/>
      <c r="D1062" s="4"/>
      <c r="E1062" s="4"/>
      <c r="F1062" s="4"/>
      <c r="G1062" s="4"/>
      <c r="H1062" s="4"/>
      <c r="I1062" s="4"/>
      <c r="J1062" s="4"/>
      <c r="K1062" s="4"/>
      <c r="L1062" s="5"/>
      <c r="M1062" s="5"/>
      <c r="N1062" s="5"/>
      <c r="O1062" s="5"/>
      <c r="P1062" s="5"/>
      <c r="Q1062" s="5"/>
      <c r="R1062" s="5"/>
      <c r="S1062" s="5"/>
      <c r="T1062" s="6"/>
      <c r="U1062" s="1"/>
      <c r="V1062" s="1"/>
      <c r="W1062" s="1"/>
      <c r="X1062" s="1"/>
      <c r="Y1062" s="1"/>
      <c r="Z1062" s="1"/>
      <c r="AA1062" s="1"/>
      <c r="AB1062" s="1"/>
    </row>
    <row r="1063" spans="1:28">
      <c r="A1063" s="260"/>
      <c r="B1063" s="260"/>
      <c r="C1063" s="38"/>
      <c r="D1063" s="4"/>
      <c r="E1063" s="4"/>
      <c r="F1063" s="4"/>
      <c r="G1063" s="4"/>
      <c r="H1063" s="4"/>
      <c r="I1063" s="4"/>
      <c r="J1063" s="4"/>
      <c r="K1063" s="4"/>
      <c r="L1063" s="5"/>
      <c r="M1063" s="5"/>
      <c r="N1063" s="5"/>
      <c r="O1063" s="5"/>
      <c r="P1063" s="5"/>
      <c r="Q1063" s="5"/>
      <c r="R1063" s="5"/>
      <c r="S1063" s="5"/>
      <c r="T1063" s="6"/>
      <c r="U1063" s="1"/>
      <c r="V1063" s="1"/>
      <c r="W1063" s="1"/>
      <c r="X1063" s="1"/>
      <c r="Y1063" s="1"/>
      <c r="Z1063" s="1"/>
      <c r="AA1063" s="1"/>
      <c r="AB1063" s="1"/>
    </row>
    <row r="1064" spans="1:28">
      <c r="A1064" s="261"/>
      <c r="B1064" s="261"/>
      <c r="C1064" s="115"/>
      <c r="D1064" s="1"/>
      <c r="E1064" s="1"/>
      <c r="F1064" s="1"/>
      <c r="G1064" s="1"/>
      <c r="H1064" s="1"/>
      <c r="I1064" s="1"/>
      <c r="J1064" s="1"/>
      <c r="K1064" s="1"/>
      <c r="L1064" s="2"/>
      <c r="M1064" s="2"/>
      <c r="N1064" s="2"/>
      <c r="O1064" s="2"/>
      <c r="P1064" s="2"/>
      <c r="Q1064" s="2"/>
      <c r="R1064" s="2"/>
      <c r="S1064" s="2"/>
      <c r="T1064" s="3"/>
      <c r="U1064" s="1"/>
      <c r="V1064" s="1"/>
      <c r="W1064" s="1"/>
      <c r="X1064" s="1"/>
      <c r="Y1064" s="1"/>
      <c r="Z1064" s="1"/>
      <c r="AA1064" s="1"/>
      <c r="AB1064" s="1"/>
    </row>
    <row r="1065" spans="1:28">
      <c r="A1065" s="261"/>
      <c r="B1065" s="261"/>
      <c r="C1065" s="115"/>
      <c r="D1065" s="1"/>
      <c r="E1065" s="1"/>
      <c r="F1065" s="1"/>
      <c r="G1065" s="1"/>
      <c r="H1065" s="1"/>
      <c r="I1065" s="1"/>
      <c r="J1065" s="1"/>
      <c r="K1065" s="1"/>
      <c r="L1065" s="2"/>
      <c r="M1065" s="2"/>
      <c r="N1065" s="2"/>
      <c r="O1065" s="2"/>
      <c r="P1065" s="2"/>
      <c r="Q1065" s="2"/>
      <c r="R1065" s="2"/>
      <c r="S1065" s="2"/>
      <c r="T1065" s="3"/>
      <c r="U1065" s="1"/>
      <c r="V1065" s="1"/>
      <c r="W1065" s="1"/>
      <c r="X1065" s="1"/>
      <c r="Y1065" s="1"/>
      <c r="Z1065" s="1"/>
      <c r="AA1065" s="1"/>
      <c r="AB1065" s="1"/>
    </row>
    <row r="1066" spans="1:28">
      <c r="A1066" s="261"/>
      <c r="B1066" s="261"/>
      <c r="C1066" s="115"/>
      <c r="D1066" s="1"/>
      <c r="E1066" s="1"/>
      <c r="F1066" s="1"/>
      <c r="G1066" s="1"/>
      <c r="H1066" s="1"/>
      <c r="I1066" s="1"/>
      <c r="J1066" s="1"/>
      <c r="K1066" s="1"/>
      <c r="L1066" s="2"/>
      <c r="M1066" s="2"/>
      <c r="N1066" s="2"/>
      <c r="O1066" s="2"/>
      <c r="P1066" s="2"/>
      <c r="Q1066" s="2"/>
      <c r="R1066" s="2"/>
      <c r="S1066" s="2"/>
      <c r="T1066" s="3"/>
      <c r="U1066" s="1"/>
      <c r="V1066" s="1"/>
      <c r="W1066" s="1"/>
      <c r="X1066" s="1"/>
      <c r="Y1066" s="1"/>
      <c r="Z1066" s="1"/>
      <c r="AA1066" s="1"/>
      <c r="AB1066" s="1"/>
    </row>
    <row r="1067" spans="1:28">
      <c r="A1067" s="261"/>
      <c r="B1067" s="261"/>
      <c r="C1067" s="115"/>
      <c r="D1067" s="1"/>
      <c r="E1067" s="1"/>
      <c r="F1067" s="1"/>
      <c r="G1067" s="1"/>
      <c r="H1067" s="1"/>
      <c r="I1067" s="1"/>
      <c r="J1067" s="1"/>
      <c r="K1067" s="1"/>
      <c r="L1067" s="2"/>
      <c r="M1067" s="2"/>
      <c r="N1067" s="2"/>
      <c r="O1067" s="2"/>
      <c r="P1067" s="2"/>
      <c r="Q1067" s="2"/>
      <c r="R1067" s="2"/>
      <c r="S1067" s="2"/>
      <c r="T1067" s="3"/>
      <c r="U1067" s="1"/>
      <c r="V1067" s="1"/>
      <c r="W1067" s="1"/>
      <c r="X1067" s="1"/>
      <c r="Y1067" s="1"/>
      <c r="Z1067" s="1"/>
      <c r="AA1067" s="1"/>
      <c r="AB1067" s="1"/>
    </row>
    <row r="1068" spans="1:28">
      <c r="A1068" s="261"/>
      <c r="B1068" s="261"/>
      <c r="C1068" s="115"/>
      <c r="D1068" s="1"/>
      <c r="E1068" s="1"/>
      <c r="F1068" s="1"/>
      <c r="G1068" s="1"/>
      <c r="H1068" s="1"/>
      <c r="I1068" s="1"/>
      <c r="J1068" s="1"/>
      <c r="K1068" s="1"/>
      <c r="L1068" s="2"/>
      <c r="M1068" s="2"/>
      <c r="N1068" s="2"/>
      <c r="O1068" s="2"/>
      <c r="P1068" s="2"/>
      <c r="Q1068" s="2"/>
      <c r="R1068" s="2"/>
      <c r="S1068" s="2"/>
      <c r="T1068" s="3"/>
      <c r="U1068" s="1"/>
      <c r="V1068" s="1"/>
      <c r="W1068" s="1"/>
      <c r="X1068" s="1"/>
      <c r="Y1068" s="1"/>
      <c r="Z1068" s="1"/>
      <c r="AA1068" s="1"/>
      <c r="AB1068" s="1"/>
    </row>
    <row r="1069" spans="1:28">
      <c r="A1069" s="261"/>
      <c r="B1069" s="261"/>
      <c r="C1069" s="115"/>
      <c r="D1069" s="1"/>
      <c r="E1069" s="1"/>
      <c r="F1069" s="1"/>
      <c r="G1069" s="1"/>
      <c r="H1069" s="1"/>
      <c r="I1069" s="1"/>
      <c r="J1069" s="1"/>
      <c r="K1069" s="1"/>
      <c r="L1069" s="2"/>
      <c r="M1069" s="2"/>
      <c r="N1069" s="2"/>
      <c r="O1069" s="2"/>
      <c r="P1069" s="2"/>
      <c r="Q1069" s="2"/>
      <c r="R1069" s="2"/>
      <c r="S1069" s="2"/>
      <c r="T1069" s="3"/>
      <c r="U1069" s="1"/>
      <c r="V1069" s="1"/>
      <c r="W1069" s="1"/>
      <c r="X1069" s="1"/>
      <c r="Y1069" s="1"/>
      <c r="Z1069" s="1"/>
      <c r="AA1069" s="1"/>
      <c r="AB1069" s="1"/>
    </row>
    <row r="1070" spans="1:28">
      <c r="A1070" s="261"/>
      <c r="B1070" s="261"/>
      <c r="C1070" s="115"/>
      <c r="D1070" s="1"/>
      <c r="E1070" s="1"/>
      <c r="F1070" s="1"/>
      <c r="G1070" s="1"/>
      <c r="H1070" s="1"/>
      <c r="I1070" s="1"/>
      <c r="J1070" s="1"/>
      <c r="K1070" s="1"/>
      <c r="L1070" s="2"/>
      <c r="M1070" s="2"/>
      <c r="N1070" s="2"/>
      <c r="O1070" s="2"/>
      <c r="P1070" s="2"/>
      <c r="Q1070" s="2"/>
      <c r="R1070" s="2"/>
      <c r="S1070" s="2"/>
      <c r="T1070" s="3"/>
      <c r="U1070" s="1"/>
      <c r="V1070" s="1"/>
      <c r="W1070" s="1"/>
      <c r="X1070" s="1"/>
      <c r="Y1070" s="1"/>
      <c r="Z1070" s="1"/>
      <c r="AA1070" s="1"/>
      <c r="AB1070" s="1"/>
    </row>
    <row r="1071" spans="1:28">
      <c r="A1071" s="261"/>
      <c r="B1071" s="261"/>
      <c r="C1071" s="115"/>
      <c r="D1071" s="1"/>
      <c r="E1071" s="1"/>
      <c r="F1071" s="1"/>
      <c r="G1071" s="1"/>
      <c r="H1071" s="1"/>
      <c r="I1071" s="1"/>
      <c r="J1071" s="1"/>
      <c r="K1071" s="1"/>
      <c r="L1071" s="2"/>
      <c r="M1071" s="2"/>
      <c r="N1071" s="2"/>
      <c r="O1071" s="2"/>
      <c r="P1071" s="2"/>
      <c r="Q1071" s="2"/>
      <c r="R1071" s="2"/>
      <c r="S1071" s="2"/>
      <c r="T1071" s="3"/>
      <c r="U1071" s="1"/>
      <c r="V1071" s="1"/>
      <c r="W1071" s="1"/>
      <c r="X1071" s="1"/>
      <c r="Y1071" s="1"/>
      <c r="Z1071" s="1"/>
      <c r="AA1071" s="1"/>
      <c r="AB1071" s="1"/>
    </row>
    <row r="1072" spans="1:28">
      <c r="A1072" s="261"/>
      <c r="B1072" s="261"/>
      <c r="C1072" s="115"/>
      <c r="D1072" s="1"/>
      <c r="E1072" s="1"/>
      <c r="F1072" s="1"/>
      <c r="G1072" s="1"/>
      <c r="H1072" s="1"/>
      <c r="I1072" s="1"/>
      <c r="J1072" s="1"/>
      <c r="K1072" s="1"/>
      <c r="L1072" s="2"/>
      <c r="M1072" s="2"/>
      <c r="N1072" s="2"/>
      <c r="O1072" s="2"/>
      <c r="P1072" s="2"/>
      <c r="Q1072" s="2"/>
      <c r="R1072" s="2"/>
      <c r="S1072" s="2"/>
      <c r="T1072" s="3"/>
      <c r="U1072" s="1"/>
      <c r="V1072" s="1"/>
      <c r="W1072" s="1"/>
      <c r="X1072" s="1"/>
      <c r="Y1072" s="1"/>
      <c r="Z1072" s="1"/>
      <c r="AA1072" s="1"/>
      <c r="AB1072" s="1"/>
    </row>
    <row r="1073" spans="1:28">
      <c r="A1073" s="260"/>
      <c r="B1073" s="260"/>
      <c r="C1073" s="38"/>
      <c r="D1073" s="4"/>
      <c r="E1073" s="4"/>
      <c r="F1073" s="4"/>
      <c r="G1073" s="4"/>
      <c r="H1073" s="4"/>
      <c r="I1073" s="4"/>
      <c r="J1073" s="4"/>
      <c r="K1073" s="4"/>
      <c r="L1073" s="5"/>
      <c r="M1073" s="5"/>
      <c r="N1073" s="5"/>
      <c r="O1073" s="5"/>
      <c r="P1073" s="5"/>
      <c r="Q1073" s="5"/>
      <c r="R1073" s="5"/>
      <c r="S1073" s="5"/>
      <c r="T1073" s="6"/>
      <c r="U1073" s="1"/>
      <c r="V1073" s="1"/>
      <c r="W1073" s="1"/>
      <c r="X1073" s="1"/>
      <c r="Y1073" s="1"/>
      <c r="Z1073" s="1"/>
      <c r="AA1073" s="1"/>
      <c r="AB1073" s="1"/>
    </row>
    <row r="1074" spans="1:28">
      <c r="A1074" s="261"/>
      <c r="B1074" s="261"/>
      <c r="C1074" s="115"/>
      <c r="D1074" s="1"/>
      <c r="E1074" s="1"/>
      <c r="F1074" s="1"/>
      <c r="G1074" s="1"/>
      <c r="H1074" s="1"/>
      <c r="I1074" s="1"/>
      <c r="J1074" s="1"/>
      <c r="K1074" s="1"/>
      <c r="L1074" s="2"/>
      <c r="M1074" s="2"/>
      <c r="N1074" s="2"/>
      <c r="O1074" s="2"/>
      <c r="P1074" s="2"/>
      <c r="Q1074" s="2"/>
      <c r="R1074" s="2"/>
      <c r="S1074" s="2"/>
      <c r="T1074" s="3"/>
      <c r="U1074" s="1"/>
      <c r="V1074" s="1"/>
      <c r="W1074" s="1"/>
      <c r="X1074" s="1"/>
      <c r="Y1074" s="1"/>
      <c r="Z1074" s="1"/>
      <c r="AA1074" s="1"/>
      <c r="AB1074" s="1"/>
    </row>
    <row r="1075" spans="1:28">
      <c r="A1075" s="261"/>
      <c r="B1075" s="261"/>
      <c r="C1075" s="115"/>
      <c r="D1075" s="1"/>
      <c r="E1075" s="1"/>
      <c r="F1075" s="1"/>
      <c r="G1075" s="1"/>
      <c r="H1075" s="1"/>
      <c r="I1075" s="1"/>
      <c r="J1075" s="1"/>
      <c r="K1075" s="1"/>
      <c r="L1075" s="2"/>
      <c r="M1075" s="2"/>
      <c r="N1075" s="2"/>
      <c r="O1075" s="2"/>
      <c r="P1075" s="2"/>
      <c r="Q1075" s="2"/>
      <c r="R1075" s="2"/>
      <c r="S1075" s="2"/>
      <c r="T1075" s="3"/>
      <c r="U1075" s="1"/>
      <c r="V1075" s="1"/>
      <c r="W1075" s="1"/>
      <c r="X1075" s="1"/>
      <c r="Y1075" s="1"/>
      <c r="Z1075" s="1"/>
      <c r="AA1075" s="1"/>
      <c r="AB1075" s="1"/>
    </row>
    <row r="1076" spans="1:28">
      <c r="A1076" s="260"/>
      <c r="B1076" s="260"/>
      <c r="C1076" s="38"/>
      <c r="D1076" s="4"/>
      <c r="E1076" s="4"/>
      <c r="F1076" s="4"/>
      <c r="G1076" s="4"/>
      <c r="H1076" s="4"/>
      <c r="I1076" s="4"/>
      <c r="J1076" s="4"/>
      <c r="K1076" s="4"/>
      <c r="L1076" s="5"/>
      <c r="M1076" s="5"/>
      <c r="N1076" s="5"/>
      <c r="O1076" s="5"/>
      <c r="P1076" s="5"/>
      <c r="Q1076" s="5"/>
      <c r="R1076" s="5"/>
      <c r="S1076" s="5"/>
      <c r="T1076" s="6"/>
      <c r="U1076" s="1"/>
      <c r="V1076" s="1"/>
      <c r="W1076" s="1"/>
      <c r="X1076" s="1"/>
      <c r="Y1076" s="1"/>
      <c r="Z1076" s="1"/>
      <c r="AA1076" s="1"/>
      <c r="AB1076" s="1"/>
    </row>
    <row r="1077" spans="1:28">
      <c r="A1077" s="261"/>
      <c r="B1077" s="261"/>
      <c r="C1077" s="115"/>
      <c r="D1077" s="1"/>
      <c r="E1077" s="1"/>
      <c r="F1077" s="1"/>
      <c r="G1077" s="1"/>
      <c r="H1077" s="1"/>
      <c r="I1077" s="1"/>
      <c r="J1077" s="1"/>
      <c r="K1077" s="1"/>
      <c r="L1077" s="2"/>
      <c r="M1077" s="2"/>
      <c r="N1077" s="2"/>
      <c r="O1077" s="2"/>
      <c r="P1077" s="2"/>
      <c r="Q1077" s="2"/>
      <c r="R1077" s="2"/>
      <c r="S1077" s="2"/>
      <c r="T1077" s="3"/>
      <c r="U1077" s="1"/>
      <c r="V1077" s="1"/>
      <c r="W1077" s="1"/>
      <c r="X1077" s="1"/>
      <c r="Y1077" s="1"/>
      <c r="Z1077" s="1"/>
      <c r="AA1077" s="1"/>
      <c r="AB1077" s="1"/>
    </row>
    <row r="1078" spans="1:28">
      <c r="A1078" s="261"/>
      <c r="B1078" s="261"/>
      <c r="C1078" s="115"/>
      <c r="D1078" s="1"/>
      <c r="E1078" s="1"/>
      <c r="F1078" s="1"/>
      <c r="G1078" s="1"/>
      <c r="H1078" s="1"/>
      <c r="I1078" s="1"/>
      <c r="J1078" s="1"/>
      <c r="K1078" s="1"/>
      <c r="L1078" s="2"/>
      <c r="M1078" s="2"/>
      <c r="N1078" s="2"/>
      <c r="O1078" s="2"/>
      <c r="P1078" s="2"/>
      <c r="Q1078" s="2"/>
      <c r="R1078" s="2"/>
      <c r="S1078" s="2"/>
      <c r="T1078" s="3"/>
      <c r="U1078" s="1"/>
      <c r="V1078" s="1"/>
      <c r="W1078" s="1"/>
      <c r="X1078" s="1"/>
      <c r="Y1078" s="1"/>
      <c r="Z1078" s="1"/>
      <c r="AA1078" s="1"/>
      <c r="AB1078" s="1"/>
    </row>
    <row r="1079" spans="1:28">
      <c r="A1079" s="261"/>
      <c r="B1079" s="261"/>
      <c r="C1079" s="115"/>
      <c r="D1079" s="1"/>
      <c r="E1079" s="1"/>
      <c r="F1079" s="1"/>
      <c r="G1079" s="1"/>
      <c r="H1079" s="1"/>
      <c r="I1079" s="1"/>
      <c r="J1079" s="1"/>
      <c r="K1079" s="1"/>
      <c r="L1079" s="2"/>
      <c r="M1079" s="2"/>
      <c r="N1079" s="2"/>
      <c r="O1079" s="2"/>
      <c r="P1079" s="2"/>
      <c r="Q1079" s="2"/>
      <c r="R1079" s="2"/>
      <c r="S1079" s="2"/>
      <c r="T1079" s="3"/>
      <c r="U1079" s="1"/>
      <c r="V1079" s="1"/>
      <c r="W1079" s="1"/>
      <c r="X1079" s="1"/>
      <c r="Y1079" s="1"/>
      <c r="Z1079" s="1"/>
      <c r="AA1079" s="1"/>
      <c r="AB1079" s="1"/>
    </row>
    <row r="1080" spans="1:28">
      <c r="A1080" s="261"/>
      <c r="B1080" s="261"/>
      <c r="C1080" s="115"/>
      <c r="D1080" s="1"/>
      <c r="E1080" s="1"/>
      <c r="F1080" s="1"/>
      <c r="G1080" s="1"/>
      <c r="H1080" s="1"/>
      <c r="I1080" s="1"/>
      <c r="J1080" s="1"/>
      <c r="K1080" s="1"/>
      <c r="L1080" s="2"/>
      <c r="M1080" s="2"/>
      <c r="N1080" s="2"/>
      <c r="O1080" s="2"/>
      <c r="P1080" s="2"/>
      <c r="Q1080" s="2"/>
      <c r="R1080" s="2"/>
      <c r="S1080" s="2"/>
      <c r="T1080" s="3"/>
      <c r="U1080" s="1"/>
      <c r="V1080" s="1"/>
      <c r="W1080" s="1"/>
      <c r="X1080" s="1"/>
      <c r="Y1080" s="1"/>
      <c r="Z1080" s="1"/>
      <c r="AA1080" s="1"/>
      <c r="AB1080" s="1"/>
    </row>
    <row r="1081" spans="1:28">
      <c r="A1081" s="261"/>
      <c r="B1081" s="261"/>
      <c r="C1081" s="115"/>
      <c r="D1081" s="1"/>
      <c r="E1081" s="1"/>
      <c r="F1081" s="1"/>
      <c r="G1081" s="1"/>
      <c r="H1081" s="1"/>
      <c r="I1081" s="1"/>
      <c r="J1081" s="1"/>
      <c r="K1081" s="1"/>
      <c r="L1081" s="2"/>
      <c r="M1081" s="2"/>
      <c r="N1081" s="2"/>
      <c r="O1081" s="2"/>
      <c r="P1081" s="2"/>
      <c r="Q1081" s="2"/>
      <c r="R1081" s="2"/>
      <c r="S1081" s="2"/>
      <c r="T1081" s="3"/>
      <c r="U1081" s="1"/>
      <c r="V1081" s="1"/>
      <c r="W1081" s="1"/>
      <c r="X1081" s="1"/>
      <c r="Y1081" s="1"/>
      <c r="Z1081" s="1"/>
      <c r="AA1081" s="1"/>
      <c r="AB1081" s="1"/>
    </row>
    <row r="1082" spans="1:28">
      <c r="A1082" s="261"/>
      <c r="B1082" s="261"/>
      <c r="C1082" s="115"/>
      <c r="D1082" s="1"/>
      <c r="E1082" s="1"/>
      <c r="F1082" s="1"/>
      <c r="G1082" s="1"/>
      <c r="H1082" s="1"/>
      <c r="I1082" s="1"/>
      <c r="J1082" s="1"/>
      <c r="K1082" s="1"/>
      <c r="L1082" s="2"/>
      <c r="M1082" s="2"/>
      <c r="N1082" s="2"/>
      <c r="O1082" s="2"/>
      <c r="P1082" s="2"/>
      <c r="Q1082" s="2"/>
      <c r="R1082" s="2"/>
      <c r="S1082" s="2"/>
      <c r="T1082" s="3"/>
      <c r="U1082" s="1"/>
      <c r="V1082" s="1"/>
      <c r="W1082" s="1"/>
      <c r="X1082" s="1"/>
      <c r="Y1082" s="1"/>
      <c r="Z1082" s="1"/>
      <c r="AA1082" s="1"/>
      <c r="AB1082" s="1"/>
    </row>
    <row r="1083" spans="1:28">
      <c r="A1083" s="261"/>
      <c r="B1083" s="261"/>
      <c r="C1083" s="115"/>
      <c r="D1083" s="1"/>
      <c r="E1083" s="1"/>
      <c r="F1083" s="1"/>
      <c r="G1083" s="1"/>
      <c r="H1083" s="1"/>
      <c r="I1083" s="1"/>
      <c r="J1083" s="1"/>
      <c r="K1083" s="1"/>
      <c r="L1083" s="2"/>
      <c r="M1083" s="2"/>
      <c r="N1083" s="2"/>
      <c r="O1083" s="2"/>
      <c r="P1083" s="2"/>
      <c r="Q1083" s="2"/>
      <c r="R1083" s="2"/>
      <c r="S1083" s="2"/>
      <c r="T1083" s="3"/>
      <c r="U1083" s="1"/>
      <c r="V1083" s="1"/>
      <c r="W1083" s="1"/>
      <c r="X1083" s="1"/>
      <c r="Y1083" s="1"/>
      <c r="Z1083" s="1"/>
      <c r="AA1083" s="1"/>
      <c r="AB1083" s="1"/>
    </row>
    <row r="1084" spans="1:28">
      <c r="A1084" s="261"/>
      <c r="B1084" s="261"/>
      <c r="C1084" s="115"/>
      <c r="D1084" s="1"/>
      <c r="E1084" s="1"/>
      <c r="F1084" s="1"/>
      <c r="G1084" s="1"/>
      <c r="H1084" s="1"/>
      <c r="I1084" s="1"/>
      <c r="J1084" s="1"/>
      <c r="K1084" s="1"/>
      <c r="L1084" s="2"/>
      <c r="M1084" s="2"/>
      <c r="N1084" s="2"/>
      <c r="O1084" s="2"/>
      <c r="P1084" s="2"/>
      <c r="Q1084" s="2"/>
      <c r="R1084" s="2"/>
      <c r="S1084" s="2"/>
      <c r="T1084" s="3"/>
      <c r="U1084" s="1"/>
      <c r="V1084" s="1"/>
      <c r="W1084" s="1"/>
      <c r="X1084" s="1"/>
      <c r="Y1084" s="1"/>
      <c r="Z1084" s="1"/>
      <c r="AA1084" s="1"/>
      <c r="AB1084" s="1"/>
    </row>
    <row r="1085" spans="1:28">
      <c r="A1085" s="261"/>
      <c r="B1085" s="261"/>
      <c r="C1085" s="115"/>
      <c r="D1085" s="1"/>
      <c r="E1085" s="1"/>
      <c r="F1085" s="1"/>
      <c r="G1085" s="1"/>
      <c r="H1085" s="1"/>
      <c r="I1085" s="1"/>
      <c r="J1085" s="1"/>
      <c r="K1085" s="1"/>
      <c r="L1085" s="2"/>
      <c r="M1085" s="2"/>
      <c r="N1085" s="2"/>
      <c r="O1085" s="2"/>
      <c r="P1085" s="2"/>
      <c r="Q1085" s="2"/>
      <c r="R1085" s="2"/>
      <c r="S1085" s="2"/>
      <c r="T1085" s="3"/>
      <c r="U1085" s="1"/>
      <c r="V1085" s="1"/>
      <c r="W1085" s="1"/>
      <c r="X1085" s="1"/>
      <c r="Y1085" s="1"/>
      <c r="Z1085" s="1"/>
      <c r="AA1085" s="1"/>
      <c r="AB1085" s="1"/>
    </row>
    <row r="1086" spans="1:28">
      <c r="A1086" s="261"/>
      <c r="B1086" s="261"/>
      <c r="C1086" s="115"/>
      <c r="D1086" s="1"/>
      <c r="E1086" s="1"/>
      <c r="F1086" s="1"/>
      <c r="G1086" s="1"/>
      <c r="H1086" s="1"/>
      <c r="I1086" s="1"/>
      <c r="J1086" s="1"/>
      <c r="K1086" s="1"/>
      <c r="L1086" s="2"/>
      <c r="M1086" s="2"/>
      <c r="N1086" s="2"/>
      <c r="O1086" s="2"/>
      <c r="P1086" s="2"/>
      <c r="Q1086" s="2"/>
      <c r="R1086" s="2"/>
      <c r="S1086" s="2"/>
      <c r="T1086" s="3"/>
      <c r="U1086" s="1"/>
      <c r="V1086" s="1"/>
      <c r="W1086" s="1"/>
      <c r="X1086" s="1"/>
      <c r="Y1086" s="1"/>
      <c r="Z1086" s="1"/>
      <c r="AA1086" s="1"/>
      <c r="AB1086" s="1"/>
    </row>
    <row r="1087" spans="1:28">
      <c r="A1087" s="261"/>
      <c r="B1087" s="261"/>
      <c r="C1087" s="115"/>
      <c r="D1087" s="1"/>
      <c r="E1087" s="1"/>
      <c r="F1087" s="1"/>
      <c r="G1087" s="1"/>
      <c r="H1087" s="1"/>
      <c r="I1087" s="1"/>
      <c r="J1087" s="1"/>
      <c r="K1087" s="1"/>
      <c r="L1087" s="2"/>
      <c r="M1087" s="2"/>
      <c r="N1087" s="2"/>
      <c r="O1087" s="2"/>
      <c r="P1087" s="2"/>
      <c r="Q1087" s="2"/>
      <c r="R1087" s="2"/>
      <c r="S1087" s="2"/>
      <c r="T1087" s="3"/>
      <c r="U1087" s="1"/>
      <c r="V1087" s="1"/>
      <c r="W1087" s="1"/>
      <c r="X1087" s="1"/>
      <c r="Y1087" s="1"/>
      <c r="Z1087" s="1"/>
      <c r="AA1087" s="1"/>
      <c r="AB1087" s="1"/>
    </row>
    <row r="1088" spans="1:28">
      <c r="A1088" s="261"/>
      <c r="B1088" s="261"/>
      <c r="C1088" s="115"/>
      <c r="D1088" s="1"/>
      <c r="E1088" s="1"/>
      <c r="F1088" s="1"/>
      <c r="G1088" s="1"/>
      <c r="H1088" s="1"/>
      <c r="I1088" s="1"/>
      <c r="J1088" s="1"/>
      <c r="K1088" s="1"/>
      <c r="L1088" s="2"/>
      <c r="M1088" s="2"/>
      <c r="N1088" s="2"/>
      <c r="O1088" s="2"/>
      <c r="P1088" s="2"/>
      <c r="Q1088" s="2"/>
      <c r="R1088" s="2"/>
      <c r="S1088" s="2"/>
      <c r="T1088" s="3"/>
      <c r="U1088" s="1"/>
      <c r="V1088" s="1"/>
      <c r="W1088" s="1"/>
      <c r="X1088" s="1"/>
      <c r="Y1088" s="1"/>
      <c r="Z1088" s="1"/>
      <c r="AA1088" s="1"/>
      <c r="AB1088" s="1"/>
    </row>
    <row r="1089" spans="1:28">
      <c r="A1089" s="260"/>
      <c r="B1089" s="260"/>
      <c r="C1089" s="38"/>
      <c r="D1089" s="4"/>
      <c r="E1089" s="4"/>
      <c r="F1089" s="4"/>
      <c r="G1089" s="4"/>
      <c r="H1089" s="4"/>
      <c r="I1089" s="4"/>
      <c r="J1089" s="4"/>
      <c r="K1089" s="4"/>
      <c r="L1089" s="5"/>
      <c r="M1089" s="5"/>
      <c r="N1089" s="5"/>
      <c r="O1089" s="5"/>
      <c r="P1089" s="5"/>
      <c r="Q1089" s="5"/>
      <c r="R1089" s="5"/>
      <c r="S1089" s="5"/>
      <c r="T1089" s="6"/>
      <c r="U1089" s="1"/>
      <c r="V1089" s="1"/>
      <c r="W1089" s="1"/>
      <c r="X1089" s="1"/>
      <c r="Y1089" s="1"/>
      <c r="Z1089" s="1"/>
      <c r="AA1089" s="1"/>
      <c r="AB1089" s="1"/>
    </row>
    <row r="1090" spans="1:28">
      <c r="A1090" s="260"/>
      <c r="B1090" s="260"/>
      <c r="C1090" s="38"/>
      <c r="D1090" s="4"/>
      <c r="E1090" s="4"/>
      <c r="F1090" s="4"/>
      <c r="G1090" s="4"/>
      <c r="H1090" s="4"/>
      <c r="I1090" s="4"/>
      <c r="J1090" s="4"/>
      <c r="K1090" s="4"/>
      <c r="L1090" s="5"/>
      <c r="M1090" s="5"/>
      <c r="N1090" s="5"/>
      <c r="O1090" s="5"/>
      <c r="P1090" s="5"/>
      <c r="Q1090" s="5"/>
      <c r="R1090" s="5"/>
      <c r="S1090" s="5"/>
      <c r="T1090" s="6"/>
      <c r="U1090" s="1"/>
      <c r="V1090" s="1"/>
      <c r="W1090" s="1"/>
      <c r="X1090" s="1"/>
      <c r="Y1090" s="1"/>
      <c r="Z1090" s="1"/>
      <c r="AA1090" s="1"/>
      <c r="AB1090" s="1"/>
    </row>
    <row r="1091" spans="1:28">
      <c r="A1091" s="260"/>
      <c r="B1091" s="260"/>
      <c r="C1091" s="38"/>
      <c r="D1091" s="4"/>
      <c r="E1091" s="4"/>
      <c r="F1091" s="4"/>
      <c r="G1091" s="4"/>
      <c r="H1091" s="4"/>
      <c r="I1091" s="4"/>
      <c r="J1091" s="4"/>
      <c r="K1091" s="4"/>
      <c r="L1091" s="5"/>
      <c r="M1091" s="5"/>
      <c r="N1091" s="5"/>
      <c r="O1091" s="5"/>
      <c r="P1091" s="5"/>
      <c r="Q1091" s="5"/>
      <c r="R1091" s="5"/>
      <c r="S1091" s="5"/>
      <c r="T1091" s="6"/>
      <c r="U1091" s="1"/>
      <c r="V1091" s="1"/>
      <c r="W1091" s="1"/>
      <c r="X1091" s="1"/>
      <c r="Y1091" s="1"/>
      <c r="Z1091" s="1"/>
      <c r="AA1091" s="1"/>
      <c r="AB1091" s="1"/>
    </row>
    <row r="1092" spans="1:28">
      <c r="A1092" s="260"/>
      <c r="B1092" s="260"/>
      <c r="C1092" s="38"/>
      <c r="D1092" s="4"/>
      <c r="E1092" s="4"/>
      <c r="F1092" s="4"/>
      <c r="G1092" s="4"/>
      <c r="H1092" s="4"/>
      <c r="I1092" s="4"/>
      <c r="J1092" s="4"/>
      <c r="K1092" s="4"/>
      <c r="L1092" s="5"/>
      <c r="M1092" s="5"/>
      <c r="N1092" s="5"/>
      <c r="O1092" s="5"/>
      <c r="P1092" s="5"/>
      <c r="Q1092" s="5"/>
      <c r="R1092" s="5"/>
      <c r="S1092" s="5"/>
      <c r="T1092" s="6"/>
      <c r="U1092" s="1"/>
      <c r="V1092" s="1"/>
      <c r="W1092" s="1"/>
      <c r="X1092" s="1"/>
      <c r="Y1092" s="1"/>
      <c r="Z1092" s="1"/>
      <c r="AA1092" s="1"/>
      <c r="AB1092" s="1"/>
    </row>
    <row r="1093" spans="1:28">
      <c r="A1093" s="261"/>
      <c r="B1093" s="261"/>
      <c r="C1093" s="115"/>
      <c r="D1093" s="1"/>
      <c r="E1093" s="1"/>
      <c r="F1093" s="1"/>
      <c r="G1093" s="1"/>
      <c r="H1093" s="1"/>
      <c r="I1093" s="1"/>
      <c r="J1093" s="1"/>
      <c r="K1093" s="1"/>
      <c r="L1093" s="2"/>
      <c r="M1093" s="2"/>
      <c r="N1093" s="2"/>
      <c r="O1093" s="2"/>
      <c r="P1093" s="2"/>
      <c r="Q1093" s="2"/>
      <c r="R1093" s="2"/>
      <c r="S1093" s="2"/>
      <c r="T1093" s="3"/>
      <c r="U1093" s="1"/>
      <c r="V1093" s="1"/>
      <c r="W1093" s="1"/>
      <c r="X1093" s="1"/>
      <c r="Y1093" s="1"/>
      <c r="Z1093" s="1"/>
      <c r="AA1093" s="1"/>
      <c r="AB1093" s="1"/>
    </row>
    <row r="1094" spans="1:28">
      <c r="A1094" s="260"/>
      <c r="B1094" s="260"/>
      <c r="C1094" s="38"/>
      <c r="D1094" s="4"/>
      <c r="E1094" s="4"/>
      <c r="F1094" s="4"/>
      <c r="G1094" s="4"/>
      <c r="H1094" s="4"/>
      <c r="I1094" s="4"/>
      <c r="J1094" s="4"/>
      <c r="K1094" s="4"/>
      <c r="L1094" s="5"/>
      <c r="M1094" s="5"/>
      <c r="N1094" s="5"/>
      <c r="O1094" s="5"/>
      <c r="P1094" s="5"/>
      <c r="Q1094" s="5"/>
      <c r="R1094" s="5"/>
      <c r="S1094" s="5"/>
      <c r="T1094" s="6"/>
      <c r="U1094" s="1"/>
      <c r="V1094" s="1"/>
      <c r="W1094" s="1"/>
      <c r="X1094" s="1"/>
      <c r="Y1094" s="1"/>
      <c r="Z1094" s="1"/>
      <c r="AA1094" s="1"/>
      <c r="AB1094" s="1"/>
    </row>
    <row r="1095" spans="1:28">
      <c r="A1095" s="260"/>
      <c r="B1095" s="260"/>
      <c r="C1095" s="38"/>
      <c r="D1095" s="4"/>
      <c r="E1095" s="4"/>
      <c r="F1095" s="4"/>
      <c r="G1095" s="4"/>
      <c r="H1095" s="4"/>
      <c r="I1095" s="4"/>
      <c r="J1095" s="4"/>
      <c r="K1095" s="4"/>
      <c r="L1095" s="5"/>
      <c r="M1095" s="5"/>
      <c r="N1095" s="5"/>
      <c r="O1095" s="5"/>
      <c r="P1095" s="5"/>
      <c r="Q1095" s="5"/>
      <c r="R1095" s="5"/>
      <c r="S1095" s="5"/>
      <c r="T1095" s="6"/>
      <c r="U1095" s="1"/>
      <c r="V1095" s="1"/>
      <c r="W1095" s="1"/>
      <c r="X1095" s="1"/>
      <c r="Y1095" s="1"/>
      <c r="Z1095" s="1"/>
      <c r="AA1095" s="1"/>
      <c r="AB1095" s="1"/>
    </row>
    <row r="1096" spans="1:28">
      <c r="A1096" s="260"/>
      <c r="B1096" s="260"/>
      <c r="C1096" s="38"/>
      <c r="D1096" s="4"/>
      <c r="E1096" s="4"/>
      <c r="F1096" s="4"/>
      <c r="G1096" s="4"/>
      <c r="H1096" s="4"/>
      <c r="I1096" s="4"/>
      <c r="J1096" s="4"/>
      <c r="K1096" s="4"/>
      <c r="L1096" s="5"/>
      <c r="M1096" s="5"/>
      <c r="N1096" s="5"/>
      <c r="O1096" s="5"/>
      <c r="P1096" s="5"/>
      <c r="Q1096" s="5"/>
      <c r="R1096" s="5"/>
      <c r="S1096" s="5"/>
      <c r="T1096" s="6"/>
      <c r="U1096" s="1"/>
      <c r="V1096" s="1"/>
      <c r="W1096" s="1"/>
      <c r="X1096" s="1"/>
      <c r="Y1096" s="1"/>
      <c r="Z1096" s="1"/>
      <c r="AA1096" s="1"/>
      <c r="AB1096" s="1"/>
    </row>
    <row r="1097" spans="1:28">
      <c r="A1097" s="261"/>
      <c r="B1097" s="261"/>
      <c r="C1097" s="115"/>
      <c r="D1097" s="1"/>
      <c r="E1097" s="1"/>
      <c r="F1097" s="1"/>
      <c r="G1097" s="1"/>
      <c r="H1097" s="1"/>
      <c r="I1097" s="1"/>
      <c r="J1097" s="1"/>
      <c r="K1097" s="1"/>
      <c r="L1097" s="2"/>
      <c r="M1097" s="2"/>
      <c r="N1097" s="2"/>
      <c r="O1097" s="2"/>
      <c r="P1097" s="2"/>
      <c r="Q1097" s="2"/>
      <c r="R1097" s="2"/>
      <c r="S1097" s="2"/>
      <c r="T1097" s="3"/>
      <c r="U1097" s="1"/>
      <c r="V1097" s="1"/>
      <c r="W1097" s="1"/>
      <c r="X1097" s="1"/>
      <c r="Y1097" s="1"/>
      <c r="Z1097" s="1"/>
      <c r="AA1097" s="1"/>
      <c r="AB1097" s="1"/>
    </row>
    <row r="1098" spans="1:28">
      <c r="A1098" s="261"/>
      <c r="B1098" s="261"/>
      <c r="C1098" s="115"/>
      <c r="D1098" s="1"/>
      <c r="E1098" s="1"/>
      <c r="F1098" s="1"/>
      <c r="G1098" s="1"/>
      <c r="H1098" s="1"/>
      <c r="I1098" s="1"/>
      <c r="J1098" s="1"/>
      <c r="K1098" s="1"/>
      <c r="L1098" s="2"/>
      <c r="M1098" s="2"/>
      <c r="N1098" s="2"/>
      <c r="O1098" s="2"/>
      <c r="P1098" s="2"/>
      <c r="Q1098" s="2"/>
      <c r="R1098" s="2"/>
      <c r="S1098" s="2"/>
      <c r="T1098" s="3"/>
      <c r="U1098" s="1"/>
      <c r="V1098" s="1"/>
      <c r="W1098" s="1"/>
      <c r="X1098" s="1"/>
      <c r="Y1098" s="1"/>
      <c r="Z1098" s="1"/>
      <c r="AA1098" s="1"/>
      <c r="AB1098" s="1"/>
    </row>
    <row r="1099" spans="1:28">
      <c r="A1099" s="261"/>
      <c r="B1099" s="261"/>
      <c r="C1099" s="115"/>
      <c r="D1099" s="1"/>
      <c r="E1099" s="1"/>
      <c r="F1099" s="1"/>
      <c r="G1099" s="1"/>
      <c r="H1099" s="1"/>
      <c r="I1099" s="1"/>
      <c r="J1099" s="1"/>
      <c r="K1099" s="1"/>
      <c r="L1099" s="2"/>
      <c r="M1099" s="2"/>
      <c r="N1099" s="2"/>
      <c r="O1099" s="2"/>
      <c r="P1099" s="2"/>
      <c r="Q1099" s="2"/>
      <c r="R1099" s="2"/>
      <c r="S1099" s="2"/>
      <c r="T1099" s="3"/>
      <c r="U1099" s="1"/>
      <c r="V1099" s="1"/>
      <c r="W1099" s="1"/>
      <c r="X1099" s="1"/>
      <c r="Y1099" s="1"/>
      <c r="Z1099" s="1"/>
      <c r="AA1099" s="1"/>
      <c r="AB1099" s="1"/>
    </row>
    <row r="1100" spans="1:28">
      <c r="A1100" s="261"/>
      <c r="B1100" s="261"/>
      <c r="C1100" s="115"/>
      <c r="D1100" s="1"/>
      <c r="E1100" s="1"/>
      <c r="F1100" s="1"/>
      <c r="G1100" s="1"/>
      <c r="H1100" s="1"/>
      <c r="I1100" s="1"/>
      <c r="J1100" s="1"/>
      <c r="K1100" s="1"/>
      <c r="L1100" s="2"/>
      <c r="M1100" s="2"/>
      <c r="N1100" s="2"/>
      <c r="O1100" s="2"/>
      <c r="P1100" s="2"/>
      <c r="Q1100" s="2"/>
      <c r="R1100" s="2"/>
      <c r="S1100" s="2"/>
      <c r="T1100" s="3"/>
      <c r="U1100" s="1"/>
      <c r="V1100" s="1"/>
      <c r="W1100" s="1"/>
      <c r="X1100" s="1"/>
      <c r="Y1100" s="1"/>
      <c r="Z1100" s="1"/>
      <c r="AA1100" s="1"/>
      <c r="AB1100" s="1"/>
    </row>
    <row r="1101" spans="1:28">
      <c r="A1101" s="261"/>
      <c r="B1101" s="261"/>
      <c r="C1101" s="115"/>
      <c r="D1101" s="1"/>
      <c r="E1101" s="1"/>
      <c r="F1101" s="1"/>
      <c r="G1101" s="1"/>
      <c r="H1101" s="1"/>
      <c r="I1101" s="1"/>
      <c r="J1101" s="1"/>
      <c r="K1101" s="1"/>
      <c r="L1101" s="2"/>
      <c r="M1101" s="2"/>
      <c r="N1101" s="2"/>
      <c r="O1101" s="2"/>
      <c r="P1101" s="2"/>
      <c r="Q1101" s="2"/>
      <c r="R1101" s="2"/>
      <c r="S1101" s="2"/>
      <c r="T1101" s="3"/>
      <c r="U1101" s="1"/>
      <c r="V1101" s="1"/>
      <c r="W1101" s="1"/>
      <c r="X1101" s="1"/>
      <c r="Y1101" s="1"/>
      <c r="Z1101" s="1"/>
      <c r="AA1101" s="1"/>
      <c r="AB1101" s="1"/>
    </row>
    <row r="1102" spans="1:28">
      <c r="A1102" s="261"/>
      <c r="B1102" s="261"/>
      <c r="C1102" s="115"/>
      <c r="D1102" s="1"/>
      <c r="E1102" s="1"/>
      <c r="F1102" s="1"/>
      <c r="G1102" s="1"/>
      <c r="H1102" s="1"/>
      <c r="I1102" s="1"/>
      <c r="J1102" s="1"/>
      <c r="K1102" s="1"/>
      <c r="L1102" s="2"/>
      <c r="M1102" s="2"/>
      <c r="N1102" s="2"/>
      <c r="O1102" s="2"/>
      <c r="P1102" s="2"/>
      <c r="Q1102" s="2"/>
      <c r="R1102" s="2"/>
      <c r="S1102" s="2"/>
      <c r="T1102" s="3"/>
      <c r="U1102" s="1"/>
      <c r="V1102" s="1"/>
      <c r="W1102" s="1"/>
      <c r="X1102" s="1"/>
      <c r="Y1102" s="1"/>
      <c r="Z1102" s="1"/>
      <c r="AA1102" s="1"/>
      <c r="AB1102" s="1"/>
    </row>
    <row r="1103" spans="1:28">
      <c r="A1103" s="261"/>
      <c r="B1103" s="261"/>
      <c r="C1103" s="115"/>
      <c r="D1103" s="1"/>
      <c r="E1103" s="1"/>
      <c r="F1103" s="1"/>
      <c r="G1103" s="1"/>
      <c r="H1103" s="1"/>
      <c r="I1103" s="1"/>
      <c r="J1103" s="1"/>
      <c r="K1103" s="1"/>
      <c r="L1103" s="2"/>
      <c r="M1103" s="2"/>
      <c r="N1103" s="2"/>
      <c r="O1103" s="2"/>
      <c r="P1103" s="2"/>
      <c r="Q1103" s="2"/>
      <c r="R1103" s="2"/>
      <c r="S1103" s="2"/>
      <c r="T1103" s="3"/>
      <c r="U1103" s="1"/>
      <c r="V1103" s="1"/>
      <c r="W1103" s="1"/>
      <c r="X1103" s="1"/>
      <c r="Y1103" s="1"/>
      <c r="Z1103" s="1"/>
      <c r="AA1103" s="1"/>
      <c r="AB1103" s="1"/>
    </row>
    <row r="1104" spans="1:28">
      <c r="A1104" s="261"/>
      <c r="B1104" s="261"/>
      <c r="C1104" s="115"/>
      <c r="D1104" s="1"/>
      <c r="E1104" s="1"/>
      <c r="F1104" s="1"/>
      <c r="G1104" s="1"/>
      <c r="H1104" s="1"/>
      <c r="I1104" s="1"/>
      <c r="J1104" s="1"/>
      <c r="K1104" s="1"/>
      <c r="L1104" s="2"/>
      <c r="M1104" s="2"/>
      <c r="N1104" s="2"/>
      <c r="O1104" s="2"/>
      <c r="P1104" s="2"/>
      <c r="Q1104" s="2"/>
      <c r="R1104" s="2"/>
      <c r="S1104" s="2"/>
      <c r="T1104" s="3"/>
      <c r="U1104" s="1"/>
      <c r="V1104" s="1"/>
      <c r="W1104" s="1"/>
      <c r="X1104" s="1"/>
      <c r="Y1104" s="1"/>
      <c r="Z1104" s="1"/>
      <c r="AA1104" s="1"/>
      <c r="AB1104" s="1"/>
    </row>
    <row r="1105" spans="1:28">
      <c r="A1105" s="261"/>
      <c r="B1105" s="261"/>
      <c r="C1105" s="115"/>
      <c r="D1105" s="1"/>
      <c r="E1105" s="1"/>
      <c r="F1105" s="1"/>
      <c r="G1105" s="1"/>
      <c r="H1105" s="1"/>
      <c r="I1105" s="1"/>
      <c r="J1105" s="1"/>
      <c r="K1105" s="1"/>
      <c r="L1105" s="2"/>
      <c r="M1105" s="2"/>
      <c r="N1105" s="2"/>
      <c r="O1105" s="2"/>
      <c r="P1105" s="2"/>
      <c r="Q1105" s="2"/>
      <c r="R1105" s="2"/>
      <c r="S1105" s="2"/>
      <c r="T1105" s="3"/>
      <c r="U1105" s="1"/>
      <c r="V1105" s="1"/>
      <c r="W1105" s="1"/>
      <c r="X1105" s="1"/>
      <c r="Y1105" s="1"/>
      <c r="Z1105" s="1"/>
      <c r="AA1105" s="1"/>
      <c r="AB1105" s="1"/>
    </row>
    <row r="1106" spans="1:28">
      <c r="A1106" s="261"/>
      <c r="B1106" s="261"/>
      <c r="C1106" s="115"/>
      <c r="D1106" s="1"/>
      <c r="E1106" s="1"/>
      <c r="F1106" s="1"/>
      <c r="G1106" s="1"/>
      <c r="H1106" s="1"/>
      <c r="I1106" s="1"/>
      <c r="J1106" s="1"/>
      <c r="K1106" s="1"/>
      <c r="L1106" s="2"/>
      <c r="M1106" s="2"/>
      <c r="N1106" s="2"/>
      <c r="O1106" s="2"/>
      <c r="P1106" s="2"/>
      <c r="Q1106" s="2"/>
      <c r="R1106" s="2"/>
      <c r="S1106" s="2"/>
      <c r="T1106" s="3"/>
      <c r="U1106" s="1"/>
      <c r="V1106" s="1"/>
      <c r="W1106" s="1"/>
      <c r="X1106" s="1"/>
      <c r="Y1106" s="1"/>
      <c r="Z1106" s="1"/>
      <c r="AA1106" s="1"/>
      <c r="AB1106" s="1"/>
    </row>
    <row r="1107" spans="1:28">
      <c r="A1107" s="261"/>
      <c r="B1107" s="261"/>
      <c r="C1107" s="115"/>
      <c r="D1107" s="1"/>
      <c r="E1107" s="1"/>
      <c r="F1107" s="1"/>
      <c r="G1107" s="1"/>
      <c r="H1107" s="1"/>
      <c r="I1107" s="1"/>
      <c r="J1107" s="1"/>
      <c r="K1107" s="1"/>
      <c r="L1107" s="2"/>
      <c r="M1107" s="2"/>
      <c r="N1107" s="2"/>
      <c r="O1107" s="2"/>
      <c r="P1107" s="2"/>
      <c r="Q1107" s="2"/>
      <c r="R1107" s="2"/>
      <c r="S1107" s="2"/>
      <c r="T1107" s="3"/>
      <c r="U1107" s="1"/>
      <c r="V1107" s="1"/>
      <c r="W1107" s="1"/>
      <c r="X1107" s="1"/>
      <c r="Y1107" s="1"/>
      <c r="Z1107" s="1"/>
      <c r="AA1107" s="1"/>
      <c r="AB1107" s="1"/>
    </row>
    <row r="1108" spans="1:28">
      <c r="A1108" s="261"/>
      <c r="B1108" s="261"/>
      <c r="C1108" s="115"/>
      <c r="D1108" s="1"/>
      <c r="E1108" s="1"/>
      <c r="F1108" s="1"/>
      <c r="G1108" s="1"/>
      <c r="H1108" s="1"/>
      <c r="I1108" s="1"/>
      <c r="J1108" s="1"/>
      <c r="K1108" s="1"/>
      <c r="L1108" s="2"/>
      <c r="M1108" s="2"/>
      <c r="N1108" s="2"/>
      <c r="O1108" s="2"/>
      <c r="P1108" s="2"/>
      <c r="Q1108" s="2"/>
      <c r="R1108" s="2"/>
      <c r="S1108" s="2"/>
      <c r="T1108" s="3"/>
      <c r="U1108" s="1"/>
      <c r="V1108" s="1"/>
      <c r="W1108" s="1"/>
      <c r="X1108" s="1"/>
      <c r="Y1108" s="1"/>
      <c r="Z1108" s="1"/>
      <c r="AA1108" s="1"/>
      <c r="AB1108" s="1"/>
    </row>
    <row r="1109" spans="1:28">
      <c r="A1109" s="261"/>
      <c r="B1109" s="261"/>
      <c r="C1109" s="115"/>
      <c r="D1109" s="1"/>
      <c r="E1109" s="1"/>
      <c r="F1109" s="1"/>
      <c r="G1109" s="1"/>
      <c r="H1109" s="1"/>
      <c r="I1109" s="1"/>
      <c r="J1109" s="1"/>
      <c r="K1109" s="1"/>
      <c r="L1109" s="2"/>
      <c r="M1109" s="2"/>
      <c r="N1109" s="2"/>
      <c r="O1109" s="2"/>
      <c r="P1109" s="2"/>
      <c r="Q1109" s="2"/>
      <c r="R1109" s="2"/>
      <c r="S1109" s="2"/>
      <c r="T1109" s="3"/>
      <c r="U1109" s="1"/>
      <c r="V1109" s="1"/>
      <c r="W1109" s="1"/>
      <c r="X1109" s="1"/>
      <c r="Y1109" s="1"/>
      <c r="Z1109" s="1"/>
      <c r="AA1109" s="1"/>
      <c r="AB1109" s="1"/>
    </row>
    <row r="1110" spans="1:28">
      <c r="A1110" s="261"/>
      <c r="B1110" s="261"/>
      <c r="C1110" s="115"/>
      <c r="D1110" s="1"/>
      <c r="E1110" s="1"/>
      <c r="F1110" s="1"/>
      <c r="G1110" s="1"/>
      <c r="H1110" s="1"/>
      <c r="I1110" s="1"/>
      <c r="J1110" s="1"/>
      <c r="K1110" s="1"/>
      <c r="L1110" s="2"/>
      <c r="M1110" s="2"/>
      <c r="N1110" s="2"/>
      <c r="O1110" s="2"/>
      <c r="P1110" s="2"/>
      <c r="Q1110" s="2"/>
      <c r="R1110" s="2"/>
      <c r="S1110" s="2"/>
      <c r="T1110" s="3"/>
      <c r="U1110" s="1"/>
      <c r="V1110" s="1"/>
      <c r="W1110" s="1"/>
      <c r="X1110" s="1"/>
      <c r="Y1110" s="1"/>
      <c r="Z1110" s="1"/>
      <c r="AA1110" s="1"/>
      <c r="AB1110" s="1"/>
    </row>
    <row r="1111" spans="1:28">
      <c r="A1111" s="261"/>
      <c r="B1111" s="261"/>
      <c r="C1111" s="115"/>
      <c r="D1111" s="1"/>
      <c r="E1111" s="1"/>
      <c r="F1111" s="1"/>
      <c r="G1111" s="1"/>
      <c r="H1111" s="1"/>
      <c r="I1111" s="1"/>
      <c r="J1111" s="1"/>
      <c r="K1111" s="1"/>
      <c r="L1111" s="2"/>
      <c r="M1111" s="2"/>
      <c r="N1111" s="2"/>
      <c r="O1111" s="2"/>
      <c r="P1111" s="2"/>
      <c r="Q1111" s="2"/>
      <c r="R1111" s="2"/>
      <c r="S1111" s="2"/>
      <c r="T1111" s="3"/>
      <c r="U1111" s="1"/>
      <c r="V1111" s="1"/>
      <c r="W1111" s="1"/>
      <c r="X1111" s="1"/>
      <c r="Y1111" s="1"/>
      <c r="Z1111" s="1"/>
      <c r="AA1111" s="1"/>
      <c r="AB1111" s="1"/>
    </row>
    <row r="1112" spans="1:28">
      <c r="A1112" s="261"/>
      <c r="B1112" s="261"/>
      <c r="C1112" s="115"/>
      <c r="D1112" s="1"/>
      <c r="E1112" s="1"/>
      <c r="F1112" s="1"/>
      <c r="G1112" s="1"/>
      <c r="H1112" s="1"/>
      <c r="I1112" s="1"/>
      <c r="J1112" s="1"/>
      <c r="K1112" s="1"/>
      <c r="L1112" s="2"/>
      <c r="M1112" s="2"/>
      <c r="N1112" s="2"/>
      <c r="O1112" s="2"/>
      <c r="P1112" s="2"/>
      <c r="Q1112" s="2"/>
      <c r="R1112" s="2"/>
      <c r="S1112" s="2"/>
      <c r="T1112" s="3"/>
      <c r="U1112" s="1"/>
      <c r="V1112" s="1"/>
      <c r="W1112" s="1"/>
      <c r="X1112" s="1"/>
      <c r="Y1112" s="1"/>
      <c r="Z1112" s="1"/>
      <c r="AA1112" s="1"/>
      <c r="AB1112" s="1"/>
    </row>
    <row r="1113" spans="1:28">
      <c r="A1113" s="261"/>
      <c r="B1113" s="261"/>
      <c r="C1113" s="115"/>
      <c r="D1113" s="1"/>
      <c r="E1113" s="1"/>
      <c r="F1113" s="1"/>
      <c r="G1113" s="1"/>
      <c r="H1113" s="1"/>
      <c r="I1113" s="1"/>
      <c r="J1113" s="1"/>
      <c r="K1113" s="1"/>
      <c r="L1113" s="2"/>
      <c r="M1113" s="2"/>
      <c r="N1113" s="2"/>
      <c r="O1113" s="2"/>
      <c r="P1113" s="2"/>
      <c r="Q1113" s="2"/>
      <c r="R1113" s="2"/>
      <c r="S1113" s="2"/>
      <c r="T1113" s="3"/>
      <c r="U1113" s="1"/>
      <c r="V1113" s="1"/>
      <c r="W1113" s="1"/>
      <c r="X1113" s="1"/>
      <c r="Y1113" s="1"/>
      <c r="Z1113" s="1"/>
      <c r="AA1113" s="1"/>
      <c r="AB1113" s="1"/>
    </row>
    <row r="1114" spans="1:28">
      <c r="A1114" s="261"/>
      <c r="B1114" s="261"/>
      <c r="C1114" s="115"/>
      <c r="D1114" s="1"/>
      <c r="E1114" s="1"/>
      <c r="F1114" s="1"/>
      <c r="G1114" s="1"/>
      <c r="H1114" s="1"/>
      <c r="I1114" s="1"/>
      <c r="J1114" s="1"/>
      <c r="K1114" s="1"/>
      <c r="L1114" s="2"/>
      <c r="M1114" s="2"/>
      <c r="N1114" s="2"/>
      <c r="O1114" s="2"/>
      <c r="P1114" s="2"/>
      <c r="Q1114" s="2"/>
      <c r="R1114" s="2"/>
      <c r="S1114" s="2"/>
      <c r="T1114" s="3"/>
      <c r="U1114" s="1"/>
      <c r="V1114" s="1"/>
      <c r="W1114" s="1"/>
      <c r="X1114" s="1"/>
      <c r="Y1114" s="1"/>
      <c r="Z1114" s="1"/>
      <c r="AA1114" s="1"/>
      <c r="AB1114" s="1"/>
    </row>
    <row r="1115" spans="1:28">
      <c r="A1115" s="261"/>
      <c r="B1115" s="261"/>
      <c r="C1115" s="115"/>
      <c r="D1115" s="1"/>
      <c r="E1115" s="1"/>
      <c r="F1115" s="1"/>
      <c r="G1115" s="1"/>
      <c r="H1115" s="1"/>
      <c r="I1115" s="1"/>
      <c r="J1115" s="1"/>
      <c r="K1115" s="1"/>
      <c r="L1115" s="2"/>
      <c r="M1115" s="2"/>
      <c r="N1115" s="2"/>
      <c r="O1115" s="2"/>
      <c r="P1115" s="2"/>
      <c r="Q1115" s="2"/>
      <c r="R1115" s="2"/>
      <c r="S1115" s="2"/>
      <c r="T1115" s="3"/>
      <c r="U1115" s="1"/>
      <c r="V1115" s="1"/>
      <c r="W1115" s="1"/>
      <c r="X1115" s="1"/>
      <c r="Y1115" s="1"/>
      <c r="Z1115" s="1"/>
      <c r="AA1115" s="1"/>
      <c r="AB1115" s="1"/>
    </row>
    <row r="1116" spans="1:28">
      <c r="A1116" s="261"/>
      <c r="B1116" s="261"/>
      <c r="C1116" s="115"/>
      <c r="D1116" s="1"/>
      <c r="E1116" s="1"/>
      <c r="F1116" s="1"/>
      <c r="G1116" s="1"/>
      <c r="H1116" s="1"/>
      <c r="I1116" s="1"/>
      <c r="J1116" s="1"/>
      <c r="K1116" s="1"/>
      <c r="L1116" s="2"/>
      <c r="M1116" s="2"/>
      <c r="N1116" s="2"/>
      <c r="O1116" s="2"/>
      <c r="P1116" s="2"/>
      <c r="Q1116" s="2"/>
      <c r="R1116" s="2"/>
      <c r="S1116" s="2"/>
      <c r="T1116" s="3"/>
      <c r="U1116" s="1"/>
      <c r="V1116" s="1"/>
      <c r="W1116" s="1"/>
      <c r="X1116" s="1"/>
      <c r="Y1116" s="1"/>
      <c r="Z1116" s="1"/>
      <c r="AA1116" s="1"/>
      <c r="AB1116" s="1"/>
    </row>
    <row r="1117" spans="1:28">
      <c r="A1117" s="261"/>
      <c r="B1117" s="261"/>
      <c r="C1117" s="115"/>
      <c r="D1117" s="1"/>
      <c r="E1117" s="1"/>
      <c r="F1117" s="1"/>
      <c r="G1117" s="1"/>
      <c r="H1117" s="1"/>
      <c r="I1117" s="1"/>
      <c r="J1117" s="1"/>
      <c r="K1117" s="1"/>
      <c r="L1117" s="2"/>
      <c r="M1117" s="2"/>
      <c r="N1117" s="2"/>
      <c r="O1117" s="2"/>
      <c r="P1117" s="2"/>
      <c r="Q1117" s="2"/>
      <c r="R1117" s="2"/>
      <c r="S1117" s="2"/>
      <c r="T1117" s="3"/>
      <c r="U1117" s="1"/>
      <c r="V1117" s="1"/>
      <c r="W1117" s="1"/>
      <c r="X1117" s="1"/>
      <c r="Y1117" s="1"/>
      <c r="Z1117" s="1"/>
      <c r="AA1117" s="1"/>
      <c r="AB1117" s="1"/>
    </row>
    <row r="1118" spans="1:28">
      <c r="A1118" s="261"/>
      <c r="B1118" s="261"/>
      <c r="C1118" s="115"/>
      <c r="D1118" s="1"/>
      <c r="E1118" s="1"/>
      <c r="F1118" s="1"/>
      <c r="G1118" s="1"/>
      <c r="H1118" s="1"/>
      <c r="I1118" s="1"/>
      <c r="J1118" s="1"/>
      <c r="K1118" s="1"/>
      <c r="L1118" s="2"/>
      <c r="M1118" s="2"/>
      <c r="N1118" s="2"/>
      <c r="O1118" s="2"/>
      <c r="P1118" s="2"/>
      <c r="Q1118" s="2"/>
      <c r="R1118" s="2"/>
      <c r="S1118" s="2"/>
      <c r="T1118" s="3"/>
      <c r="U1118" s="1"/>
      <c r="V1118" s="1"/>
      <c r="W1118" s="1"/>
      <c r="X1118" s="1"/>
      <c r="Y1118" s="1"/>
      <c r="Z1118" s="1"/>
      <c r="AA1118" s="1"/>
      <c r="AB1118" s="1"/>
    </row>
    <row r="1119" spans="1:28">
      <c r="A1119" s="261"/>
      <c r="B1119" s="261"/>
      <c r="C1119" s="115"/>
      <c r="D1119" s="1"/>
      <c r="E1119" s="1"/>
      <c r="F1119" s="1"/>
      <c r="G1119" s="1"/>
      <c r="H1119" s="1"/>
      <c r="I1119" s="1"/>
      <c r="J1119" s="1"/>
      <c r="K1119" s="1"/>
      <c r="L1119" s="2"/>
      <c r="M1119" s="2"/>
      <c r="N1119" s="2"/>
      <c r="O1119" s="2"/>
      <c r="P1119" s="2"/>
      <c r="Q1119" s="2"/>
      <c r="R1119" s="2"/>
      <c r="S1119" s="2"/>
      <c r="T1119" s="3"/>
      <c r="U1119" s="1"/>
      <c r="V1119" s="1"/>
      <c r="W1119" s="1"/>
      <c r="X1119" s="1"/>
      <c r="Y1119" s="1"/>
      <c r="Z1119" s="1"/>
      <c r="AA1119" s="1"/>
      <c r="AB1119" s="1"/>
    </row>
    <row r="1120" spans="1:28">
      <c r="A1120" s="261"/>
      <c r="B1120" s="261"/>
      <c r="C1120" s="115"/>
      <c r="D1120" s="1"/>
      <c r="E1120" s="1"/>
      <c r="F1120" s="1"/>
      <c r="G1120" s="1"/>
      <c r="H1120" s="1"/>
      <c r="I1120" s="1"/>
      <c r="J1120" s="1"/>
      <c r="K1120" s="1"/>
      <c r="L1120" s="2"/>
      <c r="M1120" s="2"/>
      <c r="N1120" s="2"/>
      <c r="O1120" s="2"/>
      <c r="P1120" s="2"/>
      <c r="Q1120" s="2"/>
      <c r="R1120" s="2"/>
      <c r="S1120" s="2"/>
      <c r="T1120" s="3"/>
      <c r="U1120" s="1"/>
      <c r="V1120" s="1"/>
      <c r="W1120" s="1"/>
      <c r="X1120" s="1"/>
      <c r="Y1120" s="1"/>
      <c r="Z1120" s="1"/>
      <c r="AA1120" s="1"/>
      <c r="AB1120" s="1"/>
    </row>
    <row r="1121" spans="1:28">
      <c r="A1121" s="261"/>
      <c r="B1121" s="261"/>
      <c r="C1121" s="115"/>
      <c r="D1121" s="1"/>
      <c r="E1121" s="1"/>
      <c r="F1121" s="1"/>
      <c r="G1121" s="1"/>
      <c r="H1121" s="1"/>
      <c r="I1121" s="1"/>
      <c r="J1121" s="1"/>
      <c r="K1121" s="1"/>
      <c r="L1121" s="2"/>
      <c r="M1121" s="2"/>
      <c r="N1121" s="2"/>
      <c r="O1121" s="2"/>
      <c r="P1121" s="2"/>
      <c r="Q1121" s="2"/>
      <c r="R1121" s="2"/>
      <c r="S1121" s="2"/>
      <c r="T1121" s="3"/>
      <c r="U1121" s="1"/>
      <c r="V1121" s="1"/>
      <c r="W1121" s="1"/>
      <c r="X1121" s="1"/>
      <c r="Y1121" s="1"/>
      <c r="Z1121" s="1"/>
      <c r="AA1121" s="1"/>
      <c r="AB1121" s="1"/>
    </row>
    <row r="1122" spans="1:28">
      <c r="A1122" s="261"/>
      <c r="B1122" s="261"/>
      <c r="C1122" s="115"/>
      <c r="D1122" s="1"/>
      <c r="E1122" s="1"/>
      <c r="F1122" s="1"/>
      <c r="G1122" s="1"/>
      <c r="H1122" s="1"/>
      <c r="I1122" s="1"/>
      <c r="J1122" s="1"/>
      <c r="K1122" s="1"/>
      <c r="L1122" s="2"/>
      <c r="M1122" s="2"/>
      <c r="N1122" s="2"/>
      <c r="O1122" s="2"/>
      <c r="P1122" s="2"/>
      <c r="Q1122" s="2"/>
      <c r="R1122" s="2"/>
      <c r="S1122" s="2"/>
      <c r="T1122" s="3"/>
      <c r="U1122" s="1"/>
      <c r="V1122" s="1"/>
      <c r="W1122" s="1"/>
      <c r="X1122" s="1"/>
      <c r="Y1122" s="1"/>
      <c r="Z1122" s="1"/>
      <c r="AA1122" s="1"/>
      <c r="AB1122" s="1"/>
    </row>
    <row r="1123" spans="1:28">
      <c r="A1123" s="261"/>
      <c r="B1123" s="261"/>
      <c r="C1123" s="115"/>
      <c r="D1123" s="1"/>
      <c r="E1123" s="1"/>
      <c r="F1123" s="1"/>
      <c r="G1123" s="1"/>
      <c r="H1123" s="1"/>
      <c r="I1123" s="1"/>
      <c r="J1123" s="1"/>
      <c r="K1123" s="1"/>
      <c r="L1123" s="2"/>
      <c r="M1123" s="2"/>
      <c r="N1123" s="2"/>
      <c r="O1123" s="2"/>
      <c r="P1123" s="2"/>
      <c r="Q1123" s="2"/>
      <c r="R1123" s="2"/>
      <c r="S1123" s="2"/>
      <c r="T1123" s="3"/>
      <c r="U1123" s="1"/>
      <c r="V1123" s="1"/>
      <c r="W1123" s="1"/>
      <c r="X1123" s="1"/>
      <c r="Y1123" s="1"/>
      <c r="Z1123" s="1"/>
      <c r="AA1123" s="1"/>
      <c r="AB1123" s="1"/>
    </row>
    <row r="1124" spans="1:28">
      <c r="A1124" s="261"/>
      <c r="B1124" s="261"/>
      <c r="C1124" s="115"/>
      <c r="D1124" s="1"/>
      <c r="E1124" s="1"/>
      <c r="F1124" s="1"/>
      <c r="G1124" s="1"/>
      <c r="H1124" s="1"/>
      <c r="I1124" s="1"/>
      <c r="J1124" s="1"/>
      <c r="K1124" s="1"/>
      <c r="L1124" s="2"/>
      <c r="M1124" s="2"/>
      <c r="N1124" s="2"/>
      <c r="O1124" s="2"/>
      <c r="P1124" s="2"/>
      <c r="Q1124" s="2"/>
      <c r="R1124" s="2"/>
      <c r="S1124" s="2"/>
      <c r="T1124" s="3"/>
      <c r="U1124" s="1"/>
      <c r="V1124" s="1"/>
      <c r="W1124" s="1"/>
      <c r="X1124" s="1"/>
      <c r="Y1124" s="1"/>
      <c r="Z1124" s="1"/>
      <c r="AA1124" s="1"/>
      <c r="AB1124" s="1"/>
    </row>
    <row r="1125" spans="1:28">
      <c r="A1125" s="261"/>
      <c r="B1125" s="261"/>
      <c r="C1125" s="115"/>
      <c r="D1125" s="1"/>
      <c r="E1125" s="1"/>
      <c r="F1125" s="1"/>
      <c r="G1125" s="1"/>
      <c r="H1125" s="1"/>
      <c r="I1125" s="1"/>
      <c r="J1125" s="1"/>
      <c r="K1125" s="1"/>
      <c r="L1125" s="2"/>
      <c r="M1125" s="2"/>
      <c r="N1125" s="2"/>
      <c r="O1125" s="2"/>
      <c r="P1125" s="2"/>
      <c r="Q1125" s="2"/>
      <c r="R1125" s="2"/>
      <c r="S1125" s="2"/>
      <c r="T1125" s="3"/>
      <c r="U1125" s="1"/>
      <c r="V1125" s="1"/>
      <c r="W1125" s="1"/>
      <c r="X1125" s="1"/>
      <c r="Y1125" s="1"/>
      <c r="Z1125" s="1"/>
      <c r="AA1125" s="1"/>
      <c r="AB1125" s="1"/>
    </row>
    <row r="1126" spans="1:28">
      <c r="A1126" s="261"/>
      <c r="B1126" s="261"/>
      <c r="C1126" s="115"/>
      <c r="D1126" s="1"/>
      <c r="E1126" s="1"/>
      <c r="F1126" s="1"/>
      <c r="G1126" s="1"/>
      <c r="H1126" s="1"/>
      <c r="I1126" s="1"/>
      <c r="J1126" s="1"/>
      <c r="K1126" s="1"/>
      <c r="L1126" s="2"/>
      <c r="M1126" s="2"/>
      <c r="N1126" s="2"/>
      <c r="O1126" s="2"/>
      <c r="P1126" s="2"/>
      <c r="Q1126" s="2"/>
      <c r="R1126" s="2"/>
      <c r="S1126" s="2"/>
      <c r="T1126" s="3"/>
      <c r="U1126" s="1"/>
      <c r="V1126" s="1"/>
      <c r="W1126" s="1"/>
      <c r="X1126" s="1"/>
      <c r="Y1126" s="1"/>
      <c r="Z1126" s="1"/>
      <c r="AA1126" s="1"/>
      <c r="AB1126" s="1"/>
    </row>
    <row r="1127" spans="1:28">
      <c r="A1127" s="261"/>
      <c r="B1127" s="261"/>
      <c r="C1127" s="115"/>
      <c r="D1127" s="1"/>
      <c r="E1127" s="1"/>
      <c r="F1127" s="1"/>
      <c r="G1127" s="1"/>
      <c r="H1127" s="1"/>
      <c r="I1127" s="1"/>
      <c r="J1127" s="1"/>
      <c r="K1127" s="1"/>
      <c r="L1127" s="2"/>
      <c r="M1127" s="2"/>
      <c r="N1127" s="2"/>
      <c r="O1127" s="2"/>
      <c r="P1127" s="2"/>
      <c r="Q1127" s="2"/>
      <c r="R1127" s="2"/>
      <c r="S1127" s="2"/>
      <c r="T1127" s="3"/>
      <c r="U1127" s="1"/>
      <c r="V1127" s="1"/>
      <c r="W1127" s="1"/>
      <c r="X1127" s="1"/>
      <c r="Y1127" s="1"/>
      <c r="Z1127" s="1"/>
      <c r="AA1127" s="1"/>
      <c r="AB1127" s="1"/>
    </row>
    <row r="1128" spans="1:28">
      <c r="A1128" s="261"/>
      <c r="B1128" s="261"/>
      <c r="C1128" s="115"/>
      <c r="D1128" s="1"/>
      <c r="E1128" s="1"/>
      <c r="F1128" s="1"/>
      <c r="G1128" s="1"/>
      <c r="H1128" s="1"/>
      <c r="I1128" s="1"/>
      <c r="J1128" s="1"/>
      <c r="K1128" s="1"/>
      <c r="L1128" s="2"/>
      <c r="M1128" s="2"/>
      <c r="N1128" s="2"/>
      <c r="O1128" s="2"/>
      <c r="P1128" s="2"/>
      <c r="Q1128" s="2"/>
      <c r="R1128" s="2"/>
      <c r="S1128" s="2"/>
      <c r="T1128" s="3"/>
      <c r="U1128" s="1"/>
      <c r="V1128" s="1"/>
      <c r="W1128" s="1"/>
      <c r="X1128" s="1"/>
      <c r="Y1128" s="1"/>
      <c r="Z1128" s="1"/>
      <c r="AA1128" s="1"/>
      <c r="AB1128" s="1"/>
    </row>
    <row r="1129" spans="1:28">
      <c r="A1129" s="261"/>
      <c r="B1129" s="261"/>
      <c r="C1129" s="115"/>
      <c r="D1129" s="1"/>
      <c r="E1129" s="1"/>
      <c r="F1129" s="1"/>
      <c r="G1129" s="1"/>
      <c r="H1129" s="1"/>
      <c r="I1129" s="1"/>
      <c r="J1129" s="1"/>
      <c r="K1129" s="1"/>
      <c r="L1129" s="2"/>
      <c r="M1129" s="2"/>
      <c r="N1129" s="2"/>
      <c r="O1129" s="2"/>
      <c r="P1129" s="2"/>
      <c r="Q1129" s="2"/>
      <c r="R1129" s="2"/>
      <c r="S1129" s="2"/>
      <c r="T1129" s="3"/>
      <c r="U1129" s="1"/>
      <c r="V1129" s="1"/>
      <c r="W1129" s="1"/>
      <c r="X1129" s="1"/>
      <c r="Y1129" s="1"/>
      <c r="Z1129" s="1"/>
      <c r="AA1129" s="1"/>
      <c r="AB1129" s="1"/>
    </row>
    <row r="1130" spans="1:28">
      <c r="A1130" s="261"/>
      <c r="B1130" s="261"/>
      <c r="C1130" s="115"/>
      <c r="D1130" s="1"/>
      <c r="E1130" s="1"/>
      <c r="F1130" s="1"/>
      <c r="G1130" s="1"/>
      <c r="H1130" s="1"/>
      <c r="I1130" s="1"/>
      <c r="J1130" s="1"/>
      <c r="K1130" s="1"/>
      <c r="L1130" s="2"/>
      <c r="M1130" s="2"/>
      <c r="N1130" s="2"/>
      <c r="O1130" s="2"/>
      <c r="P1130" s="2"/>
      <c r="Q1130" s="2"/>
      <c r="R1130" s="2"/>
      <c r="S1130" s="2"/>
      <c r="T1130" s="3"/>
      <c r="U1130" s="1"/>
      <c r="V1130" s="1"/>
      <c r="W1130" s="1"/>
      <c r="X1130" s="1"/>
      <c r="Y1130" s="1"/>
      <c r="Z1130" s="1"/>
      <c r="AA1130" s="1"/>
      <c r="AB1130" s="1"/>
    </row>
    <row r="1131" spans="1:28">
      <c r="A1131" s="261"/>
      <c r="B1131" s="261"/>
      <c r="C1131" s="115"/>
      <c r="D1131" s="1"/>
      <c r="E1131" s="1"/>
      <c r="F1131" s="1"/>
      <c r="G1131" s="1"/>
      <c r="H1131" s="1"/>
      <c r="I1131" s="1"/>
      <c r="J1131" s="1"/>
      <c r="K1131" s="1"/>
      <c r="L1131" s="2"/>
      <c r="M1131" s="2"/>
      <c r="N1131" s="2"/>
      <c r="O1131" s="2"/>
      <c r="P1131" s="2"/>
      <c r="Q1131" s="2"/>
      <c r="R1131" s="2"/>
      <c r="S1131" s="2"/>
      <c r="T1131" s="3"/>
      <c r="U1131" s="1"/>
      <c r="V1131" s="1"/>
      <c r="W1131" s="1"/>
      <c r="X1131" s="1"/>
      <c r="Y1131" s="1"/>
      <c r="Z1131" s="1"/>
      <c r="AA1131" s="1"/>
      <c r="AB1131" s="1"/>
    </row>
    <row r="1132" spans="1:28">
      <c r="A1132" s="261"/>
      <c r="B1132" s="261"/>
      <c r="C1132" s="115"/>
      <c r="D1132" s="1"/>
      <c r="E1132" s="1"/>
      <c r="F1132" s="1"/>
      <c r="G1132" s="1"/>
      <c r="H1132" s="1"/>
      <c r="I1132" s="1"/>
      <c r="J1132" s="1"/>
      <c r="K1132" s="1"/>
      <c r="L1132" s="2"/>
      <c r="M1132" s="2"/>
      <c r="N1132" s="2"/>
      <c r="O1132" s="2"/>
      <c r="P1132" s="2"/>
      <c r="Q1132" s="2"/>
      <c r="R1132" s="2"/>
      <c r="S1132" s="2"/>
      <c r="T1132" s="3"/>
      <c r="U1132" s="1"/>
      <c r="V1132" s="1"/>
      <c r="W1132" s="1"/>
      <c r="X1132" s="1"/>
      <c r="Y1132" s="1"/>
      <c r="Z1132" s="1"/>
      <c r="AA1132" s="1"/>
      <c r="AB1132" s="1"/>
    </row>
    <row r="1133" spans="1:28">
      <c r="A1133" s="261"/>
      <c r="B1133" s="261"/>
      <c r="C1133" s="115"/>
      <c r="D1133" s="1"/>
      <c r="E1133" s="1"/>
      <c r="F1133" s="1"/>
      <c r="G1133" s="1"/>
      <c r="H1133" s="1"/>
      <c r="I1133" s="1"/>
      <c r="J1133" s="1"/>
      <c r="K1133" s="1"/>
      <c r="L1133" s="2"/>
      <c r="M1133" s="2"/>
      <c r="N1133" s="2"/>
      <c r="O1133" s="2"/>
      <c r="P1133" s="2"/>
      <c r="Q1133" s="2"/>
      <c r="R1133" s="2"/>
      <c r="S1133" s="2"/>
      <c r="T1133" s="3"/>
      <c r="U1133" s="1"/>
      <c r="V1133" s="1"/>
      <c r="W1133" s="1"/>
      <c r="X1133" s="1"/>
      <c r="Y1133" s="1"/>
      <c r="Z1133" s="1"/>
      <c r="AA1133" s="1"/>
      <c r="AB1133" s="1"/>
    </row>
    <row r="1134" spans="1:28">
      <c r="A1134" s="261"/>
      <c r="B1134" s="261"/>
      <c r="C1134" s="115"/>
      <c r="D1134" s="1"/>
      <c r="E1134" s="1"/>
      <c r="F1134" s="1"/>
      <c r="G1134" s="1"/>
      <c r="H1134" s="1"/>
      <c r="I1134" s="1"/>
      <c r="J1134" s="1"/>
      <c r="K1134" s="1"/>
      <c r="L1134" s="2"/>
      <c r="M1134" s="2"/>
      <c r="N1134" s="2"/>
      <c r="O1134" s="2"/>
      <c r="P1134" s="2"/>
      <c r="Q1134" s="2"/>
      <c r="R1134" s="2"/>
      <c r="S1134" s="2"/>
      <c r="T1134" s="3"/>
      <c r="U1134" s="1"/>
      <c r="V1134" s="1"/>
      <c r="W1134" s="1"/>
      <c r="X1134" s="1"/>
      <c r="Y1134" s="1"/>
      <c r="Z1134" s="1"/>
      <c r="AA1134" s="1"/>
      <c r="AB1134" s="1"/>
    </row>
    <row r="1135" spans="1:28">
      <c r="A1135" s="261"/>
      <c r="B1135" s="261"/>
      <c r="C1135" s="115"/>
      <c r="D1135" s="1"/>
      <c r="E1135" s="1"/>
      <c r="F1135" s="1"/>
      <c r="G1135" s="1"/>
      <c r="H1135" s="1"/>
      <c r="I1135" s="1"/>
      <c r="J1135" s="1"/>
      <c r="K1135" s="1"/>
      <c r="L1135" s="2"/>
      <c r="M1135" s="2"/>
      <c r="N1135" s="2"/>
      <c r="O1135" s="2"/>
      <c r="P1135" s="2"/>
      <c r="Q1135" s="2"/>
      <c r="R1135" s="2"/>
      <c r="S1135" s="2"/>
      <c r="T1135" s="3"/>
      <c r="U1135" s="1"/>
      <c r="V1135" s="1"/>
      <c r="W1135" s="1"/>
      <c r="X1135" s="1"/>
      <c r="Y1135" s="1"/>
      <c r="Z1135" s="1"/>
      <c r="AA1135" s="1"/>
      <c r="AB1135" s="1"/>
    </row>
    <row r="1136" spans="1:28">
      <c r="A1136" s="261"/>
      <c r="B1136" s="261"/>
      <c r="C1136" s="115"/>
      <c r="D1136" s="1"/>
      <c r="E1136" s="1"/>
      <c r="F1136" s="1"/>
      <c r="G1136" s="1"/>
      <c r="H1136" s="1"/>
      <c r="I1136" s="1"/>
      <c r="J1136" s="1"/>
      <c r="K1136" s="1"/>
      <c r="L1136" s="2"/>
      <c r="M1136" s="2"/>
      <c r="N1136" s="2"/>
      <c r="O1136" s="2"/>
      <c r="P1136" s="2"/>
      <c r="Q1136" s="2"/>
      <c r="R1136" s="2"/>
      <c r="S1136" s="2"/>
      <c r="T1136" s="3"/>
      <c r="U1136" s="1"/>
      <c r="V1136" s="1"/>
      <c r="W1136" s="1"/>
      <c r="X1136" s="1"/>
      <c r="Y1136" s="1"/>
      <c r="Z1136" s="1"/>
      <c r="AA1136" s="1"/>
      <c r="AB1136" s="1"/>
    </row>
    <row r="1137" spans="1:28">
      <c r="A1137" s="261"/>
      <c r="B1137" s="261"/>
      <c r="C1137" s="115"/>
      <c r="D1137" s="1"/>
      <c r="E1137" s="1"/>
      <c r="F1137" s="1"/>
      <c r="G1137" s="1"/>
      <c r="H1137" s="1"/>
      <c r="I1137" s="1"/>
      <c r="J1137" s="1"/>
      <c r="K1137" s="1"/>
      <c r="L1137" s="2"/>
      <c r="M1137" s="2"/>
      <c r="N1137" s="2"/>
      <c r="O1137" s="2"/>
      <c r="P1137" s="2"/>
      <c r="Q1137" s="2"/>
      <c r="R1137" s="2"/>
      <c r="S1137" s="2"/>
      <c r="T1137" s="3"/>
      <c r="U1137" s="1"/>
      <c r="V1137" s="1"/>
      <c r="W1137" s="1"/>
      <c r="X1137" s="1"/>
      <c r="Y1137" s="1"/>
      <c r="Z1137" s="1"/>
      <c r="AA1137" s="1"/>
      <c r="AB1137" s="1"/>
    </row>
    <row r="1138" spans="1:28">
      <c r="A1138" s="261"/>
      <c r="B1138" s="261"/>
      <c r="C1138" s="115"/>
      <c r="D1138" s="1"/>
      <c r="E1138" s="1"/>
      <c r="F1138" s="1"/>
      <c r="G1138" s="1"/>
      <c r="H1138" s="1"/>
      <c r="I1138" s="1"/>
      <c r="J1138" s="1"/>
      <c r="K1138" s="1"/>
      <c r="L1138" s="2"/>
      <c r="M1138" s="2"/>
      <c r="N1138" s="2"/>
      <c r="O1138" s="2"/>
      <c r="P1138" s="2"/>
      <c r="Q1138" s="2"/>
      <c r="R1138" s="2"/>
      <c r="S1138" s="2"/>
      <c r="T1138" s="3"/>
      <c r="U1138" s="1"/>
      <c r="V1138" s="1"/>
      <c r="W1138" s="1"/>
      <c r="X1138" s="1"/>
      <c r="Y1138" s="1"/>
      <c r="Z1138" s="1"/>
      <c r="AA1138" s="1"/>
      <c r="AB1138" s="1"/>
    </row>
    <row r="1139" spans="1:28">
      <c r="A1139" s="261"/>
      <c r="B1139" s="261"/>
      <c r="C1139" s="115"/>
      <c r="D1139" s="1"/>
      <c r="E1139" s="1"/>
      <c r="F1139" s="1"/>
      <c r="G1139" s="1"/>
      <c r="H1139" s="1"/>
      <c r="I1139" s="1"/>
      <c r="J1139" s="1"/>
      <c r="K1139" s="1"/>
      <c r="L1139" s="2"/>
      <c r="M1139" s="2"/>
      <c r="N1139" s="2"/>
      <c r="O1139" s="2"/>
      <c r="P1139" s="2"/>
      <c r="Q1139" s="2"/>
      <c r="R1139" s="2"/>
      <c r="S1139" s="2"/>
      <c r="T1139" s="3"/>
      <c r="U1139" s="1"/>
      <c r="V1139" s="1"/>
      <c r="W1139" s="1"/>
      <c r="X1139" s="1"/>
      <c r="Y1139" s="1"/>
      <c r="Z1139" s="1"/>
      <c r="AA1139" s="1"/>
      <c r="AB1139" s="1"/>
    </row>
    <row r="1140" spans="1:28">
      <c r="A1140" s="261"/>
      <c r="B1140" s="261"/>
      <c r="C1140" s="115"/>
      <c r="D1140" s="1"/>
      <c r="E1140" s="1"/>
      <c r="F1140" s="1"/>
      <c r="G1140" s="1"/>
      <c r="H1140" s="1"/>
      <c r="I1140" s="1"/>
      <c r="J1140" s="1"/>
      <c r="K1140" s="1"/>
      <c r="L1140" s="2"/>
      <c r="M1140" s="2"/>
      <c r="N1140" s="2"/>
      <c r="O1140" s="2"/>
      <c r="P1140" s="2"/>
      <c r="Q1140" s="2"/>
      <c r="R1140" s="2"/>
      <c r="S1140" s="2"/>
      <c r="T1140" s="3"/>
      <c r="U1140" s="1"/>
      <c r="V1140" s="1"/>
      <c r="W1140" s="1"/>
      <c r="X1140" s="1"/>
      <c r="Y1140" s="1"/>
      <c r="Z1140" s="1"/>
      <c r="AA1140" s="1"/>
      <c r="AB1140" s="1"/>
    </row>
    <row r="1141" spans="1:28">
      <c r="A1141" s="261"/>
      <c r="B1141" s="261"/>
      <c r="C1141" s="115"/>
      <c r="D1141" s="1"/>
      <c r="E1141" s="1"/>
      <c r="F1141" s="1"/>
      <c r="G1141" s="1"/>
      <c r="H1141" s="1"/>
      <c r="I1141" s="1"/>
      <c r="J1141" s="1"/>
      <c r="K1141" s="1"/>
      <c r="L1141" s="2"/>
      <c r="M1141" s="2"/>
      <c r="N1141" s="2"/>
      <c r="O1141" s="2"/>
      <c r="P1141" s="2"/>
      <c r="Q1141" s="2"/>
      <c r="R1141" s="2"/>
      <c r="S1141" s="2"/>
      <c r="T1141" s="3"/>
      <c r="U1141" s="1"/>
      <c r="V1141" s="1"/>
      <c r="W1141" s="1"/>
      <c r="X1141" s="1"/>
      <c r="Y1141" s="1"/>
      <c r="Z1141" s="1"/>
      <c r="AA1141" s="1"/>
      <c r="AB1141" s="1"/>
    </row>
    <row r="1142" spans="1:28">
      <c r="A1142" s="261"/>
      <c r="B1142" s="261"/>
      <c r="C1142" s="115"/>
      <c r="D1142" s="1"/>
      <c r="E1142" s="1"/>
      <c r="F1142" s="1"/>
      <c r="G1142" s="1"/>
      <c r="H1142" s="1"/>
      <c r="I1142" s="1"/>
      <c r="J1142" s="1"/>
      <c r="K1142" s="1"/>
      <c r="L1142" s="2"/>
      <c r="M1142" s="2"/>
      <c r="N1142" s="2"/>
      <c r="O1142" s="2"/>
      <c r="P1142" s="2"/>
      <c r="Q1142" s="2"/>
      <c r="R1142" s="2"/>
      <c r="S1142" s="2"/>
      <c r="T1142" s="3"/>
      <c r="U1142" s="1"/>
      <c r="V1142" s="1"/>
      <c r="W1142" s="1"/>
      <c r="X1142" s="1"/>
      <c r="Y1142" s="1"/>
      <c r="Z1142" s="1"/>
      <c r="AA1142" s="1"/>
      <c r="AB1142" s="1"/>
    </row>
    <row r="1143" spans="1:28">
      <c r="A1143" s="261"/>
      <c r="B1143" s="261"/>
      <c r="C1143" s="115"/>
      <c r="D1143" s="1"/>
      <c r="E1143" s="1"/>
      <c r="F1143" s="1"/>
      <c r="G1143" s="1"/>
      <c r="H1143" s="1"/>
      <c r="I1143" s="1"/>
      <c r="J1143" s="1"/>
      <c r="K1143" s="1"/>
      <c r="L1143" s="2"/>
      <c r="M1143" s="2"/>
      <c r="N1143" s="2"/>
      <c r="O1143" s="2"/>
      <c r="P1143" s="2"/>
      <c r="Q1143" s="2"/>
      <c r="R1143" s="2"/>
      <c r="S1143" s="2"/>
      <c r="T1143" s="3"/>
      <c r="U1143" s="1"/>
      <c r="V1143" s="1"/>
      <c r="W1143" s="1"/>
      <c r="X1143" s="1"/>
      <c r="Y1143" s="1"/>
      <c r="Z1143" s="1"/>
      <c r="AA1143" s="1"/>
      <c r="AB1143" s="1"/>
    </row>
    <row r="1144" spans="1:28">
      <c r="A1144" s="261"/>
      <c r="B1144" s="261"/>
      <c r="C1144" s="115"/>
      <c r="D1144" s="1"/>
      <c r="E1144" s="1"/>
      <c r="F1144" s="1"/>
      <c r="G1144" s="1"/>
      <c r="H1144" s="1"/>
      <c r="I1144" s="1"/>
      <c r="J1144" s="1"/>
      <c r="K1144" s="1"/>
      <c r="L1144" s="2"/>
      <c r="M1144" s="2"/>
      <c r="N1144" s="2"/>
      <c r="O1144" s="2"/>
      <c r="P1144" s="2"/>
      <c r="Q1144" s="2"/>
      <c r="R1144" s="2"/>
      <c r="S1144" s="2"/>
      <c r="T1144" s="3"/>
      <c r="U1144" s="1"/>
      <c r="V1144" s="1"/>
      <c r="W1144" s="1"/>
      <c r="X1144" s="1"/>
      <c r="Y1144" s="1"/>
      <c r="Z1144" s="1"/>
      <c r="AA1144" s="1"/>
      <c r="AB1144" s="1"/>
    </row>
    <row r="1145" spans="1:28">
      <c r="A1145" s="261"/>
      <c r="B1145" s="261"/>
      <c r="C1145" s="115"/>
      <c r="D1145" s="1"/>
      <c r="E1145" s="1"/>
      <c r="F1145" s="1"/>
      <c r="G1145" s="1"/>
      <c r="H1145" s="1"/>
      <c r="I1145" s="1"/>
      <c r="J1145" s="1"/>
      <c r="K1145" s="1"/>
      <c r="L1145" s="2"/>
      <c r="M1145" s="2"/>
      <c r="N1145" s="2"/>
      <c r="O1145" s="2"/>
      <c r="P1145" s="2"/>
      <c r="Q1145" s="2"/>
      <c r="R1145" s="2"/>
      <c r="S1145" s="2"/>
      <c r="T1145" s="3"/>
      <c r="U1145" s="1"/>
      <c r="V1145" s="1"/>
      <c r="W1145" s="1"/>
      <c r="X1145" s="1"/>
      <c r="Y1145" s="1"/>
      <c r="Z1145" s="1"/>
      <c r="AA1145" s="1"/>
      <c r="AB1145" s="1"/>
    </row>
    <row r="1146" spans="1:28">
      <c r="A1146" s="261"/>
      <c r="B1146" s="261"/>
      <c r="C1146" s="115"/>
      <c r="D1146" s="1"/>
      <c r="E1146" s="1"/>
      <c r="F1146" s="1"/>
      <c r="G1146" s="1"/>
      <c r="H1146" s="1"/>
      <c r="I1146" s="1"/>
      <c r="J1146" s="1"/>
      <c r="K1146" s="1"/>
      <c r="L1146" s="2"/>
      <c r="M1146" s="2"/>
      <c r="N1146" s="2"/>
      <c r="O1146" s="2"/>
      <c r="P1146" s="2"/>
      <c r="Q1146" s="2"/>
      <c r="R1146" s="2"/>
      <c r="S1146" s="2"/>
      <c r="T1146" s="3"/>
      <c r="U1146" s="1"/>
      <c r="V1146" s="1"/>
      <c r="W1146" s="1"/>
      <c r="X1146" s="1"/>
      <c r="Y1146" s="1"/>
      <c r="Z1146" s="1"/>
      <c r="AA1146" s="1"/>
      <c r="AB1146" s="1"/>
    </row>
    <row r="1147" spans="1:28">
      <c r="A1147" s="261"/>
      <c r="B1147" s="261"/>
      <c r="C1147" s="115"/>
      <c r="D1147" s="1"/>
      <c r="E1147" s="1"/>
      <c r="F1147" s="1"/>
      <c r="G1147" s="1"/>
      <c r="H1147" s="1"/>
      <c r="I1147" s="1"/>
      <c r="J1147" s="1"/>
      <c r="K1147" s="1"/>
      <c r="L1147" s="2"/>
      <c r="M1147" s="2"/>
      <c r="N1147" s="2"/>
      <c r="O1147" s="2"/>
      <c r="P1147" s="2"/>
      <c r="Q1147" s="2"/>
      <c r="R1147" s="2"/>
      <c r="S1147" s="2"/>
      <c r="T1147" s="3"/>
      <c r="U1147" s="1"/>
      <c r="V1147" s="1"/>
      <c r="W1147" s="1"/>
      <c r="X1147" s="1"/>
      <c r="Y1147" s="1"/>
      <c r="Z1147" s="1"/>
      <c r="AA1147" s="1"/>
      <c r="AB1147" s="1"/>
    </row>
    <row r="1148" spans="1:28">
      <c r="A1148" s="261"/>
      <c r="B1148" s="261"/>
      <c r="C1148" s="115"/>
      <c r="D1148" s="1"/>
      <c r="E1148" s="1"/>
      <c r="F1148" s="1"/>
      <c r="G1148" s="1"/>
      <c r="H1148" s="1"/>
      <c r="I1148" s="1"/>
      <c r="J1148" s="1"/>
      <c r="K1148" s="1"/>
      <c r="L1148" s="2"/>
      <c r="M1148" s="2"/>
      <c r="N1148" s="2"/>
      <c r="O1148" s="2"/>
      <c r="P1148" s="2"/>
      <c r="Q1148" s="2"/>
      <c r="R1148" s="2"/>
      <c r="S1148" s="2"/>
      <c r="T1148" s="3"/>
      <c r="U1148" s="1"/>
      <c r="V1148" s="1"/>
      <c r="W1148" s="1"/>
      <c r="X1148" s="1"/>
      <c r="Y1148" s="1"/>
      <c r="Z1148" s="1"/>
      <c r="AA1148" s="1"/>
      <c r="AB1148" s="1"/>
    </row>
    <row r="1149" spans="1:28">
      <c r="A1149" s="261"/>
      <c r="B1149" s="261"/>
      <c r="C1149" s="115"/>
      <c r="D1149" s="1"/>
      <c r="E1149" s="1"/>
      <c r="F1149" s="1"/>
      <c r="G1149" s="1"/>
      <c r="H1149" s="1"/>
      <c r="I1149" s="1"/>
      <c r="J1149" s="1"/>
      <c r="K1149" s="1"/>
      <c r="L1149" s="2"/>
      <c r="M1149" s="2"/>
      <c r="N1149" s="2"/>
      <c r="O1149" s="2"/>
      <c r="P1149" s="2"/>
      <c r="Q1149" s="2"/>
      <c r="R1149" s="2"/>
      <c r="S1149" s="2"/>
      <c r="T1149" s="3"/>
      <c r="U1149" s="1"/>
      <c r="V1149" s="1"/>
      <c r="W1149" s="1"/>
      <c r="X1149" s="1"/>
      <c r="Y1149" s="1"/>
      <c r="Z1149" s="1"/>
      <c r="AA1149" s="1"/>
      <c r="AB1149" s="1"/>
    </row>
    <row r="1150" spans="1:28">
      <c r="A1150" s="261"/>
      <c r="B1150" s="261"/>
      <c r="C1150" s="115"/>
      <c r="D1150" s="1"/>
      <c r="E1150" s="1"/>
      <c r="F1150" s="1"/>
      <c r="G1150" s="1"/>
      <c r="H1150" s="1"/>
      <c r="I1150" s="1"/>
      <c r="J1150" s="1"/>
      <c r="K1150" s="1"/>
      <c r="L1150" s="2"/>
      <c r="M1150" s="2"/>
      <c r="N1150" s="2"/>
      <c r="O1150" s="2"/>
      <c r="P1150" s="2"/>
      <c r="Q1150" s="2"/>
      <c r="R1150" s="2"/>
      <c r="S1150" s="2"/>
      <c r="T1150" s="3"/>
      <c r="U1150" s="1"/>
      <c r="V1150" s="1"/>
      <c r="W1150" s="1"/>
      <c r="X1150" s="1"/>
      <c r="Y1150" s="1"/>
      <c r="Z1150" s="1"/>
      <c r="AA1150" s="1"/>
      <c r="AB1150" s="1"/>
    </row>
    <row r="1151" spans="1:28">
      <c r="A1151" s="261"/>
      <c r="B1151" s="261"/>
      <c r="C1151" s="115"/>
      <c r="D1151" s="1"/>
      <c r="E1151" s="1"/>
      <c r="F1151" s="1"/>
      <c r="G1151" s="1"/>
      <c r="H1151" s="1"/>
      <c r="I1151" s="1"/>
      <c r="J1151" s="1"/>
      <c r="K1151" s="1"/>
      <c r="L1151" s="2"/>
      <c r="M1151" s="2"/>
      <c r="N1151" s="2"/>
      <c r="O1151" s="2"/>
      <c r="P1151" s="2"/>
      <c r="Q1151" s="2"/>
      <c r="R1151" s="2"/>
      <c r="S1151" s="2"/>
      <c r="T1151" s="3"/>
      <c r="U1151" s="1"/>
      <c r="V1151" s="1"/>
      <c r="W1151" s="1"/>
      <c r="X1151" s="1"/>
      <c r="Y1151" s="1"/>
      <c r="Z1151" s="1"/>
      <c r="AA1151" s="1"/>
      <c r="AB1151" s="1"/>
    </row>
    <row r="1152" spans="1:28">
      <c r="A1152" s="261"/>
      <c r="B1152" s="261"/>
      <c r="C1152" s="115"/>
      <c r="D1152" s="1"/>
      <c r="E1152" s="1"/>
      <c r="F1152" s="1"/>
      <c r="G1152" s="1"/>
      <c r="H1152" s="1"/>
      <c r="I1152" s="1"/>
      <c r="J1152" s="1"/>
      <c r="K1152" s="1"/>
      <c r="L1152" s="2"/>
      <c r="M1152" s="2"/>
      <c r="N1152" s="2"/>
      <c r="O1152" s="2"/>
      <c r="P1152" s="2"/>
      <c r="Q1152" s="2"/>
      <c r="R1152" s="2"/>
      <c r="S1152" s="2"/>
      <c r="T1152" s="3"/>
      <c r="U1152" s="1"/>
      <c r="V1152" s="1"/>
      <c r="W1152" s="1"/>
      <c r="X1152" s="1"/>
      <c r="Y1152" s="1"/>
      <c r="Z1152" s="1"/>
      <c r="AA1152" s="1"/>
      <c r="AB1152" s="1"/>
    </row>
    <row r="1153" spans="1:28">
      <c r="A1153" s="261"/>
      <c r="B1153" s="261"/>
      <c r="C1153" s="115"/>
      <c r="D1153" s="1"/>
      <c r="E1153" s="1"/>
      <c r="F1153" s="1"/>
      <c r="G1153" s="1"/>
      <c r="H1153" s="1"/>
      <c r="I1153" s="1"/>
      <c r="J1153" s="1"/>
      <c r="K1153" s="1"/>
      <c r="L1153" s="2"/>
      <c r="M1153" s="2"/>
      <c r="N1153" s="2"/>
      <c r="O1153" s="2"/>
      <c r="P1153" s="2"/>
      <c r="Q1153" s="2"/>
      <c r="R1153" s="2"/>
      <c r="S1153" s="2"/>
      <c r="T1153" s="3"/>
      <c r="U1153" s="1"/>
      <c r="V1153" s="1"/>
      <c r="W1153" s="1"/>
      <c r="X1153" s="1"/>
      <c r="Y1153" s="1"/>
      <c r="Z1153" s="1"/>
      <c r="AA1153" s="1"/>
      <c r="AB1153" s="1"/>
    </row>
    <row r="1154" spans="1:28">
      <c r="A1154" s="261"/>
      <c r="B1154" s="261"/>
      <c r="C1154" s="115"/>
      <c r="D1154" s="1"/>
      <c r="E1154" s="1"/>
      <c r="F1154" s="1"/>
      <c r="G1154" s="1"/>
      <c r="H1154" s="1"/>
      <c r="I1154" s="1"/>
      <c r="J1154" s="1"/>
      <c r="K1154" s="1"/>
      <c r="L1154" s="2"/>
      <c r="M1154" s="2"/>
      <c r="N1154" s="2"/>
      <c r="O1154" s="2"/>
      <c r="P1154" s="2"/>
      <c r="Q1154" s="2"/>
      <c r="R1154" s="2"/>
      <c r="S1154" s="2"/>
      <c r="T1154" s="3"/>
      <c r="U1154" s="1"/>
      <c r="V1154" s="1"/>
      <c r="W1154" s="1"/>
      <c r="X1154" s="1"/>
      <c r="Y1154" s="1"/>
      <c r="Z1154" s="1"/>
      <c r="AA1154" s="1"/>
      <c r="AB1154" s="1"/>
    </row>
    <row r="1155" spans="1:28">
      <c r="A1155" s="261"/>
      <c r="B1155" s="261"/>
      <c r="C1155" s="115"/>
      <c r="D1155" s="1"/>
      <c r="E1155" s="1"/>
      <c r="F1155" s="1"/>
      <c r="G1155" s="1"/>
      <c r="H1155" s="1"/>
      <c r="I1155" s="1"/>
      <c r="J1155" s="1"/>
      <c r="K1155" s="1"/>
      <c r="L1155" s="2"/>
      <c r="M1155" s="2"/>
      <c r="N1155" s="2"/>
      <c r="O1155" s="2"/>
      <c r="P1155" s="2"/>
      <c r="Q1155" s="2"/>
      <c r="R1155" s="2"/>
      <c r="S1155" s="2"/>
      <c r="T1155" s="3"/>
      <c r="U1155" s="1"/>
      <c r="V1155" s="1"/>
      <c r="W1155" s="1"/>
      <c r="X1155" s="1"/>
      <c r="Y1155" s="1"/>
      <c r="Z1155" s="1"/>
      <c r="AA1155" s="1"/>
      <c r="AB1155" s="1"/>
    </row>
    <row r="1156" spans="1:28">
      <c r="A1156" s="261"/>
      <c r="B1156" s="261"/>
      <c r="C1156" s="115"/>
      <c r="D1156" s="1"/>
      <c r="E1156" s="1"/>
      <c r="F1156" s="1"/>
      <c r="G1156" s="1"/>
      <c r="H1156" s="1"/>
      <c r="I1156" s="1"/>
      <c r="J1156" s="1"/>
      <c r="K1156" s="1"/>
      <c r="L1156" s="2"/>
      <c r="M1156" s="2"/>
      <c r="N1156" s="2"/>
      <c r="O1156" s="2"/>
      <c r="P1156" s="2"/>
      <c r="Q1156" s="2"/>
      <c r="R1156" s="2"/>
      <c r="S1156" s="2"/>
      <c r="T1156" s="3"/>
      <c r="U1156" s="1"/>
      <c r="V1156" s="1"/>
      <c r="W1156" s="1"/>
      <c r="X1156" s="1"/>
      <c r="Y1156" s="1"/>
      <c r="Z1156" s="1"/>
      <c r="AA1156" s="1"/>
      <c r="AB1156" s="1"/>
    </row>
    <row r="1157" spans="1:28">
      <c r="A1157" s="261"/>
      <c r="B1157" s="261"/>
      <c r="C1157" s="115"/>
      <c r="D1157" s="1"/>
      <c r="E1157" s="1"/>
      <c r="F1157" s="1"/>
      <c r="G1157" s="1"/>
      <c r="H1157" s="1"/>
      <c r="I1157" s="1"/>
      <c r="J1157" s="1"/>
      <c r="K1157" s="1"/>
      <c r="L1157" s="2"/>
      <c r="M1157" s="2"/>
      <c r="N1157" s="2"/>
      <c r="O1157" s="2"/>
      <c r="P1157" s="2"/>
      <c r="Q1157" s="2"/>
      <c r="R1157" s="2"/>
      <c r="S1157" s="2"/>
      <c r="T1157" s="3"/>
      <c r="U1157" s="1"/>
      <c r="V1157" s="1"/>
      <c r="W1157" s="1"/>
      <c r="X1157" s="1"/>
      <c r="Y1157" s="1"/>
      <c r="Z1157" s="1"/>
      <c r="AA1157" s="1"/>
      <c r="AB1157" s="1"/>
    </row>
    <row r="1158" spans="1:28">
      <c r="A1158" s="261"/>
      <c r="B1158" s="261"/>
      <c r="C1158" s="115"/>
      <c r="D1158" s="1"/>
      <c r="E1158" s="1"/>
      <c r="F1158" s="1"/>
      <c r="G1158" s="1"/>
      <c r="H1158" s="1"/>
      <c r="I1158" s="1"/>
      <c r="J1158" s="1"/>
      <c r="K1158" s="1"/>
      <c r="L1158" s="2"/>
      <c r="M1158" s="2"/>
      <c r="N1158" s="2"/>
      <c r="O1158" s="2"/>
      <c r="P1158" s="2"/>
      <c r="Q1158" s="2"/>
      <c r="R1158" s="2"/>
      <c r="S1158" s="2"/>
      <c r="T1158" s="3"/>
      <c r="U1158" s="1"/>
      <c r="V1158" s="1"/>
      <c r="W1158" s="1"/>
      <c r="X1158" s="1"/>
      <c r="Y1158" s="1"/>
      <c r="Z1158" s="1"/>
      <c r="AA1158" s="1"/>
      <c r="AB1158" s="1"/>
    </row>
    <row r="1159" spans="1:28">
      <c r="A1159" s="261"/>
      <c r="B1159" s="261"/>
      <c r="C1159" s="115"/>
      <c r="D1159" s="1"/>
      <c r="E1159" s="1"/>
      <c r="F1159" s="1"/>
      <c r="G1159" s="1"/>
      <c r="H1159" s="1"/>
      <c r="I1159" s="1"/>
      <c r="J1159" s="1"/>
      <c r="K1159" s="1"/>
      <c r="L1159" s="2"/>
      <c r="M1159" s="2"/>
      <c r="N1159" s="2"/>
      <c r="O1159" s="2"/>
      <c r="P1159" s="2"/>
      <c r="Q1159" s="2"/>
      <c r="R1159" s="2"/>
      <c r="S1159" s="2"/>
      <c r="T1159" s="3"/>
      <c r="U1159" s="1"/>
      <c r="V1159" s="1"/>
      <c r="W1159" s="1"/>
      <c r="X1159" s="1"/>
      <c r="Y1159" s="1"/>
      <c r="Z1159" s="1"/>
      <c r="AA1159" s="1"/>
      <c r="AB1159" s="1"/>
    </row>
    <row r="1160" spans="1:28">
      <c r="A1160" s="261"/>
      <c r="B1160" s="261"/>
      <c r="C1160" s="115"/>
      <c r="D1160" s="1"/>
      <c r="E1160" s="1"/>
      <c r="F1160" s="1"/>
      <c r="G1160" s="1"/>
      <c r="H1160" s="1"/>
      <c r="I1160" s="1"/>
      <c r="J1160" s="1"/>
      <c r="K1160" s="1"/>
      <c r="L1160" s="2"/>
      <c r="M1160" s="2"/>
      <c r="N1160" s="2"/>
      <c r="O1160" s="2"/>
      <c r="P1160" s="2"/>
      <c r="Q1160" s="2"/>
      <c r="R1160" s="2"/>
      <c r="S1160" s="2"/>
      <c r="T1160" s="3"/>
      <c r="U1160" s="1"/>
      <c r="V1160" s="1"/>
      <c r="W1160" s="1"/>
      <c r="X1160" s="1"/>
      <c r="Y1160" s="1"/>
      <c r="Z1160" s="1"/>
      <c r="AA1160" s="1"/>
      <c r="AB1160" s="1"/>
    </row>
    <row r="1161" spans="1:28">
      <c r="A1161" s="261"/>
      <c r="B1161" s="261"/>
      <c r="C1161" s="115"/>
      <c r="D1161" s="1"/>
      <c r="E1161" s="1"/>
      <c r="F1161" s="1"/>
      <c r="G1161" s="1"/>
      <c r="H1161" s="1"/>
      <c r="I1161" s="1"/>
      <c r="J1161" s="1"/>
      <c r="K1161" s="1"/>
      <c r="L1161" s="2"/>
      <c r="M1161" s="2"/>
      <c r="N1161" s="2"/>
      <c r="O1161" s="2"/>
      <c r="P1161" s="2"/>
      <c r="Q1161" s="2"/>
      <c r="R1161" s="2"/>
      <c r="S1161" s="2"/>
      <c r="T1161" s="3"/>
      <c r="U1161" s="1"/>
      <c r="V1161" s="1"/>
      <c r="W1161" s="1"/>
      <c r="X1161" s="1"/>
      <c r="Y1161" s="1"/>
      <c r="Z1161" s="1"/>
      <c r="AA1161" s="1"/>
      <c r="AB1161" s="1"/>
    </row>
    <row r="1162" spans="1:28">
      <c r="A1162" s="261"/>
      <c r="B1162" s="261"/>
      <c r="C1162" s="115"/>
      <c r="D1162" s="1"/>
      <c r="E1162" s="1"/>
      <c r="F1162" s="1"/>
      <c r="G1162" s="1"/>
      <c r="H1162" s="1"/>
      <c r="I1162" s="1"/>
      <c r="J1162" s="1"/>
      <c r="K1162" s="1"/>
      <c r="L1162" s="2"/>
      <c r="M1162" s="2"/>
      <c r="N1162" s="2"/>
      <c r="O1162" s="2"/>
      <c r="P1162" s="2"/>
      <c r="Q1162" s="2"/>
      <c r="R1162" s="2"/>
      <c r="S1162" s="2"/>
      <c r="T1162" s="3"/>
      <c r="U1162" s="1"/>
      <c r="V1162" s="1"/>
      <c r="W1162" s="1"/>
      <c r="X1162" s="1"/>
      <c r="Y1162" s="1"/>
      <c r="Z1162" s="1"/>
      <c r="AA1162" s="1"/>
      <c r="AB1162" s="1"/>
    </row>
    <row r="1163" spans="1:28">
      <c r="A1163" s="261"/>
      <c r="B1163" s="261"/>
      <c r="C1163" s="115"/>
      <c r="D1163" s="1"/>
      <c r="E1163" s="1"/>
      <c r="F1163" s="1"/>
      <c r="G1163" s="1"/>
      <c r="H1163" s="1"/>
      <c r="I1163" s="1"/>
      <c r="J1163" s="1"/>
      <c r="K1163" s="1"/>
      <c r="L1163" s="2"/>
      <c r="M1163" s="2"/>
      <c r="N1163" s="2"/>
      <c r="O1163" s="2"/>
      <c r="P1163" s="2"/>
      <c r="Q1163" s="2"/>
      <c r="R1163" s="2"/>
      <c r="S1163" s="2"/>
      <c r="T1163" s="3"/>
      <c r="U1163" s="1"/>
      <c r="V1163" s="1"/>
      <c r="W1163" s="1"/>
      <c r="X1163" s="1"/>
      <c r="Y1163" s="1"/>
      <c r="Z1163" s="1"/>
      <c r="AA1163" s="1"/>
      <c r="AB1163" s="1"/>
    </row>
    <row r="1164" spans="1:28">
      <c r="A1164" s="261"/>
      <c r="B1164" s="261"/>
      <c r="C1164" s="115"/>
      <c r="D1164" s="1"/>
      <c r="E1164" s="1"/>
      <c r="F1164" s="1"/>
      <c r="G1164" s="1"/>
      <c r="H1164" s="1"/>
      <c r="I1164" s="1"/>
      <c r="J1164" s="1"/>
      <c r="K1164" s="1"/>
      <c r="L1164" s="2"/>
      <c r="M1164" s="2"/>
      <c r="N1164" s="2"/>
      <c r="O1164" s="2"/>
      <c r="P1164" s="2"/>
      <c r="Q1164" s="2"/>
      <c r="R1164" s="2"/>
      <c r="S1164" s="2"/>
      <c r="T1164" s="3"/>
      <c r="U1164" s="1"/>
      <c r="V1164" s="1"/>
      <c r="W1164" s="1"/>
      <c r="X1164" s="1"/>
      <c r="Y1164" s="1"/>
      <c r="Z1164" s="1"/>
      <c r="AA1164" s="1"/>
      <c r="AB1164" s="1"/>
    </row>
    <row r="1165" spans="1:28">
      <c r="A1165" s="261"/>
      <c r="B1165" s="261"/>
      <c r="C1165" s="115"/>
      <c r="D1165" s="1"/>
      <c r="E1165" s="1"/>
      <c r="F1165" s="1"/>
      <c r="G1165" s="1"/>
      <c r="H1165" s="1"/>
      <c r="I1165" s="1"/>
      <c r="J1165" s="1"/>
      <c r="K1165" s="1"/>
      <c r="L1165" s="2"/>
      <c r="M1165" s="2"/>
      <c r="N1165" s="2"/>
      <c r="O1165" s="2"/>
      <c r="P1165" s="2"/>
      <c r="Q1165" s="2"/>
      <c r="R1165" s="2"/>
      <c r="S1165" s="2"/>
      <c r="T1165" s="3"/>
      <c r="U1165" s="1"/>
      <c r="V1165" s="1"/>
      <c r="W1165" s="1"/>
      <c r="X1165" s="1"/>
      <c r="Y1165" s="1"/>
      <c r="Z1165" s="1"/>
      <c r="AA1165" s="1"/>
      <c r="AB1165" s="1"/>
    </row>
    <row r="1166" spans="1:28">
      <c r="A1166" s="261"/>
      <c r="B1166" s="261"/>
      <c r="C1166" s="115"/>
      <c r="D1166" s="1"/>
      <c r="E1166" s="1"/>
      <c r="F1166" s="1"/>
      <c r="G1166" s="1"/>
      <c r="H1166" s="1"/>
      <c r="I1166" s="1"/>
      <c r="J1166" s="1"/>
      <c r="K1166" s="1"/>
      <c r="L1166" s="2"/>
      <c r="M1166" s="2"/>
      <c r="N1166" s="2"/>
      <c r="O1166" s="2"/>
      <c r="P1166" s="2"/>
      <c r="Q1166" s="2"/>
      <c r="R1166" s="2"/>
      <c r="S1166" s="2"/>
      <c r="T1166" s="3"/>
      <c r="U1166" s="1"/>
      <c r="V1166" s="1"/>
      <c r="W1166" s="1"/>
      <c r="X1166" s="1"/>
      <c r="Y1166" s="1"/>
      <c r="Z1166" s="1"/>
      <c r="AA1166" s="1"/>
      <c r="AB1166" s="1"/>
    </row>
    <row r="1167" spans="1:28">
      <c r="A1167" s="261"/>
      <c r="B1167" s="261"/>
      <c r="C1167" s="115"/>
      <c r="D1167" s="1"/>
      <c r="E1167" s="1"/>
      <c r="F1167" s="1"/>
      <c r="G1167" s="1"/>
      <c r="H1167" s="1"/>
      <c r="I1167" s="1"/>
      <c r="J1167" s="1"/>
      <c r="K1167" s="1"/>
      <c r="L1167" s="2"/>
      <c r="M1167" s="2"/>
      <c r="N1167" s="2"/>
      <c r="O1167" s="2"/>
      <c r="P1167" s="2"/>
      <c r="Q1167" s="2"/>
      <c r="R1167" s="2"/>
      <c r="S1167" s="2"/>
      <c r="T1167" s="3"/>
      <c r="U1167" s="1"/>
      <c r="V1167" s="1"/>
      <c r="W1167" s="1"/>
      <c r="X1167" s="1"/>
      <c r="Y1167" s="1"/>
      <c r="Z1167" s="1"/>
      <c r="AA1167" s="1"/>
      <c r="AB1167" s="1"/>
    </row>
    <row r="1168" spans="1:28">
      <c r="A1168" s="261"/>
      <c r="B1168" s="261"/>
      <c r="C1168" s="115"/>
      <c r="D1168" s="1"/>
      <c r="E1168" s="1"/>
      <c r="F1168" s="1"/>
      <c r="G1168" s="1"/>
      <c r="H1168" s="1"/>
      <c r="I1168" s="1"/>
      <c r="J1168" s="1"/>
      <c r="K1168" s="1"/>
      <c r="L1168" s="2"/>
      <c r="M1168" s="2"/>
      <c r="N1168" s="2"/>
      <c r="O1168" s="2"/>
      <c r="P1168" s="2"/>
      <c r="Q1168" s="2"/>
      <c r="R1168" s="2"/>
      <c r="S1168" s="2"/>
      <c r="T1168" s="3"/>
      <c r="U1168" s="1"/>
      <c r="V1168" s="1"/>
      <c r="W1168" s="1"/>
      <c r="X1168" s="1"/>
      <c r="Y1168" s="1"/>
      <c r="Z1168" s="1"/>
      <c r="AA1168" s="1"/>
      <c r="AB1168" s="1"/>
    </row>
    <row r="1169" spans="1:28">
      <c r="A1169" s="261"/>
      <c r="B1169" s="261"/>
      <c r="C1169" s="115"/>
      <c r="D1169" s="1"/>
      <c r="E1169" s="1"/>
      <c r="F1169" s="1"/>
      <c r="G1169" s="1"/>
      <c r="H1169" s="1"/>
      <c r="I1169" s="1"/>
      <c r="J1169" s="1"/>
      <c r="K1169" s="1"/>
      <c r="L1169" s="2"/>
      <c r="M1169" s="2"/>
      <c r="N1169" s="2"/>
      <c r="O1169" s="2"/>
      <c r="P1169" s="2"/>
      <c r="Q1169" s="2"/>
      <c r="R1169" s="2"/>
      <c r="S1169" s="2"/>
      <c r="T1169" s="3"/>
      <c r="U1169" s="1"/>
      <c r="V1169" s="1"/>
      <c r="W1169" s="1"/>
      <c r="X1169" s="1"/>
      <c r="Y1169" s="1"/>
      <c r="Z1169" s="1"/>
      <c r="AA1169" s="1"/>
      <c r="AB1169" s="1"/>
    </row>
    <row r="1170" spans="1:28">
      <c r="A1170" s="261"/>
      <c r="B1170" s="261"/>
      <c r="C1170" s="115"/>
      <c r="D1170" s="1"/>
      <c r="E1170" s="1"/>
      <c r="F1170" s="1"/>
      <c r="G1170" s="1"/>
      <c r="H1170" s="1"/>
      <c r="I1170" s="1"/>
      <c r="J1170" s="1"/>
      <c r="K1170" s="1"/>
      <c r="L1170" s="2"/>
      <c r="M1170" s="2"/>
      <c r="N1170" s="2"/>
      <c r="O1170" s="2"/>
      <c r="P1170" s="2"/>
      <c r="Q1170" s="2"/>
      <c r="R1170" s="2"/>
      <c r="S1170" s="2"/>
      <c r="T1170" s="3"/>
      <c r="U1170" s="1"/>
      <c r="V1170" s="1"/>
      <c r="W1170" s="1"/>
      <c r="X1170" s="1"/>
      <c r="Y1170" s="1"/>
      <c r="Z1170" s="1"/>
      <c r="AA1170" s="1"/>
      <c r="AB1170" s="1"/>
    </row>
    <row r="1171" spans="1:28">
      <c r="A1171" s="261"/>
      <c r="B1171" s="261"/>
      <c r="C1171" s="115"/>
      <c r="D1171" s="1"/>
      <c r="E1171" s="1"/>
      <c r="F1171" s="1"/>
      <c r="G1171" s="1"/>
      <c r="H1171" s="1"/>
      <c r="I1171" s="1"/>
      <c r="J1171" s="1"/>
      <c r="K1171" s="1"/>
      <c r="L1171" s="2"/>
      <c r="M1171" s="2"/>
      <c r="N1171" s="2"/>
      <c r="O1171" s="2"/>
      <c r="P1171" s="2"/>
      <c r="Q1171" s="2"/>
      <c r="R1171" s="2"/>
      <c r="S1171" s="2"/>
      <c r="T1171" s="3"/>
      <c r="U1171" s="1"/>
      <c r="V1171" s="1"/>
      <c r="W1171" s="1"/>
      <c r="X1171" s="1"/>
      <c r="Y1171" s="1"/>
      <c r="Z1171" s="1"/>
      <c r="AA1171" s="1"/>
      <c r="AB1171" s="1"/>
    </row>
    <row r="1172" spans="1:28">
      <c r="A1172" s="261"/>
      <c r="B1172" s="261"/>
      <c r="C1172" s="115"/>
      <c r="D1172" s="1"/>
      <c r="E1172" s="1"/>
      <c r="F1172" s="1"/>
      <c r="G1172" s="1"/>
      <c r="H1172" s="1"/>
      <c r="I1172" s="1"/>
      <c r="J1172" s="1"/>
      <c r="K1172" s="1"/>
      <c r="L1172" s="2"/>
      <c r="M1172" s="2"/>
      <c r="N1172" s="2"/>
      <c r="O1172" s="2"/>
      <c r="P1172" s="2"/>
      <c r="Q1172" s="2"/>
      <c r="R1172" s="2"/>
      <c r="S1172" s="2"/>
      <c r="T1172" s="3"/>
      <c r="U1172" s="1"/>
      <c r="V1172" s="1"/>
      <c r="W1172" s="1"/>
      <c r="X1172" s="1"/>
      <c r="Y1172" s="1"/>
      <c r="Z1172" s="1"/>
      <c r="AA1172" s="1"/>
      <c r="AB1172" s="1"/>
    </row>
    <row r="1173" spans="1:28">
      <c r="A1173" s="261"/>
      <c r="B1173" s="261"/>
      <c r="C1173" s="115"/>
      <c r="D1173" s="1"/>
      <c r="E1173" s="1"/>
      <c r="F1173" s="1"/>
      <c r="G1173" s="1"/>
      <c r="H1173" s="1"/>
      <c r="I1173" s="1"/>
      <c r="J1173" s="1"/>
      <c r="K1173" s="1"/>
      <c r="L1173" s="2"/>
      <c r="M1173" s="2"/>
      <c r="N1173" s="2"/>
      <c r="O1173" s="2"/>
      <c r="P1173" s="2"/>
      <c r="Q1173" s="2"/>
      <c r="R1173" s="2"/>
      <c r="S1173" s="2"/>
      <c r="T1173" s="3"/>
      <c r="U1173" s="1"/>
      <c r="V1173" s="1"/>
      <c r="W1173" s="1"/>
      <c r="X1173" s="1"/>
      <c r="Y1173" s="1"/>
      <c r="Z1173" s="1"/>
      <c r="AA1173" s="1"/>
      <c r="AB1173" s="1"/>
    </row>
    <row r="1174" spans="1:28">
      <c r="A1174" s="260"/>
      <c r="B1174" s="260"/>
      <c r="C1174" s="38"/>
      <c r="D1174" s="4"/>
      <c r="E1174" s="4"/>
      <c r="F1174" s="4"/>
      <c r="G1174" s="4"/>
      <c r="H1174" s="4"/>
      <c r="I1174" s="4"/>
      <c r="J1174" s="4"/>
      <c r="K1174" s="4"/>
      <c r="L1174" s="5"/>
      <c r="M1174" s="5"/>
      <c r="N1174" s="5"/>
      <c r="O1174" s="5"/>
      <c r="P1174" s="5"/>
      <c r="Q1174" s="5"/>
      <c r="R1174" s="5"/>
      <c r="S1174" s="5"/>
      <c r="T1174" s="6"/>
      <c r="U1174" s="1"/>
      <c r="V1174" s="1"/>
      <c r="W1174" s="1"/>
      <c r="X1174" s="1"/>
      <c r="Y1174" s="1"/>
      <c r="Z1174" s="1"/>
      <c r="AA1174" s="1"/>
      <c r="AB1174" s="1"/>
    </row>
    <row r="1175" spans="1:28">
      <c r="A1175" s="261"/>
      <c r="B1175" s="261"/>
      <c r="C1175" s="115"/>
      <c r="D1175" s="1"/>
      <c r="E1175" s="1"/>
      <c r="F1175" s="1"/>
      <c r="G1175" s="1"/>
      <c r="H1175" s="1"/>
      <c r="I1175" s="1"/>
      <c r="J1175" s="1"/>
      <c r="K1175" s="1"/>
      <c r="L1175" s="2"/>
      <c r="M1175" s="2"/>
      <c r="N1175" s="2"/>
      <c r="O1175" s="2"/>
      <c r="P1175" s="2"/>
      <c r="Q1175" s="2"/>
      <c r="R1175" s="2"/>
      <c r="S1175" s="2"/>
      <c r="T1175" s="3"/>
      <c r="U1175" s="1"/>
      <c r="V1175" s="1"/>
      <c r="W1175" s="1"/>
      <c r="X1175" s="1"/>
      <c r="Y1175" s="1"/>
      <c r="Z1175" s="1"/>
      <c r="AA1175" s="1"/>
      <c r="AB1175" s="1"/>
    </row>
    <row r="1176" spans="1:28">
      <c r="A1176" s="261"/>
      <c r="B1176" s="261"/>
      <c r="C1176" s="115"/>
      <c r="D1176" s="1"/>
      <c r="E1176" s="1"/>
      <c r="F1176" s="1"/>
      <c r="G1176" s="1"/>
      <c r="H1176" s="1"/>
      <c r="I1176" s="1"/>
      <c r="J1176" s="1"/>
      <c r="K1176" s="1"/>
      <c r="L1176" s="2"/>
      <c r="M1176" s="2"/>
      <c r="N1176" s="2"/>
      <c r="O1176" s="2"/>
      <c r="P1176" s="2"/>
      <c r="Q1176" s="2"/>
      <c r="R1176" s="2"/>
      <c r="S1176" s="2"/>
      <c r="T1176" s="3"/>
      <c r="U1176" s="1"/>
      <c r="V1176" s="1"/>
      <c r="W1176" s="1"/>
      <c r="X1176" s="1"/>
      <c r="Y1176" s="1"/>
      <c r="Z1176" s="1"/>
      <c r="AA1176" s="1"/>
      <c r="AB1176" s="1"/>
    </row>
    <row r="1177" spans="1:28">
      <c r="A1177" s="261"/>
      <c r="B1177" s="261"/>
      <c r="C1177" s="115"/>
      <c r="D1177" s="1"/>
      <c r="E1177" s="1"/>
      <c r="F1177" s="1"/>
      <c r="G1177" s="1"/>
      <c r="H1177" s="1"/>
      <c r="I1177" s="1"/>
      <c r="J1177" s="1"/>
      <c r="K1177" s="1"/>
      <c r="L1177" s="2"/>
      <c r="M1177" s="2"/>
      <c r="N1177" s="2"/>
      <c r="O1177" s="2"/>
      <c r="P1177" s="2"/>
      <c r="Q1177" s="2"/>
      <c r="R1177" s="2"/>
      <c r="S1177" s="2"/>
      <c r="T1177" s="3"/>
      <c r="U1177" s="1"/>
      <c r="V1177" s="1"/>
      <c r="W1177" s="1"/>
      <c r="X1177" s="1"/>
      <c r="Y1177" s="1"/>
      <c r="Z1177" s="1"/>
      <c r="AA1177" s="1"/>
      <c r="AB1177" s="1"/>
    </row>
    <row r="1178" spans="1:28">
      <c r="A1178" s="261"/>
      <c r="B1178" s="261"/>
      <c r="C1178" s="115"/>
      <c r="D1178" s="1"/>
      <c r="E1178" s="1"/>
      <c r="F1178" s="1"/>
      <c r="G1178" s="1"/>
      <c r="H1178" s="1"/>
      <c r="I1178" s="1"/>
      <c r="J1178" s="1"/>
      <c r="K1178" s="1"/>
      <c r="L1178" s="2"/>
      <c r="M1178" s="2"/>
      <c r="N1178" s="2"/>
      <c r="O1178" s="2"/>
      <c r="P1178" s="2"/>
      <c r="Q1178" s="2"/>
      <c r="R1178" s="2"/>
      <c r="S1178" s="2"/>
      <c r="T1178" s="3"/>
      <c r="U1178" s="1"/>
      <c r="V1178" s="1"/>
      <c r="W1178" s="1"/>
      <c r="X1178" s="1"/>
      <c r="Y1178" s="1"/>
      <c r="Z1178" s="1"/>
      <c r="AA1178" s="1"/>
      <c r="AB1178" s="1"/>
    </row>
    <row r="1179" spans="1:28">
      <c r="A1179" s="261"/>
      <c r="B1179" s="261"/>
      <c r="C1179" s="115"/>
      <c r="D1179" s="1"/>
      <c r="E1179" s="1"/>
      <c r="F1179" s="1"/>
      <c r="G1179" s="1"/>
      <c r="H1179" s="1"/>
      <c r="I1179" s="1"/>
      <c r="J1179" s="1"/>
      <c r="K1179" s="1"/>
      <c r="L1179" s="2"/>
      <c r="M1179" s="2"/>
      <c r="N1179" s="2"/>
      <c r="O1179" s="2"/>
      <c r="P1179" s="2"/>
      <c r="Q1179" s="2"/>
      <c r="R1179" s="2"/>
      <c r="S1179" s="2"/>
      <c r="T1179" s="3"/>
      <c r="U1179" s="1"/>
      <c r="V1179" s="1"/>
      <c r="W1179" s="1"/>
      <c r="X1179" s="1"/>
      <c r="Y1179" s="1"/>
      <c r="Z1179" s="1"/>
      <c r="AA1179" s="1"/>
      <c r="AB1179" s="1"/>
    </row>
    <row r="1180" spans="1:28">
      <c r="A1180" s="261"/>
      <c r="B1180" s="261"/>
      <c r="C1180" s="115"/>
      <c r="D1180" s="1"/>
      <c r="E1180" s="1"/>
      <c r="F1180" s="1"/>
      <c r="G1180" s="1"/>
      <c r="H1180" s="1"/>
      <c r="I1180" s="1"/>
      <c r="J1180" s="1"/>
      <c r="K1180" s="1"/>
      <c r="L1180" s="2"/>
      <c r="M1180" s="2"/>
      <c r="N1180" s="2"/>
      <c r="O1180" s="2"/>
      <c r="P1180" s="2"/>
      <c r="Q1180" s="2"/>
      <c r="R1180" s="2"/>
      <c r="S1180" s="2"/>
      <c r="T1180" s="3"/>
      <c r="U1180" s="1"/>
      <c r="V1180" s="1"/>
      <c r="W1180" s="1"/>
      <c r="X1180" s="1"/>
      <c r="Y1180" s="1"/>
      <c r="Z1180" s="1"/>
      <c r="AA1180" s="1"/>
      <c r="AB1180" s="1"/>
    </row>
    <row r="1181" spans="1:28">
      <c r="A1181" s="261"/>
      <c r="B1181" s="261"/>
      <c r="C1181" s="115"/>
      <c r="D1181" s="1"/>
      <c r="E1181" s="1"/>
      <c r="F1181" s="1"/>
      <c r="G1181" s="1"/>
      <c r="H1181" s="1"/>
      <c r="I1181" s="1"/>
      <c r="J1181" s="1"/>
      <c r="K1181" s="1"/>
      <c r="L1181" s="2"/>
      <c r="M1181" s="2"/>
      <c r="N1181" s="2"/>
      <c r="O1181" s="2"/>
      <c r="P1181" s="2"/>
      <c r="Q1181" s="2"/>
      <c r="R1181" s="2"/>
      <c r="S1181" s="2"/>
      <c r="T1181" s="3"/>
      <c r="U1181" s="1"/>
      <c r="V1181" s="1"/>
      <c r="W1181" s="1"/>
      <c r="X1181" s="1"/>
      <c r="Y1181" s="1"/>
      <c r="Z1181" s="1"/>
      <c r="AA1181" s="1"/>
      <c r="AB1181" s="1"/>
    </row>
    <row r="1182" spans="1:28">
      <c r="A1182" s="261"/>
      <c r="B1182" s="261"/>
      <c r="C1182" s="115"/>
      <c r="D1182" s="1"/>
      <c r="E1182" s="1"/>
      <c r="F1182" s="1"/>
      <c r="G1182" s="1"/>
      <c r="H1182" s="1"/>
      <c r="I1182" s="1"/>
      <c r="J1182" s="1"/>
      <c r="K1182" s="1"/>
      <c r="L1182" s="2"/>
      <c r="M1182" s="2"/>
      <c r="N1182" s="2"/>
      <c r="O1182" s="2"/>
      <c r="P1182" s="2"/>
      <c r="Q1182" s="2"/>
      <c r="R1182" s="2"/>
      <c r="S1182" s="2"/>
      <c r="T1182" s="3"/>
      <c r="U1182" s="1"/>
      <c r="V1182" s="1"/>
      <c r="W1182" s="1"/>
      <c r="X1182" s="1"/>
      <c r="Y1182" s="1"/>
      <c r="Z1182" s="1"/>
      <c r="AA1182" s="1"/>
      <c r="AB1182" s="1"/>
    </row>
    <row r="1183" spans="1:28">
      <c r="A1183" s="261"/>
      <c r="B1183" s="261"/>
      <c r="C1183" s="115"/>
      <c r="D1183" s="1"/>
      <c r="E1183" s="1"/>
      <c r="F1183" s="1"/>
      <c r="G1183" s="1"/>
      <c r="H1183" s="1"/>
      <c r="I1183" s="1"/>
      <c r="J1183" s="1"/>
      <c r="K1183" s="1"/>
      <c r="L1183" s="2"/>
      <c r="M1183" s="2"/>
      <c r="N1183" s="2"/>
      <c r="O1183" s="2"/>
      <c r="P1183" s="2"/>
      <c r="Q1183" s="2"/>
      <c r="R1183" s="2"/>
      <c r="S1183" s="2"/>
      <c r="T1183" s="3"/>
      <c r="U1183" s="1"/>
      <c r="V1183" s="1"/>
      <c r="W1183" s="1"/>
      <c r="X1183" s="1"/>
      <c r="Y1183" s="1"/>
      <c r="Z1183" s="1"/>
      <c r="AA1183" s="1"/>
      <c r="AB1183" s="1"/>
    </row>
    <row r="1184" spans="1:28">
      <c r="A1184" s="261"/>
      <c r="B1184" s="261"/>
      <c r="C1184" s="115"/>
      <c r="D1184" s="1"/>
      <c r="E1184" s="1"/>
      <c r="F1184" s="1"/>
      <c r="G1184" s="1"/>
      <c r="H1184" s="1"/>
      <c r="I1184" s="1"/>
      <c r="J1184" s="1"/>
      <c r="K1184" s="1"/>
      <c r="L1184" s="2"/>
      <c r="M1184" s="2"/>
      <c r="N1184" s="2"/>
      <c r="O1184" s="2"/>
      <c r="P1184" s="2"/>
      <c r="Q1184" s="2"/>
      <c r="R1184" s="2"/>
      <c r="S1184" s="2"/>
      <c r="T1184" s="3"/>
      <c r="U1184" s="1"/>
      <c r="V1184" s="1"/>
      <c r="W1184" s="1"/>
      <c r="X1184" s="1"/>
      <c r="Y1184" s="1"/>
      <c r="Z1184" s="1"/>
      <c r="AA1184" s="1"/>
      <c r="AB1184" s="1"/>
    </row>
    <row r="1185" spans="1:28">
      <c r="A1185" s="261"/>
      <c r="B1185" s="261"/>
      <c r="C1185" s="115"/>
      <c r="D1185" s="1"/>
      <c r="E1185" s="1"/>
      <c r="F1185" s="1"/>
      <c r="G1185" s="1"/>
      <c r="H1185" s="1"/>
      <c r="I1185" s="1"/>
      <c r="J1185" s="1"/>
      <c r="K1185" s="1"/>
      <c r="L1185" s="2"/>
      <c r="M1185" s="2"/>
      <c r="N1185" s="2"/>
      <c r="O1185" s="2"/>
      <c r="P1185" s="2"/>
      <c r="Q1185" s="2"/>
      <c r="R1185" s="2"/>
      <c r="S1185" s="2"/>
      <c r="T1185" s="3"/>
      <c r="U1185" s="1"/>
      <c r="V1185" s="1"/>
      <c r="W1185" s="1"/>
      <c r="X1185" s="1"/>
      <c r="Y1185" s="1"/>
      <c r="Z1185" s="1"/>
      <c r="AA1185" s="1"/>
      <c r="AB1185" s="1"/>
    </row>
    <row r="1186" spans="1:28">
      <c r="A1186" s="261"/>
      <c r="B1186" s="261"/>
      <c r="C1186" s="115"/>
      <c r="D1186" s="1"/>
      <c r="E1186" s="1"/>
      <c r="F1186" s="1"/>
      <c r="G1186" s="1"/>
      <c r="H1186" s="1"/>
      <c r="I1186" s="1"/>
      <c r="J1186" s="1"/>
      <c r="K1186" s="1"/>
      <c r="L1186" s="2"/>
      <c r="M1186" s="2"/>
      <c r="N1186" s="2"/>
      <c r="O1186" s="2"/>
      <c r="P1186" s="2"/>
      <c r="Q1186" s="2"/>
      <c r="R1186" s="2"/>
      <c r="S1186" s="2"/>
      <c r="T1186" s="3"/>
      <c r="U1186" s="1"/>
      <c r="V1186" s="1"/>
      <c r="W1186" s="1"/>
      <c r="X1186" s="1"/>
      <c r="Y1186" s="1"/>
      <c r="Z1186" s="1"/>
      <c r="AA1186" s="1"/>
      <c r="AB1186" s="1"/>
    </row>
    <row r="1187" spans="1:28">
      <c r="A1187" s="261"/>
      <c r="B1187" s="261"/>
      <c r="C1187" s="115"/>
      <c r="D1187" s="1"/>
      <c r="E1187" s="1"/>
      <c r="F1187" s="1"/>
      <c r="G1187" s="1"/>
      <c r="H1187" s="1"/>
      <c r="I1187" s="1"/>
      <c r="J1187" s="1"/>
      <c r="K1187" s="1"/>
      <c r="L1187" s="2"/>
      <c r="M1187" s="2"/>
      <c r="N1187" s="2"/>
      <c r="O1187" s="2"/>
      <c r="P1187" s="2"/>
      <c r="Q1187" s="2"/>
      <c r="R1187" s="2"/>
      <c r="S1187" s="2"/>
      <c r="T1187" s="3"/>
      <c r="U1187" s="1"/>
      <c r="V1187" s="1"/>
      <c r="W1187" s="1"/>
      <c r="X1187" s="1"/>
      <c r="Y1187" s="1"/>
      <c r="Z1187" s="1"/>
      <c r="AA1187" s="1"/>
      <c r="AB1187" s="1"/>
    </row>
    <row r="1188" spans="1:28">
      <c r="A1188" s="261"/>
      <c r="B1188" s="261"/>
      <c r="C1188" s="115"/>
      <c r="D1188" s="1"/>
      <c r="E1188" s="1"/>
      <c r="F1188" s="1"/>
      <c r="G1188" s="1"/>
      <c r="H1188" s="1"/>
      <c r="I1188" s="1"/>
      <c r="J1188" s="1"/>
      <c r="K1188" s="1"/>
      <c r="L1188" s="2"/>
      <c r="M1188" s="2"/>
      <c r="N1188" s="2"/>
      <c r="O1188" s="2"/>
      <c r="P1188" s="2"/>
      <c r="Q1188" s="2"/>
      <c r="R1188" s="2"/>
      <c r="S1188" s="2"/>
      <c r="T1188" s="3"/>
      <c r="U1188" s="1"/>
      <c r="V1188" s="1"/>
      <c r="W1188" s="1"/>
      <c r="X1188" s="1"/>
      <c r="Y1188" s="1"/>
      <c r="Z1188" s="1"/>
      <c r="AA1188" s="1"/>
      <c r="AB1188" s="1"/>
    </row>
    <row r="1189" spans="1:28">
      <c r="A1189" s="261"/>
      <c r="B1189" s="261"/>
      <c r="C1189" s="115"/>
      <c r="D1189" s="1"/>
      <c r="E1189" s="1"/>
      <c r="F1189" s="1"/>
      <c r="G1189" s="1"/>
      <c r="H1189" s="1"/>
      <c r="I1189" s="1"/>
      <c r="J1189" s="1"/>
      <c r="K1189" s="1"/>
      <c r="L1189" s="2"/>
      <c r="M1189" s="2"/>
      <c r="N1189" s="2"/>
      <c r="O1189" s="2"/>
      <c r="P1189" s="2"/>
      <c r="Q1189" s="2"/>
      <c r="R1189" s="2"/>
      <c r="S1189" s="2"/>
      <c r="T1189" s="3"/>
      <c r="U1189" s="1"/>
      <c r="V1189" s="1"/>
      <c r="W1189" s="1"/>
      <c r="X1189" s="1"/>
      <c r="Y1189" s="1"/>
      <c r="Z1189" s="1"/>
      <c r="AA1189" s="1"/>
      <c r="AB1189" s="1"/>
    </row>
    <row r="1190" spans="1:28">
      <c r="A1190" s="261"/>
      <c r="B1190" s="261"/>
      <c r="C1190" s="115"/>
      <c r="D1190" s="1"/>
      <c r="E1190" s="1"/>
      <c r="F1190" s="1"/>
      <c r="G1190" s="1"/>
      <c r="H1190" s="1"/>
      <c r="I1190" s="1"/>
      <c r="J1190" s="1"/>
      <c r="K1190" s="1"/>
      <c r="L1190" s="2"/>
      <c r="M1190" s="2"/>
      <c r="N1190" s="2"/>
      <c r="O1190" s="2"/>
      <c r="P1190" s="2"/>
      <c r="Q1190" s="2"/>
      <c r="R1190" s="2"/>
      <c r="S1190" s="2"/>
      <c r="T1190" s="3"/>
      <c r="U1190" s="1"/>
      <c r="V1190" s="1"/>
      <c r="W1190" s="1"/>
      <c r="X1190" s="1"/>
      <c r="Y1190" s="1"/>
      <c r="Z1190" s="1"/>
      <c r="AA1190" s="1"/>
      <c r="AB1190" s="1"/>
    </row>
    <row r="1191" spans="1:28">
      <c r="A1191" s="261"/>
      <c r="B1191" s="261"/>
      <c r="C1191" s="115"/>
      <c r="D1191" s="1"/>
      <c r="E1191" s="1"/>
      <c r="F1191" s="1"/>
      <c r="G1191" s="1"/>
      <c r="H1191" s="1"/>
      <c r="I1191" s="1"/>
      <c r="J1191" s="1"/>
      <c r="K1191" s="1"/>
      <c r="L1191" s="2"/>
      <c r="M1191" s="2"/>
      <c r="N1191" s="2"/>
      <c r="O1191" s="2"/>
      <c r="P1191" s="2"/>
      <c r="Q1191" s="2"/>
      <c r="R1191" s="2"/>
      <c r="S1191" s="2"/>
      <c r="T1191" s="3"/>
      <c r="U1191" s="1"/>
      <c r="V1191" s="1"/>
      <c r="W1191" s="1"/>
      <c r="X1191" s="1"/>
      <c r="Y1191" s="1"/>
      <c r="Z1191" s="1"/>
      <c r="AA1191" s="1"/>
      <c r="AB1191" s="1"/>
    </row>
    <row r="1192" spans="1:28">
      <c r="A1192" s="261"/>
      <c r="B1192" s="261"/>
      <c r="C1192" s="115"/>
      <c r="D1192" s="1"/>
      <c r="E1192" s="1"/>
      <c r="F1192" s="1"/>
      <c r="G1192" s="1"/>
      <c r="H1192" s="1"/>
      <c r="I1192" s="1"/>
      <c r="J1192" s="1"/>
      <c r="K1192" s="1"/>
      <c r="L1192" s="2"/>
      <c r="M1192" s="2"/>
      <c r="N1192" s="2"/>
      <c r="O1192" s="2"/>
      <c r="P1192" s="2"/>
      <c r="Q1192" s="2"/>
      <c r="R1192" s="2"/>
      <c r="S1192" s="2"/>
      <c r="T1192" s="3"/>
      <c r="U1192" s="1"/>
      <c r="V1192" s="1"/>
      <c r="W1192" s="1"/>
      <c r="X1192" s="1"/>
      <c r="Y1192" s="1"/>
      <c r="Z1192" s="1"/>
      <c r="AA1192" s="1"/>
      <c r="AB1192" s="1"/>
    </row>
    <row r="1193" spans="1:28">
      <c r="A1193" s="261"/>
      <c r="B1193" s="261"/>
      <c r="C1193" s="115"/>
      <c r="D1193" s="1"/>
      <c r="E1193" s="1"/>
      <c r="F1193" s="1"/>
      <c r="G1193" s="1"/>
      <c r="H1193" s="1"/>
      <c r="I1193" s="1"/>
      <c r="J1193" s="1"/>
      <c r="K1193" s="1"/>
      <c r="L1193" s="2"/>
      <c r="M1193" s="2"/>
      <c r="N1193" s="2"/>
      <c r="O1193" s="2"/>
      <c r="P1193" s="2"/>
      <c r="Q1193" s="2"/>
      <c r="R1193" s="2"/>
      <c r="S1193" s="2"/>
      <c r="T1193" s="3"/>
      <c r="U1193" s="1"/>
      <c r="V1193" s="1"/>
      <c r="W1193" s="1"/>
      <c r="X1193" s="1"/>
      <c r="Y1193" s="1"/>
      <c r="Z1193" s="1"/>
      <c r="AA1193" s="1"/>
      <c r="AB1193" s="1"/>
    </row>
    <row r="1194" spans="1:28">
      <c r="A1194" s="261"/>
      <c r="B1194" s="261"/>
      <c r="C1194" s="115"/>
      <c r="D1194" s="1"/>
      <c r="E1194" s="1"/>
      <c r="F1194" s="1"/>
      <c r="G1194" s="1"/>
      <c r="H1194" s="1"/>
      <c r="I1194" s="1"/>
      <c r="J1194" s="1"/>
      <c r="K1194" s="1"/>
      <c r="L1194" s="2"/>
      <c r="M1194" s="2"/>
      <c r="N1194" s="2"/>
      <c r="O1194" s="2"/>
      <c r="P1194" s="2"/>
      <c r="Q1194" s="2"/>
      <c r="R1194" s="2"/>
      <c r="S1194" s="2"/>
      <c r="T1194" s="3"/>
      <c r="U1194" s="1"/>
      <c r="V1194" s="1"/>
      <c r="W1194" s="1"/>
      <c r="X1194" s="1"/>
      <c r="Y1194" s="1"/>
      <c r="Z1194" s="1"/>
      <c r="AA1194" s="1"/>
      <c r="AB1194" s="1"/>
    </row>
    <row r="1195" spans="1:28">
      <c r="A1195" s="261"/>
      <c r="B1195" s="261"/>
      <c r="C1195" s="115"/>
      <c r="D1195" s="1"/>
      <c r="E1195" s="1"/>
      <c r="F1195" s="1"/>
      <c r="G1195" s="1"/>
      <c r="H1195" s="1"/>
      <c r="I1195" s="1"/>
      <c r="J1195" s="1"/>
      <c r="K1195" s="1"/>
      <c r="L1195" s="2"/>
      <c r="M1195" s="2"/>
      <c r="N1195" s="2"/>
      <c r="O1195" s="2"/>
      <c r="P1195" s="2"/>
      <c r="Q1195" s="2"/>
      <c r="R1195" s="2"/>
      <c r="S1195" s="2"/>
      <c r="T1195" s="3"/>
      <c r="U1195" s="1"/>
      <c r="V1195" s="1"/>
      <c r="W1195" s="1"/>
      <c r="X1195" s="1"/>
      <c r="Y1195" s="1"/>
      <c r="Z1195" s="1"/>
      <c r="AA1195" s="1"/>
      <c r="AB1195" s="1"/>
    </row>
    <row r="1196" spans="1:28">
      <c r="A1196" s="261"/>
      <c r="B1196" s="261"/>
      <c r="C1196" s="115"/>
      <c r="D1196" s="1"/>
      <c r="E1196" s="1"/>
      <c r="F1196" s="1"/>
      <c r="G1196" s="1"/>
      <c r="H1196" s="1"/>
      <c r="I1196" s="1"/>
      <c r="J1196" s="1"/>
      <c r="K1196" s="1"/>
      <c r="L1196" s="2"/>
      <c r="M1196" s="2"/>
      <c r="N1196" s="2"/>
      <c r="O1196" s="2"/>
      <c r="P1196" s="2"/>
      <c r="Q1196" s="2"/>
      <c r="R1196" s="2"/>
      <c r="S1196" s="2"/>
      <c r="T1196" s="3"/>
      <c r="U1196" s="1"/>
      <c r="V1196" s="1"/>
      <c r="W1196" s="1"/>
      <c r="X1196" s="1"/>
      <c r="Y1196" s="1"/>
      <c r="Z1196" s="1"/>
      <c r="AA1196" s="1"/>
      <c r="AB1196" s="1"/>
    </row>
    <row r="1197" spans="1:28">
      <c r="A1197" s="261"/>
      <c r="B1197" s="261"/>
      <c r="C1197" s="115"/>
      <c r="D1197" s="1"/>
      <c r="E1197" s="1"/>
      <c r="F1197" s="1"/>
      <c r="G1197" s="1"/>
      <c r="H1197" s="1"/>
      <c r="I1197" s="1"/>
      <c r="J1197" s="1"/>
      <c r="K1197" s="1"/>
      <c r="L1197" s="2"/>
      <c r="M1197" s="2"/>
      <c r="N1197" s="2"/>
      <c r="O1197" s="2"/>
      <c r="P1197" s="2"/>
      <c r="Q1197" s="2"/>
      <c r="R1197" s="2"/>
      <c r="S1197" s="2"/>
      <c r="T1197" s="3"/>
      <c r="U1197" s="1"/>
      <c r="V1197" s="1"/>
      <c r="W1197" s="1"/>
      <c r="X1197" s="1"/>
      <c r="Y1197" s="1"/>
      <c r="Z1197" s="1"/>
      <c r="AA1197" s="1"/>
      <c r="AB1197" s="1"/>
    </row>
    <row r="1198" spans="1:28">
      <c r="A1198" s="261"/>
      <c r="B1198" s="261"/>
      <c r="C1198" s="115"/>
      <c r="D1198" s="1"/>
      <c r="E1198" s="1"/>
      <c r="F1198" s="1"/>
      <c r="G1198" s="1"/>
      <c r="H1198" s="1"/>
      <c r="I1198" s="1"/>
      <c r="J1198" s="1"/>
      <c r="K1198" s="1"/>
      <c r="L1198" s="2"/>
      <c r="M1198" s="2"/>
      <c r="N1198" s="2"/>
      <c r="O1198" s="2"/>
      <c r="P1198" s="2"/>
      <c r="Q1198" s="2"/>
      <c r="R1198" s="2"/>
      <c r="S1198" s="2"/>
      <c r="T1198" s="3"/>
      <c r="U1198" s="1"/>
      <c r="V1198" s="1"/>
      <c r="W1198" s="1"/>
      <c r="X1198" s="1"/>
      <c r="Y1198" s="1"/>
      <c r="Z1198" s="1"/>
      <c r="AA1198" s="1"/>
      <c r="AB1198" s="1"/>
    </row>
    <row r="1199" spans="1:28">
      <c r="A1199" s="261"/>
      <c r="B1199" s="261"/>
      <c r="C1199" s="115"/>
      <c r="D1199" s="1"/>
      <c r="E1199" s="1"/>
      <c r="F1199" s="1"/>
      <c r="G1199" s="1"/>
      <c r="H1199" s="1"/>
      <c r="I1199" s="1"/>
      <c r="J1199" s="1"/>
      <c r="K1199" s="1"/>
      <c r="L1199" s="2"/>
      <c r="M1199" s="2"/>
      <c r="N1199" s="2"/>
      <c r="O1199" s="2"/>
      <c r="P1199" s="2"/>
      <c r="Q1199" s="2"/>
      <c r="R1199" s="2"/>
      <c r="S1199" s="2"/>
      <c r="T1199" s="3"/>
      <c r="U1199" s="1"/>
      <c r="V1199" s="1"/>
      <c r="W1199" s="1"/>
      <c r="X1199" s="1"/>
      <c r="Y1199" s="1"/>
      <c r="Z1199" s="1"/>
      <c r="AA1199" s="1"/>
      <c r="AB1199" s="1"/>
    </row>
    <row r="1200" spans="1:28">
      <c r="A1200" s="261"/>
      <c r="B1200" s="261"/>
      <c r="C1200" s="115"/>
      <c r="D1200" s="1"/>
      <c r="E1200" s="1"/>
      <c r="F1200" s="1"/>
      <c r="G1200" s="1"/>
      <c r="H1200" s="1"/>
      <c r="I1200" s="1"/>
      <c r="J1200" s="1"/>
      <c r="K1200" s="1"/>
      <c r="L1200" s="2"/>
      <c r="M1200" s="2"/>
      <c r="N1200" s="2"/>
      <c r="O1200" s="2"/>
      <c r="P1200" s="2"/>
      <c r="Q1200" s="2"/>
      <c r="R1200" s="2"/>
      <c r="S1200" s="2"/>
      <c r="T1200" s="3"/>
      <c r="U1200" s="1"/>
      <c r="V1200" s="1"/>
      <c r="W1200" s="1"/>
      <c r="X1200" s="1"/>
      <c r="Y1200" s="1"/>
      <c r="Z1200" s="1"/>
      <c r="AA1200" s="1"/>
      <c r="AB1200" s="1"/>
    </row>
    <row r="1201" spans="1:28">
      <c r="A1201" s="261"/>
      <c r="B1201" s="261"/>
      <c r="C1201" s="115"/>
      <c r="D1201" s="1"/>
      <c r="E1201" s="1"/>
      <c r="F1201" s="1"/>
      <c r="G1201" s="1"/>
      <c r="H1201" s="1"/>
      <c r="I1201" s="1"/>
      <c r="J1201" s="1"/>
      <c r="K1201" s="1"/>
      <c r="L1201" s="2"/>
      <c r="M1201" s="2"/>
      <c r="N1201" s="2"/>
      <c r="O1201" s="2"/>
      <c r="P1201" s="2"/>
      <c r="Q1201" s="2"/>
      <c r="R1201" s="2"/>
      <c r="S1201" s="2"/>
      <c r="T1201" s="3"/>
      <c r="U1201" s="1"/>
      <c r="V1201" s="1"/>
      <c r="W1201" s="1"/>
      <c r="X1201" s="1"/>
      <c r="Y1201" s="1"/>
      <c r="Z1201" s="1"/>
      <c r="AA1201" s="1"/>
      <c r="AB1201" s="1"/>
    </row>
    <row r="1202" spans="1:28">
      <c r="A1202" s="261"/>
      <c r="B1202" s="261"/>
      <c r="C1202" s="115"/>
      <c r="D1202" s="1"/>
      <c r="E1202" s="1"/>
      <c r="F1202" s="1"/>
      <c r="G1202" s="1"/>
      <c r="H1202" s="1"/>
      <c r="I1202" s="1"/>
      <c r="J1202" s="1"/>
      <c r="K1202" s="1"/>
      <c r="L1202" s="2"/>
      <c r="M1202" s="2"/>
      <c r="N1202" s="2"/>
      <c r="O1202" s="2"/>
      <c r="P1202" s="2"/>
      <c r="Q1202" s="2"/>
      <c r="R1202" s="2"/>
      <c r="S1202" s="2"/>
      <c r="T1202" s="3"/>
      <c r="U1202" s="1"/>
      <c r="V1202" s="1"/>
      <c r="W1202" s="1"/>
      <c r="X1202" s="1"/>
      <c r="Y1202" s="1"/>
      <c r="Z1202" s="1"/>
      <c r="AA1202" s="1"/>
      <c r="AB1202" s="1"/>
    </row>
    <row r="1203" spans="1:28">
      <c r="A1203" s="261"/>
      <c r="B1203" s="261"/>
      <c r="C1203" s="115"/>
      <c r="D1203" s="1"/>
      <c r="E1203" s="1"/>
      <c r="F1203" s="1"/>
      <c r="G1203" s="1"/>
      <c r="H1203" s="1"/>
      <c r="I1203" s="1"/>
      <c r="J1203" s="1"/>
      <c r="K1203" s="1"/>
      <c r="L1203" s="2"/>
      <c r="M1203" s="2"/>
      <c r="N1203" s="2"/>
      <c r="O1203" s="2"/>
      <c r="P1203" s="2"/>
      <c r="Q1203" s="2"/>
      <c r="R1203" s="2"/>
      <c r="S1203" s="2"/>
      <c r="T1203" s="3"/>
      <c r="U1203" s="1"/>
      <c r="V1203" s="1"/>
      <c r="W1203" s="1"/>
      <c r="X1203" s="1"/>
      <c r="Y1203" s="1"/>
      <c r="Z1203" s="1"/>
      <c r="AA1203" s="1"/>
      <c r="AB1203" s="1"/>
    </row>
    <row r="1204" spans="1:28">
      <c r="A1204" s="261"/>
      <c r="B1204" s="261"/>
      <c r="C1204" s="115"/>
      <c r="D1204" s="1"/>
      <c r="E1204" s="1"/>
      <c r="F1204" s="1"/>
      <c r="G1204" s="1"/>
      <c r="H1204" s="1"/>
      <c r="I1204" s="1"/>
      <c r="J1204" s="1"/>
      <c r="K1204" s="1"/>
      <c r="L1204" s="2"/>
      <c r="M1204" s="2"/>
      <c r="N1204" s="2"/>
      <c r="O1204" s="2"/>
      <c r="P1204" s="2"/>
      <c r="Q1204" s="2"/>
      <c r="R1204" s="2"/>
      <c r="S1204" s="2"/>
      <c r="T1204" s="3"/>
      <c r="U1204" s="1"/>
      <c r="V1204" s="1"/>
      <c r="W1204" s="1"/>
      <c r="X1204" s="1"/>
      <c r="Y1204" s="1"/>
      <c r="Z1204" s="1"/>
      <c r="AA1204" s="1"/>
      <c r="AB1204" s="1"/>
    </row>
    <row r="1205" spans="1:28">
      <c r="A1205" s="261"/>
      <c r="B1205" s="261"/>
      <c r="C1205" s="115"/>
      <c r="D1205" s="1"/>
      <c r="E1205" s="1"/>
      <c r="F1205" s="1"/>
      <c r="G1205" s="1"/>
      <c r="H1205" s="1"/>
      <c r="I1205" s="1"/>
      <c r="J1205" s="1"/>
      <c r="K1205" s="1"/>
      <c r="L1205" s="2"/>
      <c r="M1205" s="2"/>
      <c r="N1205" s="2"/>
      <c r="O1205" s="2"/>
      <c r="P1205" s="2"/>
      <c r="Q1205" s="2"/>
      <c r="R1205" s="2"/>
      <c r="S1205" s="2"/>
      <c r="T1205" s="3"/>
      <c r="U1205" s="1"/>
      <c r="V1205" s="1"/>
      <c r="W1205" s="1"/>
      <c r="X1205" s="1"/>
      <c r="Y1205" s="1"/>
      <c r="Z1205" s="1"/>
      <c r="AA1205" s="1"/>
      <c r="AB1205" s="1"/>
    </row>
    <row r="1206" spans="1:28">
      <c r="A1206" s="261"/>
      <c r="B1206" s="261"/>
      <c r="C1206" s="115"/>
      <c r="D1206" s="1"/>
      <c r="E1206" s="1"/>
      <c r="F1206" s="1"/>
      <c r="G1206" s="1"/>
      <c r="H1206" s="1"/>
      <c r="I1206" s="1"/>
      <c r="J1206" s="1"/>
      <c r="K1206" s="1"/>
      <c r="L1206" s="2"/>
      <c r="M1206" s="2"/>
      <c r="N1206" s="2"/>
      <c r="O1206" s="2"/>
      <c r="P1206" s="2"/>
      <c r="Q1206" s="2"/>
      <c r="R1206" s="2"/>
      <c r="S1206" s="2"/>
      <c r="T1206" s="3"/>
      <c r="U1206" s="1"/>
      <c r="V1206" s="1"/>
      <c r="W1206" s="1"/>
      <c r="X1206" s="1"/>
      <c r="Y1206" s="1"/>
      <c r="Z1206" s="1"/>
      <c r="AA1206" s="1"/>
      <c r="AB1206" s="1"/>
    </row>
    <row r="1207" spans="1:28">
      <c r="A1207" s="261"/>
      <c r="B1207" s="261"/>
      <c r="C1207" s="115"/>
      <c r="D1207" s="1"/>
      <c r="E1207" s="1"/>
      <c r="F1207" s="1"/>
      <c r="G1207" s="1"/>
      <c r="H1207" s="1"/>
      <c r="I1207" s="1"/>
      <c r="J1207" s="1"/>
      <c r="K1207" s="1"/>
      <c r="L1207" s="2"/>
      <c r="M1207" s="2"/>
      <c r="N1207" s="2"/>
      <c r="O1207" s="2"/>
      <c r="P1207" s="2"/>
      <c r="Q1207" s="2"/>
      <c r="R1207" s="2"/>
      <c r="S1207" s="2"/>
      <c r="T1207" s="3"/>
      <c r="U1207" s="1"/>
      <c r="V1207" s="1"/>
      <c r="W1207" s="1"/>
      <c r="X1207" s="1"/>
      <c r="Y1207" s="1"/>
      <c r="Z1207" s="1"/>
      <c r="AA1207" s="1"/>
      <c r="AB1207" s="1"/>
    </row>
    <row r="1208" spans="1:28">
      <c r="A1208" s="261"/>
      <c r="B1208" s="261"/>
      <c r="C1208" s="115"/>
      <c r="D1208" s="1"/>
      <c r="E1208" s="1"/>
      <c r="F1208" s="1"/>
      <c r="G1208" s="1"/>
      <c r="H1208" s="1"/>
      <c r="I1208" s="1"/>
      <c r="J1208" s="1"/>
      <c r="K1208" s="1"/>
      <c r="L1208" s="2"/>
      <c r="M1208" s="2"/>
      <c r="N1208" s="2"/>
      <c r="O1208" s="2"/>
      <c r="P1208" s="2"/>
      <c r="Q1208" s="2"/>
      <c r="R1208" s="2"/>
      <c r="S1208" s="2"/>
      <c r="T1208" s="3"/>
      <c r="U1208" s="1"/>
      <c r="V1208" s="1"/>
      <c r="W1208" s="1"/>
      <c r="X1208" s="1"/>
      <c r="Y1208" s="1"/>
      <c r="Z1208" s="1"/>
      <c r="AA1208" s="1"/>
      <c r="AB1208" s="1"/>
    </row>
    <row r="1209" spans="1:28">
      <c r="A1209" s="261"/>
      <c r="B1209" s="261"/>
      <c r="C1209" s="115"/>
      <c r="D1209" s="1"/>
      <c r="E1209" s="1"/>
      <c r="F1209" s="1"/>
      <c r="G1209" s="1"/>
      <c r="H1209" s="1"/>
      <c r="I1209" s="1"/>
      <c r="J1209" s="1"/>
      <c r="K1209" s="1"/>
      <c r="L1209" s="2"/>
      <c r="M1209" s="2"/>
      <c r="N1209" s="2"/>
      <c r="O1209" s="2"/>
      <c r="P1209" s="2"/>
      <c r="Q1209" s="2"/>
      <c r="R1209" s="2"/>
      <c r="S1209" s="2"/>
      <c r="T1209" s="3"/>
      <c r="U1209" s="1"/>
      <c r="V1209" s="1"/>
      <c r="W1209" s="1"/>
      <c r="X1209" s="1"/>
      <c r="Y1209" s="1"/>
      <c r="Z1209" s="1"/>
      <c r="AA1209" s="1"/>
      <c r="AB1209" s="1"/>
    </row>
    <row r="1210" spans="1:28">
      <c r="A1210" s="261"/>
      <c r="B1210" s="261"/>
      <c r="C1210" s="115"/>
      <c r="D1210" s="1"/>
      <c r="E1210" s="1"/>
      <c r="F1210" s="1"/>
      <c r="G1210" s="1"/>
      <c r="H1210" s="1"/>
      <c r="I1210" s="1"/>
      <c r="J1210" s="1"/>
      <c r="K1210" s="1"/>
      <c r="L1210" s="2"/>
      <c r="M1210" s="2"/>
      <c r="N1210" s="2"/>
      <c r="O1210" s="2"/>
      <c r="P1210" s="2"/>
      <c r="Q1210" s="2"/>
      <c r="R1210" s="2"/>
      <c r="S1210" s="2"/>
      <c r="T1210" s="3"/>
      <c r="U1210" s="1"/>
      <c r="V1210" s="1"/>
      <c r="W1210" s="1"/>
      <c r="X1210" s="1"/>
      <c r="Y1210" s="1"/>
      <c r="Z1210" s="1"/>
      <c r="AA1210" s="1"/>
      <c r="AB1210" s="1"/>
    </row>
    <row r="1211" spans="1:28">
      <c r="A1211" s="261"/>
      <c r="B1211" s="261"/>
      <c r="C1211" s="115"/>
      <c r="D1211" s="1"/>
      <c r="E1211" s="1"/>
      <c r="F1211" s="1"/>
      <c r="G1211" s="1"/>
      <c r="H1211" s="1"/>
      <c r="I1211" s="1"/>
      <c r="J1211" s="1"/>
      <c r="K1211" s="1"/>
      <c r="L1211" s="2"/>
      <c r="M1211" s="2"/>
      <c r="N1211" s="2"/>
      <c r="O1211" s="2"/>
      <c r="P1211" s="2"/>
      <c r="Q1211" s="2"/>
      <c r="R1211" s="2"/>
      <c r="S1211" s="2"/>
      <c r="T1211" s="3"/>
      <c r="U1211" s="1"/>
      <c r="V1211" s="1"/>
      <c r="W1211" s="1"/>
      <c r="X1211" s="1"/>
      <c r="Y1211" s="1"/>
      <c r="Z1211" s="1"/>
      <c r="AA1211" s="1"/>
      <c r="AB1211" s="1"/>
    </row>
    <row r="1212" spans="1:28">
      <c r="A1212" s="261"/>
      <c r="B1212" s="261"/>
      <c r="C1212" s="115"/>
      <c r="D1212" s="1"/>
      <c r="E1212" s="1"/>
      <c r="F1212" s="1"/>
      <c r="G1212" s="1"/>
      <c r="H1212" s="1"/>
      <c r="I1212" s="1"/>
      <c r="J1212" s="1"/>
      <c r="K1212" s="1"/>
      <c r="L1212" s="2"/>
      <c r="M1212" s="2"/>
      <c r="N1212" s="2"/>
      <c r="O1212" s="2"/>
      <c r="P1212" s="2"/>
      <c r="Q1212" s="2"/>
      <c r="R1212" s="2"/>
      <c r="S1212" s="2"/>
      <c r="T1212" s="3"/>
      <c r="U1212" s="1"/>
      <c r="V1212" s="1"/>
      <c r="W1212" s="1"/>
      <c r="X1212" s="1"/>
      <c r="Y1212" s="1"/>
      <c r="Z1212" s="1"/>
      <c r="AA1212" s="1"/>
      <c r="AB1212" s="1"/>
    </row>
    <row r="1213" spans="1:28">
      <c r="A1213" s="261"/>
      <c r="B1213" s="261"/>
      <c r="C1213" s="115"/>
      <c r="D1213" s="1"/>
      <c r="E1213" s="1"/>
      <c r="F1213" s="1"/>
      <c r="G1213" s="1"/>
      <c r="H1213" s="1"/>
      <c r="I1213" s="1"/>
      <c r="J1213" s="1"/>
      <c r="K1213" s="1"/>
      <c r="L1213" s="2"/>
      <c r="M1213" s="2"/>
      <c r="N1213" s="2"/>
      <c r="O1213" s="2"/>
      <c r="P1213" s="2"/>
      <c r="Q1213" s="2"/>
      <c r="R1213" s="2"/>
      <c r="S1213" s="2"/>
      <c r="T1213" s="3"/>
      <c r="U1213" s="1"/>
      <c r="V1213" s="1"/>
      <c r="W1213" s="1"/>
      <c r="X1213" s="1"/>
      <c r="Y1213" s="1"/>
      <c r="Z1213" s="1"/>
      <c r="AA1213" s="1"/>
      <c r="AB1213" s="1"/>
    </row>
    <row r="1214" spans="1:28">
      <c r="A1214" s="261"/>
      <c r="B1214" s="261"/>
      <c r="C1214" s="115"/>
      <c r="D1214" s="1"/>
      <c r="E1214" s="1"/>
      <c r="F1214" s="1"/>
      <c r="G1214" s="1"/>
      <c r="H1214" s="1"/>
      <c r="I1214" s="1"/>
      <c r="J1214" s="1"/>
      <c r="K1214" s="1"/>
      <c r="L1214" s="2"/>
      <c r="M1214" s="2"/>
      <c r="N1214" s="2"/>
      <c r="O1214" s="2"/>
      <c r="P1214" s="2"/>
      <c r="Q1214" s="2"/>
      <c r="R1214" s="2"/>
      <c r="S1214" s="2"/>
      <c r="T1214" s="3"/>
      <c r="U1214" s="1"/>
      <c r="V1214" s="1"/>
      <c r="W1214" s="1"/>
      <c r="X1214" s="1"/>
      <c r="Y1214" s="1"/>
      <c r="Z1214" s="1"/>
      <c r="AA1214" s="1"/>
      <c r="AB1214" s="1"/>
    </row>
    <row r="1215" spans="1:28">
      <c r="A1215" s="261"/>
      <c r="B1215" s="261"/>
      <c r="C1215" s="115"/>
      <c r="D1215" s="1"/>
      <c r="E1215" s="1"/>
      <c r="F1215" s="1"/>
      <c r="G1215" s="1"/>
      <c r="H1215" s="1"/>
      <c r="I1215" s="1"/>
      <c r="J1215" s="1"/>
      <c r="K1215" s="1"/>
      <c r="L1215" s="2"/>
      <c r="M1215" s="2"/>
      <c r="N1215" s="2"/>
      <c r="O1215" s="2"/>
      <c r="P1215" s="2"/>
      <c r="Q1215" s="2"/>
      <c r="R1215" s="2"/>
      <c r="S1215" s="2"/>
      <c r="T1215" s="3"/>
      <c r="U1215" s="1"/>
      <c r="V1215" s="1"/>
      <c r="W1215" s="1"/>
      <c r="X1215" s="1"/>
      <c r="Y1215" s="1"/>
      <c r="Z1215" s="1"/>
      <c r="AA1215" s="1"/>
      <c r="AB1215" s="1"/>
    </row>
    <row r="1216" spans="1:28">
      <c r="A1216" s="261"/>
      <c r="B1216" s="261"/>
      <c r="C1216" s="115"/>
      <c r="D1216" s="1"/>
      <c r="E1216" s="1"/>
      <c r="F1216" s="1"/>
      <c r="G1216" s="1"/>
      <c r="H1216" s="1"/>
      <c r="I1216" s="1"/>
      <c r="J1216" s="1"/>
      <c r="K1216" s="1"/>
      <c r="L1216" s="2"/>
      <c r="M1216" s="2"/>
      <c r="N1216" s="2"/>
      <c r="O1216" s="2"/>
      <c r="P1216" s="2"/>
      <c r="Q1216" s="2"/>
      <c r="R1216" s="2"/>
      <c r="S1216" s="2"/>
      <c r="T1216" s="3"/>
      <c r="U1216" s="1"/>
      <c r="V1216" s="1"/>
      <c r="W1216" s="1"/>
      <c r="X1216" s="1"/>
      <c r="Y1216" s="1"/>
      <c r="Z1216" s="1"/>
      <c r="AA1216" s="1"/>
      <c r="AB1216" s="1"/>
    </row>
    <row r="1217" spans="1:28">
      <c r="A1217" s="261"/>
      <c r="B1217" s="261"/>
      <c r="C1217" s="115"/>
      <c r="D1217" s="1"/>
      <c r="E1217" s="1"/>
      <c r="F1217" s="1"/>
      <c r="G1217" s="1"/>
      <c r="H1217" s="1"/>
      <c r="I1217" s="1"/>
      <c r="J1217" s="1"/>
      <c r="K1217" s="1"/>
      <c r="L1217" s="2"/>
      <c r="M1217" s="2"/>
      <c r="N1217" s="2"/>
      <c r="O1217" s="2"/>
      <c r="P1217" s="2"/>
      <c r="Q1217" s="2"/>
      <c r="R1217" s="2"/>
      <c r="S1217" s="2"/>
      <c r="T1217" s="3"/>
      <c r="U1217" s="1"/>
      <c r="V1217" s="1"/>
      <c r="W1217" s="1"/>
      <c r="X1217" s="1"/>
      <c r="Y1217" s="1"/>
      <c r="Z1217" s="1"/>
      <c r="AA1217" s="1"/>
      <c r="AB1217" s="1"/>
    </row>
    <row r="1218" spans="1:28">
      <c r="A1218" s="261"/>
      <c r="B1218" s="261"/>
      <c r="C1218" s="115"/>
      <c r="D1218" s="1"/>
      <c r="E1218" s="1"/>
      <c r="F1218" s="1"/>
      <c r="G1218" s="1"/>
      <c r="H1218" s="1"/>
      <c r="I1218" s="1"/>
      <c r="J1218" s="1"/>
      <c r="K1218" s="1"/>
      <c r="L1218" s="2"/>
      <c r="M1218" s="2"/>
      <c r="N1218" s="2"/>
      <c r="O1218" s="2"/>
      <c r="P1218" s="2"/>
      <c r="Q1218" s="2"/>
      <c r="R1218" s="2"/>
      <c r="S1218" s="2"/>
      <c r="T1218" s="3"/>
      <c r="U1218" s="1"/>
      <c r="V1218" s="1"/>
      <c r="W1218" s="1"/>
      <c r="X1218" s="1"/>
      <c r="Y1218" s="1"/>
      <c r="Z1218" s="1"/>
      <c r="AA1218" s="1"/>
      <c r="AB1218" s="1"/>
    </row>
    <row r="1219" spans="1:28">
      <c r="A1219" s="261"/>
      <c r="B1219" s="261"/>
      <c r="C1219" s="115"/>
      <c r="D1219" s="1"/>
      <c r="E1219" s="1"/>
      <c r="F1219" s="1"/>
      <c r="G1219" s="1"/>
      <c r="H1219" s="1"/>
      <c r="I1219" s="1"/>
      <c r="J1219" s="1"/>
      <c r="K1219" s="1"/>
      <c r="L1219" s="2"/>
      <c r="M1219" s="2"/>
      <c r="N1219" s="2"/>
      <c r="O1219" s="2"/>
      <c r="P1219" s="2"/>
      <c r="Q1219" s="2"/>
      <c r="R1219" s="2"/>
      <c r="S1219" s="2"/>
      <c r="T1219" s="3"/>
      <c r="U1219" s="1"/>
      <c r="V1219" s="1"/>
      <c r="W1219" s="1"/>
      <c r="X1219" s="1"/>
      <c r="Y1219" s="1"/>
      <c r="Z1219" s="1"/>
      <c r="AA1219" s="1"/>
      <c r="AB1219" s="1"/>
    </row>
    <row r="1220" spans="1:28">
      <c r="A1220" s="261"/>
      <c r="B1220" s="261"/>
      <c r="C1220" s="115"/>
      <c r="D1220" s="1"/>
      <c r="E1220" s="1"/>
      <c r="F1220" s="1"/>
      <c r="G1220" s="1"/>
      <c r="H1220" s="1"/>
      <c r="I1220" s="1"/>
      <c r="J1220" s="1"/>
      <c r="K1220" s="1"/>
      <c r="L1220" s="2"/>
      <c r="M1220" s="2"/>
      <c r="N1220" s="2"/>
      <c r="O1220" s="2"/>
      <c r="P1220" s="2"/>
      <c r="Q1220" s="2"/>
      <c r="R1220" s="2"/>
      <c r="S1220" s="2"/>
      <c r="T1220" s="3"/>
      <c r="U1220" s="1"/>
      <c r="V1220" s="1"/>
      <c r="W1220" s="1"/>
      <c r="X1220" s="1"/>
      <c r="Y1220" s="1"/>
      <c r="Z1220" s="1"/>
      <c r="AA1220" s="1"/>
      <c r="AB1220" s="1"/>
    </row>
    <row r="1221" spans="1:28">
      <c r="A1221" s="261"/>
      <c r="B1221" s="261"/>
      <c r="C1221" s="115"/>
      <c r="D1221" s="1"/>
      <c r="E1221" s="1"/>
      <c r="F1221" s="1"/>
      <c r="G1221" s="1"/>
      <c r="H1221" s="1"/>
      <c r="I1221" s="1"/>
      <c r="J1221" s="1"/>
      <c r="K1221" s="1"/>
      <c r="L1221" s="2"/>
      <c r="M1221" s="2"/>
      <c r="N1221" s="2"/>
      <c r="O1221" s="2"/>
      <c r="P1221" s="2"/>
      <c r="Q1221" s="2"/>
      <c r="R1221" s="2"/>
      <c r="S1221" s="2"/>
      <c r="T1221" s="3"/>
      <c r="U1221" s="1"/>
      <c r="V1221" s="1"/>
      <c r="W1221" s="1"/>
      <c r="X1221" s="1"/>
      <c r="Y1221" s="1"/>
      <c r="Z1221" s="1"/>
      <c r="AA1221" s="1"/>
      <c r="AB1221" s="1"/>
    </row>
    <row r="1222" spans="1:28">
      <c r="A1222" s="261"/>
      <c r="B1222" s="261"/>
      <c r="C1222" s="115"/>
      <c r="D1222" s="1"/>
      <c r="E1222" s="1"/>
      <c r="F1222" s="1"/>
      <c r="G1222" s="1"/>
      <c r="H1222" s="1"/>
      <c r="I1222" s="1"/>
      <c r="J1222" s="1"/>
      <c r="K1222" s="1"/>
      <c r="L1222" s="2"/>
      <c r="M1222" s="2"/>
      <c r="N1222" s="2"/>
      <c r="O1222" s="2"/>
      <c r="P1222" s="2"/>
      <c r="Q1222" s="2"/>
      <c r="R1222" s="2"/>
      <c r="S1222" s="2"/>
      <c r="T1222" s="3"/>
      <c r="U1222" s="1"/>
      <c r="V1222" s="1"/>
      <c r="W1222" s="1"/>
      <c r="X1222" s="1"/>
      <c r="Y1222" s="1"/>
      <c r="Z1222" s="1"/>
      <c r="AA1222" s="1"/>
      <c r="AB1222" s="1"/>
    </row>
    <row r="1223" spans="1:28">
      <c r="A1223" s="261"/>
      <c r="B1223" s="261"/>
      <c r="C1223" s="115"/>
      <c r="D1223" s="1"/>
      <c r="E1223" s="1"/>
      <c r="F1223" s="1"/>
      <c r="G1223" s="1"/>
      <c r="H1223" s="1"/>
      <c r="I1223" s="1"/>
      <c r="J1223" s="1"/>
      <c r="K1223" s="1"/>
      <c r="L1223" s="2"/>
      <c r="M1223" s="2"/>
      <c r="N1223" s="2"/>
      <c r="O1223" s="2"/>
      <c r="P1223" s="2"/>
      <c r="Q1223" s="2"/>
      <c r="R1223" s="2"/>
      <c r="S1223" s="2"/>
      <c r="T1223" s="3"/>
      <c r="U1223" s="1"/>
      <c r="V1223" s="1"/>
      <c r="W1223" s="1"/>
      <c r="X1223" s="1"/>
      <c r="Y1223" s="1"/>
      <c r="Z1223" s="1"/>
      <c r="AA1223" s="1"/>
      <c r="AB1223" s="1"/>
    </row>
    <row r="1224" spans="1:28">
      <c r="A1224" s="261"/>
      <c r="B1224" s="261"/>
      <c r="C1224" s="115"/>
      <c r="D1224" s="1"/>
      <c r="E1224" s="1"/>
      <c r="F1224" s="1"/>
      <c r="G1224" s="1"/>
      <c r="H1224" s="1"/>
      <c r="I1224" s="1"/>
      <c r="J1224" s="1"/>
      <c r="K1224" s="1"/>
      <c r="L1224" s="2"/>
      <c r="M1224" s="2"/>
      <c r="N1224" s="2"/>
      <c r="O1224" s="2"/>
      <c r="P1224" s="2"/>
      <c r="Q1224" s="2"/>
      <c r="R1224" s="2"/>
      <c r="S1224" s="2"/>
      <c r="T1224" s="3"/>
      <c r="U1224" s="1"/>
      <c r="V1224" s="1"/>
      <c r="W1224" s="1"/>
      <c r="X1224" s="1"/>
      <c r="Y1224" s="1"/>
      <c r="Z1224" s="1"/>
      <c r="AA1224" s="1"/>
      <c r="AB1224" s="1"/>
    </row>
    <row r="1225" spans="1:28">
      <c r="A1225" s="261"/>
      <c r="B1225" s="261"/>
      <c r="C1225" s="115"/>
      <c r="D1225" s="1"/>
      <c r="E1225" s="1"/>
      <c r="F1225" s="1"/>
      <c r="G1225" s="1"/>
      <c r="H1225" s="1"/>
      <c r="I1225" s="1"/>
      <c r="J1225" s="1"/>
      <c r="K1225" s="1"/>
      <c r="L1225" s="2"/>
      <c r="M1225" s="2"/>
      <c r="N1225" s="2"/>
      <c r="O1225" s="2"/>
      <c r="P1225" s="2"/>
      <c r="Q1225" s="2"/>
      <c r="R1225" s="2"/>
      <c r="S1225" s="2"/>
      <c r="T1225" s="3"/>
      <c r="U1225" s="1"/>
      <c r="V1225" s="1"/>
      <c r="W1225" s="1"/>
      <c r="X1225" s="1"/>
      <c r="Y1225" s="1"/>
      <c r="Z1225" s="1"/>
      <c r="AA1225" s="1"/>
      <c r="AB1225" s="1"/>
    </row>
    <row r="1226" spans="1:28">
      <c r="A1226" s="261"/>
      <c r="B1226" s="261"/>
      <c r="C1226" s="115"/>
      <c r="D1226" s="1"/>
      <c r="E1226" s="1"/>
      <c r="F1226" s="1"/>
      <c r="G1226" s="1"/>
      <c r="H1226" s="1"/>
      <c r="I1226" s="1"/>
      <c r="J1226" s="1"/>
      <c r="K1226" s="1"/>
      <c r="L1226" s="2"/>
      <c r="M1226" s="2"/>
      <c r="N1226" s="2"/>
      <c r="O1226" s="2"/>
      <c r="P1226" s="2"/>
      <c r="Q1226" s="2"/>
      <c r="R1226" s="2"/>
      <c r="S1226" s="2"/>
      <c r="T1226" s="3"/>
      <c r="U1226" s="1"/>
      <c r="V1226" s="1"/>
      <c r="W1226" s="1"/>
      <c r="X1226" s="1"/>
      <c r="Y1226" s="1"/>
      <c r="Z1226" s="1"/>
      <c r="AA1226" s="1"/>
      <c r="AB1226" s="1"/>
    </row>
    <row r="1227" spans="1:28">
      <c r="A1227" s="261"/>
      <c r="B1227" s="261"/>
      <c r="C1227" s="115"/>
      <c r="D1227" s="1"/>
      <c r="E1227" s="1"/>
      <c r="F1227" s="1"/>
      <c r="G1227" s="1"/>
      <c r="H1227" s="1"/>
      <c r="I1227" s="1"/>
      <c r="J1227" s="1"/>
      <c r="K1227" s="1"/>
      <c r="L1227" s="2"/>
      <c r="M1227" s="2"/>
      <c r="N1227" s="2"/>
      <c r="O1227" s="2"/>
      <c r="P1227" s="2"/>
      <c r="Q1227" s="2"/>
      <c r="R1227" s="2"/>
      <c r="S1227" s="2"/>
      <c r="T1227" s="3"/>
      <c r="U1227" s="1"/>
      <c r="V1227" s="1"/>
      <c r="W1227" s="1"/>
      <c r="X1227" s="1"/>
      <c r="Y1227" s="1"/>
      <c r="Z1227" s="1"/>
      <c r="AA1227" s="1"/>
      <c r="AB1227" s="1"/>
    </row>
    <row r="1228" spans="1:28">
      <c r="A1228" s="261"/>
      <c r="B1228" s="261"/>
      <c r="C1228" s="115"/>
      <c r="D1228" s="1"/>
      <c r="E1228" s="1"/>
      <c r="F1228" s="1"/>
      <c r="G1228" s="1"/>
      <c r="H1228" s="1"/>
      <c r="I1228" s="1"/>
      <c r="J1228" s="1"/>
      <c r="K1228" s="1"/>
      <c r="L1228" s="2"/>
      <c r="M1228" s="2"/>
      <c r="N1228" s="2"/>
      <c r="O1228" s="2"/>
      <c r="P1228" s="2"/>
      <c r="Q1228" s="2"/>
      <c r="R1228" s="2"/>
      <c r="S1228" s="2"/>
      <c r="T1228" s="3"/>
      <c r="U1228" s="1"/>
      <c r="V1228" s="1"/>
      <c r="W1228" s="1"/>
      <c r="X1228" s="1"/>
      <c r="Y1228" s="1"/>
      <c r="Z1228" s="1"/>
      <c r="AA1228" s="1"/>
      <c r="AB1228" s="1"/>
    </row>
    <row r="1229" spans="1:28">
      <c r="A1229" s="261"/>
      <c r="B1229" s="261"/>
      <c r="C1229" s="115"/>
      <c r="D1229" s="1"/>
      <c r="E1229" s="1"/>
      <c r="F1229" s="1"/>
      <c r="G1229" s="1"/>
      <c r="H1229" s="1"/>
      <c r="I1229" s="1"/>
      <c r="J1229" s="1"/>
      <c r="K1229" s="1"/>
      <c r="L1229" s="2"/>
      <c r="M1229" s="2"/>
      <c r="N1229" s="2"/>
      <c r="O1229" s="2"/>
      <c r="P1229" s="2"/>
      <c r="Q1229" s="2"/>
      <c r="R1229" s="2"/>
      <c r="S1229" s="2"/>
      <c r="T1229" s="3"/>
      <c r="U1229" s="1"/>
      <c r="V1229" s="1"/>
      <c r="W1229" s="1"/>
      <c r="X1229" s="1"/>
      <c r="Y1229" s="1"/>
      <c r="Z1229" s="1"/>
      <c r="AA1229" s="1"/>
      <c r="AB1229" s="1"/>
    </row>
    <row r="1230" spans="1:28">
      <c r="A1230" s="261"/>
      <c r="B1230" s="261"/>
      <c r="C1230" s="115"/>
      <c r="D1230" s="1"/>
      <c r="E1230" s="1"/>
      <c r="F1230" s="1"/>
      <c r="G1230" s="1"/>
      <c r="H1230" s="1"/>
      <c r="I1230" s="1"/>
      <c r="J1230" s="1"/>
      <c r="K1230" s="1"/>
      <c r="L1230" s="2"/>
      <c r="M1230" s="2"/>
      <c r="N1230" s="2"/>
      <c r="O1230" s="2"/>
      <c r="P1230" s="2"/>
      <c r="Q1230" s="2"/>
      <c r="R1230" s="2"/>
      <c r="S1230" s="2"/>
      <c r="T1230" s="3"/>
      <c r="U1230" s="1"/>
      <c r="V1230" s="1"/>
      <c r="W1230" s="1"/>
      <c r="X1230" s="1"/>
      <c r="Y1230" s="1"/>
      <c r="Z1230" s="1"/>
      <c r="AA1230" s="1"/>
      <c r="AB1230" s="1"/>
    </row>
    <row r="1231" spans="1:28">
      <c r="A1231" s="261"/>
      <c r="B1231" s="261"/>
      <c r="C1231" s="115"/>
      <c r="D1231" s="1"/>
      <c r="E1231" s="1"/>
      <c r="F1231" s="1"/>
      <c r="G1231" s="1"/>
      <c r="H1231" s="1"/>
      <c r="I1231" s="1"/>
      <c r="J1231" s="1"/>
      <c r="K1231" s="1"/>
      <c r="L1231" s="2"/>
      <c r="M1231" s="2"/>
      <c r="N1231" s="2"/>
      <c r="O1231" s="2"/>
      <c r="P1231" s="2"/>
      <c r="Q1231" s="2"/>
      <c r="R1231" s="2"/>
      <c r="S1231" s="2"/>
      <c r="T1231" s="3"/>
      <c r="U1231" s="1"/>
      <c r="V1231" s="1"/>
      <c r="W1231" s="1"/>
      <c r="X1231" s="1"/>
      <c r="Y1231" s="1"/>
      <c r="Z1231" s="1"/>
      <c r="AA1231" s="1"/>
      <c r="AB1231" s="1"/>
    </row>
    <row r="1232" spans="1:28">
      <c r="A1232" s="261"/>
      <c r="B1232" s="261"/>
      <c r="C1232" s="115"/>
      <c r="D1232" s="1"/>
      <c r="E1232" s="1"/>
      <c r="F1232" s="1"/>
      <c r="G1232" s="1"/>
      <c r="H1232" s="1"/>
      <c r="I1232" s="1"/>
      <c r="J1232" s="1"/>
      <c r="K1232" s="1"/>
      <c r="L1232" s="2"/>
      <c r="M1232" s="2"/>
      <c r="N1232" s="2"/>
      <c r="O1232" s="2"/>
      <c r="P1232" s="2"/>
      <c r="Q1232" s="2"/>
      <c r="R1232" s="2"/>
      <c r="S1232" s="2"/>
      <c r="T1232" s="3"/>
      <c r="U1232" s="1"/>
      <c r="V1232" s="1"/>
      <c r="W1232" s="1"/>
      <c r="X1232" s="1"/>
      <c r="Y1232" s="1"/>
      <c r="Z1232" s="1"/>
      <c r="AA1232" s="1"/>
      <c r="AB1232" s="1"/>
    </row>
    <row r="1233" spans="1:28">
      <c r="A1233" s="261"/>
      <c r="B1233" s="261"/>
      <c r="C1233" s="115"/>
      <c r="D1233" s="1"/>
      <c r="E1233" s="1"/>
      <c r="F1233" s="1"/>
      <c r="G1233" s="1"/>
      <c r="H1233" s="1"/>
      <c r="I1233" s="1"/>
      <c r="J1233" s="1"/>
      <c r="K1233" s="1"/>
      <c r="L1233" s="2"/>
      <c r="M1233" s="2"/>
      <c r="N1233" s="2"/>
      <c r="O1233" s="2"/>
      <c r="P1233" s="2"/>
      <c r="Q1233" s="2"/>
      <c r="R1233" s="2"/>
      <c r="S1233" s="2"/>
      <c r="T1233" s="3"/>
      <c r="U1233" s="1"/>
      <c r="V1233" s="1"/>
      <c r="W1233" s="1"/>
      <c r="X1233" s="1"/>
      <c r="Y1233" s="1"/>
      <c r="Z1233" s="1"/>
      <c r="AA1233" s="1"/>
      <c r="AB1233" s="1"/>
    </row>
    <row r="1234" spans="1:28">
      <c r="A1234" s="261"/>
      <c r="B1234" s="261"/>
      <c r="C1234" s="115"/>
      <c r="D1234" s="1"/>
      <c r="E1234" s="1"/>
      <c r="F1234" s="1"/>
      <c r="G1234" s="1"/>
      <c r="H1234" s="1"/>
      <c r="I1234" s="1"/>
      <c r="J1234" s="1"/>
      <c r="K1234" s="1"/>
      <c r="L1234" s="2"/>
      <c r="M1234" s="2"/>
      <c r="N1234" s="2"/>
      <c r="O1234" s="2"/>
      <c r="P1234" s="2"/>
      <c r="Q1234" s="2"/>
      <c r="R1234" s="2"/>
      <c r="S1234" s="2"/>
      <c r="T1234" s="3"/>
      <c r="U1234" s="1"/>
      <c r="V1234" s="1"/>
      <c r="W1234" s="1"/>
      <c r="X1234" s="1"/>
      <c r="Y1234" s="1"/>
      <c r="Z1234" s="1"/>
      <c r="AA1234" s="1"/>
      <c r="AB1234" s="1"/>
    </row>
    <row r="1235" spans="1:28">
      <c r="A1235" s="261"/>
      <c r="B1235" s="261"/>
      <c r="C1235" s="115"/>
      <c r="D1235" s="1"/>
      <c r="E1235" s="1"/>
      <c r="F1235" s="1"/>
      <c r="G1235" s="1"/>
      <c r="H1235" s="1"/>
      <c r="I1235" s="1"/>
      <c r="J1235" s="1"/>
      <c r="K1235" s="1"/>
      <c r="L1235" s="2"/>
      <c r="M1235" s="2"/>
      <c r="N1235" s="2"/>
      <c r="O1235" s="2"/>
      <c r="P1235" s="2"/>
      <c r="Q1235" s="2"/>
      <c r="R1235" s="2"/>
      <c r="S1235" s="2"/>
      <c r="T1235" s="3"/>
      <c r="U1235" s="1"/>
      <c r="V1235" s="1"/>
      <c r="W1235" s="1"/>
      <c r="X1235" s="1"/>
      <c r="Y1235" s="1"/>
      <c r="Z1235" s="1"/>
      <c r="AA1235" s="1"/>
      <c r="AB1235" s="1"/>
    </row>
    <row r="1236" spans="1:28">
      <c r="A1236" s="261"/>
      <c r="B1236" s="261"/>
      <c r="C1236" s="115"/>
      <c r="D1236" s="1"/>
      <c r="E1236" s="1"/>
      <c r="F1236" s="1"/>
      <c r="G1236" s="1"/>
      <c r="H1236" s="1"/>
      <c r="I1236" s="1"/>
      <c r="J1236" s="1"/>
      <c r="K1236" s="1"/>
      <c r="L1236" s="2"/>
      <c r="M1236" s="2"/>
      <c r="N1236" s="2"/>
      <c r="O1236" s="2"/>
      <c r="P1236" s="2"/>
      <c r="Q1236" s="2"/>
      <c r="R1236" s="2"/>
      <c r="S1236" s="2"/>
      <c r="T1236" s="3"/>
      <c r="U1236" s="1"/>
      <c r="V1236" s="1"/>
      <c r="W1236" s="1"/>
      <c r="X1236" s="1"/>
      <c r="Y1236" s="1"/>
      <c r="Z1236" s="1"/>
      <c r="AA1236" s="1"/>
      <c r="AB1236" s="1"/>
    </row>
    <row r="1237" spans="1:28">
      <c r="A1237" s="261"/>
      <c r="B1237" s="261"/>
      <c r="C1237" s="115"/>
      <c r="D1237" s="1"/>
      <c r="E1237" s="1"/>
      <c r="F1237" s="1"/>
      <c r="G1237" s="1"/>
      <c r="H1237" s="1"/>
      <c r="I1237" s="1"/>
      <c r="J1237" s="1"/>
      <c r="K1237" s="1"/>
      <c r="L1237" s="2"/>
      <c r="M1237" s="2"/>
      <c r="N1237" s="2"/>
      <c r="O1237" s="2"/>
      <c r="P1237" s="2"/>
      <c r="Q1237" s="2"/>
      <c r="R1237" s="2"/>
      <c r="S1237" s="2"/>
      <c r="T1237" s="3"/>
      <c r="U1237" s="1"/>
      <c r="V1237" s="1"/>
      <c r="W1237" s="1"/>
      <c r="X1237" s="1"/>
      <c r="Y1237" s="1"/>
      <c r="Z1237" s="1"/>
      <c r="AA1237" s="1"/>
      <c r="AB1237" s="1"/>
    </row>
    <row r="1238" spans="1:28">
      <c r="A1238" s="261"/>
      <c r="B1238" s="261"/>
      <c r="C1238" s="115"/>
      <c r="D1238" s="1"/>
      <c r="E1238" s="1"/>
      <c r="F1238" s="1"/>
      <c r="G1238" s="1"/>
      <c r="H1238" s="1"/>
      <c r="I1238" s="1"/>
      <c r="J1238" s="1"/>
      <c r="K1238" s="1"/>
      <c r="L1238" s="2"/>
      <c r="M1238" s="2"/>
      <c r="N1238" s="2"/>
      <c r="O1238" s="2"/>
      <c r="P1238" s="2"/>
      <c r="Q1238" s="2"/>
      <c r="R1238" s="2"/>
      <c r="S1238" s="2"/>
      <c r="T1238" s="3"/>
      <c r="U1238" s="1"/>
      <c r="V1238" s="1"/>
      <c r="W1238" s="1"/>
      <c r="X1238" s="1"/>
      <c r="Y1238" s="1"/>
      <c r="Z1238" s="1"/>
      <c r="AA1238" s="1"/>
      <c r="AB1238" s="1"/>
    </row>
    <row r="1239" spans="1:28">
      <c r="A1239" s="261"/>
      <c r="B1239" s="261"/>
      <c r="C1239" s="115"/>
      <c r="D1239" s="1"/>
      <c r="E1239" s="1"/>
      <c r="F1239" s="1"/>
      <c r="G1239" s="1"/>
      <c r="H1239" s="1"/>
      <c r="I1239" s="1"/>
      <c r="J1239" s="1"/>
      <c r="K1239" s="1"/>
      <c r="L1239" s="2"/>
      <c r="M1239" s="2"/>
      <c r="N1239" s="2"/>
      <c r="O1239" s="2"/>
      <c r="P1239" s="2"/>
      <c r="Q1239" s="2"/>
      <c r="R1239" s="2"/>
      <c r="S1239" s="2"/>
      <c r="T1239" s="3"/>
      <c r="U1239" s="1"/>
      <c r="V1239" s="1"/>
      <c r="W1239" s="1"/>
      <c r="X1239" s="1"/>
      <c r="Y1239" s="1"/>
      <c r="Z1239" s="1"/>
      <c r="AA1239" s="1"/>
      <c r="AB1239" s="1"/>
    </row>
    <row r="1240" spans="1:28">
      <c r="A1240" s="261"/>
      <c r="B1240" s="261"/>
      <c r="C1240" s="115"/>
      <c r="D1240" s="1"/>
      <c r="E1240" s="1"/>
      <c r="F1240" s="1"/>
      <c r="G1240" s="1"/>
      <c r="H1240" s="1"/>
      <c r="I1240" s="1"/>
      <c r="J1240" s="1"/>
      <c r="K1240" s="1"/>
      <c r="L1240" s="2"/>
      <c r="M1240" s="2"/>
      <c r="N1240" s="2"/>
      <c r="O1240" s="2"/>
      <c r="P1240" s="2"/>
      <c r="Q1240" s="2"/>
      <c r="R1240" s="2"/>
      <c r="S1240" s="2"/>
      <c r="T1240" s="3"/>
      <c r="U1240" s="1"/>
      <c r="V1240" s="1"/>
      <c r="W1240" s="1"/>
      <c r="X1240" s="1"/>
      <c r="Y1240" s="1"/>
      <c r="Z1240" s="1"/>
      <c r="AA1240" s="1"/>
      <c r="AB1240" s="1"/>
    </row>
    <row r="1241" spans="1:28">
      <c r="A1241" s="261"/>
      <c r="B1241" s="261"/>
      <c r="C1241" s="115"/>
      <c r="D1241" s="1"/>
      <c r="E1241" s="1"/>
      <c r="F1241" s="1"/>
      <c r="G1241" s="1"/>
      <c r="H1241" s="1"/>
      <c r="I1241" s="1"/>
      <c r="J1241" s="1"/>
      <c r="K1241" s="1"/>
      <c r="L1241" s="2"/>
      <c r="M1241" s="2"/>
      <c r="N1241" s="2"/>
      <c r="O1241" s="2"/>
      <c r="P1241" s="2"/>
      <c r="Q1241" s="2"/>
      <c r="R1241" s="2"/>
      <c r="S1241" s="2"/>
      <c r="T1241" s="3"/>
      <c r="U1241" s="1"/>
      <c r="V1241" s="1"/>
      <c r="W1241" s="1"/>
      <c r="X1241" s="1"/>
      <c r="Y1241" s="1"/>
      <c r="Z1241" s="1"/>
      <c r="AA1241" s="1"/>
      <c r="AB1241" s="1"/>
    </row>
    <row r="1242" spans="1:28">
      <c r="A1242" s="261"/>
      <c r="B1242" s="261"/>
      <c r="C1242" s="115"/>
      <c r="D1242" s="1"/>
      <c r="E1242" s="1"/>
      <c r="F1242" s="1"/>
      <c r="G1242" s="1"/>
      <c r="H1242" s="1"/>
      <c r="I1242" s="1"/>
      <c r="J1242" s="1"/>
      <c r="K1242" s="1"/>
      <c r="L1242" s="2"/>
      <c r="M1242" s="2"/>
      <c r="N1242" s="2"/>
      <c r="O1242" s="2"/>
      <c r="P1242" s="2"/>
      <c r="Q1242" s="2"/>
      <c r="R1242" s="2"/>
      <c r="S1242" s="2"/>
      <c r="T1242" s="3"/>
      <c r="U1242" s="1"/>
      <c r="V1242" s="1"/>
      <c r="W1242" s="1"/>
      <c r="X1242" s="1"/>
      <c r="Y1242" s="1"/>
      <c r="Z1242" s="1"/>
      <c r="AA1242" s="1"/>
      <c r="AB1242" s="1"/>
    </row>
    <row r="1243" spans="1:28">
      <c r="A1243" s="261"/>
      <c r="B1243" s="261"/>
      <c r="C1243" s="115"/>
      <c r="D1243" s="1"/>
      <c r="E1243" s="1"/>
      <c r="F1243" s="1"/>
      <c r="G1243" s="1"/>
      <c r="H1243" s="1"/>
      <c r="I1243" s="1"/>
      <c r="J1243" s="1"/>
      <c r="K1243" s="1"/>
      <c r="L1243" s="2"/>
      <c r="M1243" s="2"/>
      <c r="N1243" s="2"/>
      <c r="O1243" s="2"/>
      <c r="P1243" s="2"/>
      <c r="Q1243" s="2"/>
      <c r="R1243" s="2"/>
      <c r="S1243" s="2"/>
      <c r="T1243" s="3"/>
      <c r="U1243" s="1"/>
      <c r="V1243" s="1"/>
      <c r="W1243" s="1"/>
      <c r="X1243" s="1"/>
      <c r="Y1243" s="1"/>
      <c r="Z1243" s="1"/>
      <c r="AA1243" s="1"/>
      <c r="AB1243" s="1"/>
    </row>
    <row r="1244" spans="1:28">
      <c r="A1244" s="261"/>
      <c r="B1244" s="261"/>
      <c r="C1244" s="115"/>
      <c r="D1244" s="1"/>
      <c r="E1244" s="1"/>
      <c r="F1244" s="1"/>
      <c r="G1244" s="1"/>
      <c r="H1244" s="1"/>
      <c r="I1244" s="1"/>
      <c r="J1244" s="1"/>
      <c r="K1244" s="1"/>
      <c r="L1244" s="2"/>
      <c r="M1244" s="2"/>
      <c r="N1244" s="2"/>
      <c r="O1244" s="2"/>
      <c r="P1244" s="2"/>
      <c r="Q1244" s="2"/>
      <c r="R1244" s="2"/>
      <c r="S1244" s="2"/>
      <c r="T1244" s="3"/>
      <c r="U1244" s="1"/>
      <c r="V1244" s="1"/>
      <c r="W1244" s="1"/>
      <c r="X1244" s="1"/>
      <c r="Y1244" s="1"/>
      <c r="Z1244" s="1"/>
      <c r="AA1244" s="1"/>
      <c r="AB1244" s="1"/>
    </row>
    <row r="1245" spans="1:28">
      <c r="A1245" s="261"/>
      <c r="B1245" s="261"/>
      <c r="C1245" s="115"/>
      <c r="D1245" s="1"/>
      <c r="E1245" s="1"/>
      <c r="F1245" s="1"/>
      <c r="G1245" s="1"/>
      <c r="H1245" s="1"/>
      <c r="I1245" s="1"/>
      <c r="J1245" s="1"/>
      <c r="K1245" s="1"/>
      <c r="L1245" s="2"/>
      <c r="M1245" s="2"/>
      <c r="N1245" s="2"/>
      <c r="O1245" s="2"/>
      <c r="P1245" s="2"/>
      <c r="Q1245" s="2"/>
      <c r="R1245" s="2"/>
      <c r="S1245" s="2"/>
      <c r="T1245" s="3"/>
      <c r="U1245" s="1"/>
      <c r="V1245" s="1"/>
      <c r="W1245" s="1"/>
      <c r="X1245" s="1"/>
      <c r="Y1245" s="1"/>
      <c r="Z1245" s="1"/>
      <c r="AA1245" s="1"/>
      <c r="AB1245" s="1"/>
    </row>
    <row r="1246" spans="1:28">
      <c r="A1246" s="261"/>
      <c r="B1246" s="261"/>
      <c r="C1246" s="115"/>
      <c r="D1246" s="1"/>
      <c r="E1246" s="1"/>
      <c r="F1246" s="1"/>
      <c r="G1246" s="1"/>
      <c r="H1246" s="1"/>
      <c r="I1246" s="1"/>
      <c r="J1246" s="1"/>
      <c r="K1246" s="1"/>
      <c r="L1246" s="2"/>
      <c r="M1246" s="2"/>
      <c r="N1246" s="2"/>
      <c r="O1246" s="2"/>
      <c r="P1246" s="2"/>
      <c r="Q1246" s="2"/>
      <c r="R1246" s="2"/>
      <c r="S1246" s="2"/>
      <c r="T1246" s="3"/>
      <c r="U1246" s="1"/>
      <c r="V1246" s="1"/>
      <c r="W1246" s="1"/>
      <c r="X1246" s="1"/>
      <c r="Y1246" s="1"/>
      <c r="Z1246" s="1"/>
      <c r="AA1246" s="1"/>
      <c r="AB1246" s="1"/>
    </row>
    <row r="1247" spans="1:28">
      <c r="A1247" s="261"/>
      <c r="B1247" s="261"/>
      <c r="C1247" s="115"/>
      <c r="D1247" s="1"/>
      <c r="E1247" s="1"/>
      <c r="F1247" s="1"/>
      <c r="G1247" s="1"/>
      <c r="H1247" s="1"/>
      <c r="I1247" s="1"/>
      <c r="J1247" s="1"/>
      <c r="K1247" s="1"/>
      <c r="L1247" s="2"/>
      <c r="M1247" s="2"/>
      <c r="N1247" s="2"/>
      <c r="O1247" s="2"/>
      <c r="P1247" s="2"/>
      <c r="Q1247" s="2"/>
      <c r="R1247" s="2"/>
      <c r="S1247" s="2"/>
      <c r="T1247" s="3"/>
      <c r="U1247" s="1"/>
      <c r="V1247" s="1"/>
      <c r="W1247" s="1"/>
      <c r="X1247" s="1"/>
      <c r="Y1247" s="1"/>
      <c r="Z1247" s="1"/>
      <c r="AA1247" s="1"/>
      <c r="AB1247" s="1"/>
    </row>
    <row r="1248" spans="1:28">
      <c r="A1248" s="261"/>
      <c r="B1248" s="261"/>
      <c r="C1248" s="115"/>
      <c r="D1248" s="1"/>
      <c r="E1248" s="1"/>
      <c r="F1248" s="1"/>
      <c r="G1248" s="1"/>
      <c r="H1248" s="1"/>
      <c r="I1248" s="1"/>
      <c r="J1248" s="1"/>
      <c r="K1248" s="1"/>
      <c r="L1248" s="2"/>
      <c r="M1248" s="2"/>
      <c r="N1248" s="2"/>
      <c r="O1248" s="2"/>
      <c r="P1248" s="2"/>
      <c r="Q1248" s="2"/>
      <c r="R1248" s="2"/>
      <c r="S1248" s="2"/>
      <c r="T1248" s="3"/>
      <c r="U1248" s="1"/>
      <c r="V1248" s="1"/>
      <c r="W1248" s="1"/>
      <c r="X1248" s="1"/>
      <c r="Y1248" s="1"/>
      <c r="Z1248" s="1"/>
      <c r="AA1248" s="1"/>
      <c r="AB1248" s="1"/>
    </row>
    <row r="1249" spans="1:28">
      <c r="A1249" s="261"/>
      <c r="B1249" s="261"/>
      <c r="C1249" s="115"/>
      <c r="D1249" s="1"/>
      <c r="E1249" s="1"/>
      <c r="F1249" s="1"/>
      <c r="G1249" s="1"/>
      <c r="H1249" s="1"/>
      <c r="I1249" s="1"/>
      <c r="J1249" s="1"/>
      <c r="K1249" s="1"/>
      <c r="L1249" s="2"/>
      <c r="M1249" s="2"/>
      <c r="N1249" s="2"/>
      <c r="O1249" s="2"/>
      <c r="P1249" s="2"/>
      <c r="Q1249" s="2"/>
      <c r="R1249" s="2"/>
      <c r="S1249" s="2"/>
      <c r="T1249" s="3"/>
      <c r="U1249" s="1"/>
      <c r="V1249" s="1"/>
      <c r="W1249" s="1"/>
      <c r="X1249" s="1"/>
      <c r="Y1249" s="1"/>
      <c r="Z1249" s="1"/>
      <c r="AA1249" s="1"/>
      <c r="AB1249" s="1"/>
    </row>
    <row r="1250" spans="1:28">
      <c r="A1250" s="261"/>
      <c r="B1250" s="261"/>
      <c r="C1250" s="115"/>
      <c r="D1250" s="1"/>
      <c r="E1250" s="1"/>
      <c r="F1250" s="1"/>
      <c r="G1250" s="1"/>
      <c r="H1250" s="1"/>
      <c r="I1250" s="1"/>
      <c r="J1250" s="1"/>
      <c r="K1250" s="1"/>
      <c r="L1250" s="2"/>
      <c r="M1250" s="2"/>
      <c r="N1250" s="2"/>
      <c r="O1250" s="2"/>
      <c r="P1250" s="2"/>
      <c r="Q1250" s="2"/>
      <c r="R1250" s="2"/>
      <c r="S1250" s="2"/>
      <c r="T1250" s="3"/>
      <c r="U1250" s="1"/>
      <c r="V1250" s="1"/>
      <c r="W1250" s="1"/>
      <c r="X1250" s="1"/>
      <c r="Y1250" s="1"/>
      <c r="Z1250" s="1"/>
      <c r="AA1250" s="1"/>
      <c r="AB1250" s="1"/>
    </row>
    <row r="1251" spans="1:28">
      <c r="A1251" s="261"/>
      <c r="B1251" s="261"/>
      <c r="C1251" s="115"/>
      <c r="D1251" s="1"/>
      <c r="E1251" s="1"/>
      <c r="F1251" s="1"/>
      <c r="G1251" s="1"/>
      <c r="H1251" s="1"/>
      <c r="I1251" s="1"/>
      <c r="J1251" s="1"/>
      <c r="K1251" s="1"/>
      <c r="L1251" s="2"/>
      <c r="M1251" s="2"/>
      <c r="N1251" s="2"/>
      <c r="O1251" s="2"/>
      <c r="P1251" s="2"/>
      <c r="Q1251" s="2"/>
      <c r="R1251" s="2"/>
      <c r="S1251" s="2"/>
      <c r="T1251" s="3"/>
      <c r="U1251" s="1"/>
      <c r="V1251" s="1"/>
      <c r="W1251" s="1"/>
      <c r="X1251" s="1"/>
      <c r="Y1251" s="1"/>
      <c r="Z1251" s="1"/>
      <c r="AA1251" s="1"/>
      <c r="AB1251" s="1"/>
    </row>
    <row r="1252" spans="1:28">
      <c r="A1252" s="261"/>
      <c r="B1252" s="261"/>
      <c r="C1252" s="115"/>
      <c r="D1252" s="1"/>
      <c r="E1252" s="1"/>
      <c r="F1252" s="1"/>
      <c r="G1252" s="1"/>
      <c r="H1252" s="1"/>
      <c r="I1252" s="1"/>
      <c r="J1252" s="1"/>
      <c r="K1252" s="1"/>
      <c r="L1252" s="2"/>
      <c r="M1252" s="2"/>
      <c r="N1252" s="2"/>
      <c r="O1252" s="2"/>
      <c r="P1252" s="2"/>
      <c r="Q1252" s="2"/>
      <c r="R1252" s="2"/>
      <c r="S1252" s="2"/>
      <c r="T1252" s="3"/>
      <c r="U1252" s="1"/>
      <c r="V1252" s="1"/>
      <c r="W1252" s="1"/>
      <c r="X1252" s="1"/>
      <c r="Y1252" s="1"/>
      <c r="Z1252" s="1"/>
      <c r="AA1252" s="1"/>
      <c r="AB1252" s="1"/>
    </row>
    <row r="1253" spans="1:28">
      <c r="A1253" s="261"/>
      <c r="B1253" s="261"/>
      <c r="C1253" s="115"/>
      <c r="D1253" s="1"/>
      <c r="E1253" s="1"/>
      <c r="F1253" s="1"/>
      <c r="G1253" s="1"/>
      <c r="H1253" s="1"/>
      <c r="I1253" s="1"/>
      <c r="J1253" s="1"/>
      <c r="K1253" s="1"/>
      <c r="L1253" s="2"/>
      <c r="M1253" s="2"/>
      <c r="N1253" s="2"/>
      <c r="O1253" s="2"/>
      <c r="P1253" s="2"/>
      <c r="Q1253" s="2"/>
      <c r="R1253" s="2"/>
      <c r="S1253" s="2"/>
      <c r="T1253" s="3"/>
      <c r="U1253" s="1"/>
      <c r="V1253" s="1"/>
      <c r="W1253" s="1"/>
      <c r="X1253" s="1"/>
      <c r="Y1253" s="1"/>
      <c r="Z1253" s="1"/>
      <c r="AA1253" s="1"/>
      <c r="AB1253" s="1"/>
    </row>
    <row r="1254" spans="1:28">
      <c r="A1254" s="261"/>
      <c r="B1254" s="261"/>
      <c r="C1254" s="115"/>
      <c r="D1254" s="1"/>
      <c r="E1254" s="1"/>
      <c r="F1254" s="1"/>
      <c r="G1254" s="1"/>
      <c r="H1254" s="1"/>
      <c r="I1254" s="1"/>
      <c r="J1254" s="1"/>
      <c r="K1254" s="1"/>
      <c r="L1254" s="2"/>
      <c r="M1254" s="2"/>
      <c r="N1254" s="2"/>
      <c r="O1254" s="2"/>
      <c r="P1254" s="2"/>
      <c r="Q1254" s="2"/>
      <c r="R1254" s="2"/>
      <c r="S1254" s="2"/>
      <c r="T1254" s="3"/>
      <c r="U1254" s="1"/>
      <c r="V1254" s="1"/>
      <c r="W1254" s="1"/>
      <c r="X1254" s="1"/>
      <c r="Y1254" s="1"/>
      <c r="Z1254" s="1"/>
      <c r="AA1254" s="1"/>
      <c r="AB1254" s="1"/>
    </row>
    <row r="1255" spans="1:28">
      <c r="A1255" s="261"/>
      <c r="B1255" s="261"/>
      <c r="C1255" s="115"/>
      <c r="D1255" s="1"/>
      <c r="E1255" s="1"/>
      <c r="F1255" s="1"/>
      <c r="G1255" s="1"/>
      <c r="H1255" s="1"/>
      <c r="I1255" s="1"/>
      <c r="J1255" s="1"/>
      <c r="K1255" s="1"/>
      <c r="L1255" s="2"/>
      <c r="M1255" s="2"/>
      <c r="N1255" s="2"/>
      <c r="O1255" s="2"/>
      <c r="P1255" s="2"/>
      <c r="Q1255" s="2"/>
      <c r="R1255" s="2"/>
      <c r="S1255" s="2"/>
      <c r="T1255" s="3"/>
      <c r="U1255" s="1"/>
      <c r="V1255" s="1"/>
      <c r="W1255" s="1"/>
      <c r="X1255" s="1"/>
      <c r="Y1255" s="1"/>
      <c r="Z1255" s="1"/>
      <c r="AA1255" s="1"/>
      <c r="AB1255" s="1"/>
    </row>
    <row r="1256" spans="1:28">
      <c r="A1256" s="261"/>
      <c r="B1256" s="261"/>
      <c r="C1256" s="115"/>
      <c r="D1256" s="1"/>
      <c r="E1256" s="1"/>
      <c r="F1256" s="1"/>
      <c r="G1256" s="1"/>
      <c r="H1256" s="1"/>
      <c r="I1256" s="1"/>
      <c r="J1256" s="1"/>
      <c r="K1256" s="1"/>
      <c r="L1256" s="2"/>
      <c r="M1256" s="2"/>
      <c r="N1256" s="2"/>
      <c r="O1256" s="2"/>
      <c r="P1256" s="2"/>
      <c r="Q1256" s="2"/>
      <c r="R1256" s="2"/>
      <c r="S1256" s="2"/>
      <c r="T1256" s="3"/>
      <c r="U1256" s="1"/>
      <c r="V1256" s="1"/>
      <c r="W1256" s="1"/>
      <c r="X1256" s="1"/>
      <c r="Y1256" s="1"/>
      <c r="Z1256" s="1"/>
      <c r="AA1256" s="1"/>
      <c r="AB1256" s="1"/>
    </row>
    <row r="1257" spans="1:28">
      <c r="A1257" s="261"/>
      <c r="B1257" s="261"/>
      <c r="C1257" s="115"/>
      <c r="D1257" s="1"/>
      <c r="E1257" s="1"/>
      <c r="F1257" s="1"/>
      <c r="G1257" s="1"/>
      <c r="H1257" s="1"/>
      <c r="I1257" s="1"/>
      <c r="J1257" s="1"/>
      <c r="K1257" s="1"/>
      <c r="L1257" s="2"/>
      <c r="M1257" s="2"/>
      <c r="N1257" s="2"/>
      <c r="O1257" s="2"/>
      <c r="P1257" s="2"/>
      <c r="Q1257" s="2"/>
      <c r="R1257" s="2"/>
      <c r="S1257" s="2"/>
      <c r="T1257" s="3"/>
      <c r="U1257" s="1"/>
      <c r="V1257" s="1"/>
      <c r="W1257" s="1"/>
      <c r="X1257" s="1"/>
      <c r="Y1257" s="1"/>
      <c r="Z1257" s="1"/>
      <c r="AA1257" s="1"/>
      <c r="AB1257" s="1"/>
    </row>
    <row r="1258" spans="1:28">
      <c r="A1258" s="261"/>
      <c r="B1258" s="261"/>
      <c r="C1258" s="115"/>
      <c r="D1258" s="1"/>
      <c r="E1258" s="1"/>
      <c r="F1258" s="1"/>
      <c r="G1258" s="1"/>
      <c r="H1258" s="1"/>
      <c r="I1258" s="1"/>
      <c r="J1258" s="1"/>
      <c r="K1258" s="1"/>
      <c r="L1258" s="2"/>
      <c r="M1258" s="2"/>
      <c r="N1258" s="2"/>
      <c r="O1258" s="2"/>
      <c r="P1258" s="2"/>
      <c r="Q1258" s="2"/>
      <c r="R1258" s="2"/>
      <c r="S1258" s="2"/>
      <c r="T1258" s="3"/>
      <c r="U1258" s="1"/>
      <c r="V1258" s="1"/>
      <c r="W1258" s="1"/>
      <c r="X1258" s="1"/>
      <c r="Y1258" s="1"/>
      <c r="Z1258" s="1"/>
      <c r="AA1258" s="1"/>
      <c r="AB1258" s="1"/>
    </row>
    <row r="1259" spans="1:28">
      <c r="A1259" s="261"/>
      <c r="B1259" s="261"/>
      <c r="C1259" s="115"/>
      <c r="D1259" s="1"/>
      <c r="E1259" s="1"/>
      <c r="F1259" s="1"/>
      <c r="G1259" s="1"/>
      <c r="H1259" s="1"/>
      <c r="I1259" s="1"/>
      <c r="J1259" s="1"/>
      <c r="K1259" s="1"/>
      <c r="L1259" s="2"/>
      <c r="M1259" s="2"/>
      <c r="N1259" s="2"/>
      <c r="O1259" s="2"/>
      <c r="P1259" s="2"/>
      <c r="Q1259" s="2"/>
      <c r="R1259" s="2"/>
      <c r="S1259" s="2"/>
      <c r="T1259" s="3"/>
      <c r="U1259" s="1"/>
      <c r="V1259" s="1"/>
      <c r="W1259" s="1"/>
      <c r="X1259" s="1"/>
      <c r="Y1259" s="1"/>
      <c r="Z1259" s="1"/>
      <c r="AA1259" s="1"/>
      <c r="AB1259" s="1"/>
    </row>
    <row r="1260" spans="1:28">
      <c r="A1260" s="261"/>
      <c r="B1260" s="261"/>
      <c r="C1260" s="115"/>
      <c r="D1260" s="1"/>
      <c r="E1260" s="1"/>
      <c r="F1260" s="1"/>
      <c r="G1260" s="1"/>
      <c r="H1260" s="1"/>
      <c r="I1260" s="1"/>
      <c r="J1260" s="1"/>
      <c r="K1260" s="1"/>
      <c r="L1260" s="2"/>
      <c r="M1260" s="2"/>
      <c r="N1260" s="2"/>
      <c r="O1260" s="2"/>
      <c r="P1260" s="2"/>
      <c r="Q1260" s="2"/>
      <c r="R1260" s="2"/>
      <c r="S1260" s="2"/>
      <c r="T1260" s="3"/>
      <c r="U1260" s="1"/>
      <c r="V1260" s="1"/>
      <c r="W1260" s="1"/>
      <c r="X1260" s="1"/>
      <c r="Y1260" s="1"/>
      <c r="Z1260" s="1"/>
      <c r="AA1260" s="1"/>
      <c r="AB1260" s="1"/>
    </row>
    <row r="1261" spans="1:28">
      <c r="A1261" s="261"/>
      <c r="B1261" s="261"/>
      <c r="C1261" s="115"/>
      <c r="D1261" s="1"/>
      <c r="E1261" s="1"/>
      <c r="F1261" s="1"/>
      <c r="G1261" s="1"/>
      <c r="H1261" s="1"/>
      <c r="I1261" s="1"/>
      <c r="J1261" s="1"/>
      <c r="K1261" s="1"/>
      <c r="L1261" s="2"/>
      <c r="M1261" s="2"/>
      <c r="N1261" s="2"/>
      <c r="O1261" s="2"/>
      <c r="P1261" s="2"/>
      <c r="Q1261" s="2"/>
      <c r="R1261" s="2"/>
      <c r="S1261" s="2"/>
      <c r="T1261" s="3"/>
      <c r="U1261" s="1"/>
      <c r="V1261" s="1"/>
      <c r="W1261" s="1"/>
      <c r="X1261" s="1"/>
      <c r="Y1261" s="1"/>
      <c r="Z1261" s="1"/>
      <c r="AA1261" s="1"/>
      <c r="AB1261" s="1"/>
    </row>
    <row r="1262" spans="1:28">
      <c r="A1262" s="261"/>
      <c r="B1262" s="261"/>
      <c r="C1262" s="115"/>
      <c r="D1262" s="1"/>
      <c r="E1262" s="1"/>
      <c r="F1262" s="1"/>
      <c r="G1262" s="1"/>
      <c r="H1262" s="1"/>
      <c r="I1262" s="1"/>
      <c r="J1262" s="1"/>
      <c r="K1262" s="1"/>
      <c r="L1262" s="2"/>
      <c r="M1262" s="2"/>
      <c r="N1262" s="2"/>
      <c r="O1262" s="2"/>
      <c r="P1262" s="2"/>
      <c r="Q1262" s="2"/>
      <c r="R1262" s="2"/>
      <c r="S1262" s="2"/>
      <c r="T1262" s="3"/>
      <c r="U1262" s="1"/>
      <c r="V1262" s="1"/>
      <c r="W1262" s="1"/>
      <c r="X1262" s="1"/>
      <c r="Y1262" s="1"/>
      <c r="Z1262" s="1"/>
      <c r="AA1262" s="1"/>
      <c r="AB1262" s="1"/>
    </row>
    <row r="1263" spans="1:28">
      <c r="A1263" s="261"/>
      <c r="B1263" s="261"/>
      <c r="C1263" s="115"/>
      <c r="D1263" s="1"/>
      <c r="E1263" s="1"/>
      <c r="F1263" s="1"/>
      <c r="G1263" s="1"/>
      <c r="H1263" s="1"/>
      <c r="I1263" s="1"/>
      <c r="J1263" s="1"/>
      <c r="K1263" s="1"/>
      <c r="L1263" s="2"/>
      <c r="M1263" s="2"/>
      <c r="N1263" s="2"/>
      <c r="O1263" s="2"/>
      <c r="P1263" s="2"/>
      <c r="Q1263" s="2"/>
      <c r="R1263" s="2"/>
      <c r="S1263" s="2"/>
      <c r="T1263" s="3"/>
      <c r="U1263" s="1"/>
      <c r="V1263" s="1"/>
      <c r="W1263" s="1"/>
      <c r="X1263" s="1"/>
      <c r="Y1263" s="1"/>
      <c r="Z1263" s="1"/>
      <c r="AA1263" s="1"/>
      <c r="AB1263" s="1"/>
    </row>
    <row r="1264" spans="1:28">
      <c r="A1264" s="261"/>
      <c r="B1264" s="261"/>
      <c r="C1264" s="115"/>
      <c r="D1264" s="1"/>
      <c r="E1264" s="1"/>
      <c r="F1264" s="1"/>
      <c r="G1264" s="1"/>
      <c r="H1264" s="1"/>
      <c r="I1264" s="1"/>
      <c r="J1264" s="1"/>
      <c r="K1264" s="1"/>
      <c r="L1264" s="2"/>
      <c r="M1264" s="2"/>
      <c r="N1264" s="2"/>
      <c r="O1264" s="2"/>
      <c r="P1264" s="2"/>
      <c r="Q1264" s="2"/>
      <c r="R1264" s="2"/>
      <c r="S1264" s="2"/>
      <c r="T1264" s="3"/>
      <c r="U1264" s="1"/>
      <c r="V1264" s="1"/>
      <c r="W1264" s="1"/>
      <c r="X1264" s="1"/>
      <c r="Y1264" s="1"/>
      <c r="Z1264" s="1"/>
      <c r="AA1264" s="1"/>
      <c r="AB1264" s="1"/>
    </row>
    <row r="1265" spans="1:28">
      <c r="A1265" s="261"/>
      <c r="B1265" s="261"/>
      <c r="C1265" s="115"/>
      <c r="D1265" s="1"/>
      <c r="E1265" s="1"/>
      <c r="F1265" s="1"/>
      <c r="G1265" s="1"/>
      <c r="H1265" s="1"/>
      <c r="I1265" s="1"/>
      <c r="J1265" s="1"/>
      <c r="K1265" s="1"/>
      <c r="L1265" s="2"/>
      <c r="M1265" s="2"/>
      <c r="N1265" s="2"/>
      <c r="O1265" s="2"/>
      <c r="P1265" s="2"/>
      <c r="Q1265" s="2"/>
      <c r="R1265" s="2"/>
      <c r="S1265" s="2"/>
      <c r="T1265" s="3"/>
      <c r="U1265" s="1"/>
      <c r="V1265" s="1"/>
      <c r="W1265" s="1"/>
      <c r="X1265" s="1"/>
      <c r="Y1265" s="1"/>
      <c r="Z1265" s="1"/>
      <c r="AA1265" s="1"/>
      <c r="AB1265" s="1"/>
    </row>
    <row r="1266" spans="1:28">
      <c r="A1266" s="261"/>
      <c r="B1266" s="261"/>
      <c r="C1266" s="115"/>
      <c r="D1266" s="1"/>
      <c r="E1266" s="1"/>
      <c r="F1266" s="1"/>
      <c r="G1266" s="1"/>
      <c r="H1266" s="1"/>
      <c r="I1266" s="1"/>
      <c r="J1266" s="1"/>
      <c r="K1266" s="1"/>
      <c r="L1266" s="2"/>
      <c r="M1266" s="2"/>
      <c r="N1266" s="2"/>
      <c r="O1266" s="2"/>
      <c r="P1266" s="2"/>
      <c r="Q1266" s="2"/>
      <c r="R1266" s="2"/>
      <c r="S1266" s="2"/>
      <c r="T1266" s="3"/>
      <c r="U1266" s="1"/>
      <c r="V1266" s="1"/>
      <c r="W1266" s="1"/>
      <c r="X1266" s="1"/>
      <c r="Y1266" s="1"/>
      <c r="Z1266" s="1"/>
      <c r="AA1266" s="1"/>
      <c r="AB1266" s="1"/>
    </row>
    <row r="1267" spans="1:28">
      <c r="A1267" s="261"/>
      <c r="B1267" s="261"/>
      <c r="C1267" s="115"/>
      <c r="D1267" s="1"/>
      <c r="E1267" s="1"/>
      <c r="F1267" s="1"/>
      <c r="G1267" s="1"/>
      <c r="H1267" s="1"/>
      <c r="I1267" s="1"/>
      <c r="J1267" s="1"/>
      <c r="K1267" s="1"/>
      <c r="L1267" s="2"/>
      <c r="M1267" s="2"/>
      <c r="N1267" s="2"/>
      <c r="O1267" s="2"/>
      <c r="P1267" s="2"/>
      <c r="Q1267" s="2"/>
      <c r="R1267" s="2"/>
      <c r="S1267" s="2"/>
      <c r="T1267" s="3"/>
      <c r="U1267" s="1"/>
      <c r="V1267" s="1"/>
      <c r="W1267" s="1"/>
      <c r="X1267" s="1"/>
      <c r="Y1267" s="1"/>
      <c r="Z1267" s="1"/>
      <c r="AA1267" s="1"/>
      <c r="AB1267" s="1"/>
    </row>
    <row r="1268" spans="1:28">
      <c r="A1268" s="261"/>
      <c r="B1268" s="261"/>
      <c r="C1268" s="115"/>
      <c r="D1268" s="1"/>
      <c r="E1268" s="1"/>
      <c r="F1268" s="1"/>
      <c r="G1268" s="1"/>
      <c r="H1268" s="1"/>
      <c r="I1268" s="1"/>
      <c r="J1268" s="1"/>
      <c r="K1268" s="1"/>
      <c r="L1268" s="2"/>
      <c r="M1268" s="2"/>
      <c r="N1268" s="2"/>
      <c r="O1268" s="2"/>
      <c r="P1268" s="2"/>
      <c r="Q1268" s="2"/>
      <c r="R1268" s="2"/>
      <c r="S1268" s="2"/>
      <c r="T1268" s="3"/>
      <c r="U1268" s="1"/>
      <c r="V1268" s="1"/>
      <c r="W1268" s="1"/>
      <c r="X1268" s="1"/>
      <c r="Y1268" s="1"/>
      <c r="Z1268" s="1"/>
      <c r="AA1268" s="1"/>
      <c r="AB1268" s="1"/>
    </row>
    <row r="1269" spans="1:28">
      <c r="A1269" s="261"/>
      <c r="B1269" s="261"/>
      <c r="C1269" s="115"/>
      <c r="D1269" s="1"/>
      <c r="E1269" s="1"/>
      <c r="F1269" s="1"/>
      <c r="G1269" s="1"/>
      <c r="H1269" s="1"/>
      <c r="I1269" s="1"/>
      <c r="J1269" s="1"/>
      <c r="K1269" s="1"/>
      <c r="L1269" s="2"/>
      <c r="M1269" s="2"/>
      <c r="N1269" s="2"/>
      <c r="O1269" s="2"/>
      <c r="P1269" s="2"/>
      <c r="Q1269" s="2"/>
      <c r="R1269" s="2"/>
      <c r="S1269" s="2"/>
      <c r="T1269" s="3"/>
      <c r="U1269" s="1"/>
      <c r="V1269" s="1"/>
      <c r="W1269" s="1"/>
      <c r="X1269" s="1"/>
      <c r="Y1269" s="1"/>
      <c r="Z1269" s="1"/>
      <c r="AA1269" s="1"/>
      <c r="AB1269" s="1"/>
    </row>
    <row r="1270" spans="1:28">
      <c r="A1270" s="261"/>
      <c r="B1270" s="261"/>
      <c r="C1270" s="115"/>
      <c r="D1270" s="1"/>
      <c r="E1270" s="1"/>
      <c r="F1270" s="1"/>
      <c r="G1270" s="1"/>
      <c r="H1270" s="1"/>
      <c r="I1270" s="1"/>
      <c r="J1270" s="1"/>
      <c r="K1270" s="1"/>
      <c r="L1270" s="2"/>
      <c r="M1270" s="2"/>
      <c r="N1270" s="2"/>
      <c r="O1270" s="2"/>
      <c r="P1270" s="2"/>
      <c r="Q1270" s="2"/>
      <c r="R1270" s="2"/>
      <c r="S1270" s="2"/>
      <c r="T1270" s="3"/>
      <c r="U1270" s="1"/>
      <c r="V1270" s="1"/>
      <c r="W1270" s="1"/>
      <c r="X1270" s="1"/>
      <c r="Y1270" s="1"/>
      <c r="Z1270" s="1"/>
      <c r="AA1270" s="1"/>
      <c r="AB1270" s="1"/>
    </row>
    <row r="1271" spans="1:28">
      <c r="A1271" s="261"/>
      <c r="B1271" s="261"/>
      <c r="C1271" s="115"/>
      <c r="D1271" s="1"/>
      <c r="E1271" s="1"/>
      <c r="F1271" s="1"/>
      <c r="G1271" s="1"/>
      <c r="H1271" s="1"/>
      <c r="I1271" s="1"/>
      <c r="J1271" s="1"/>
      <c r="K1271" s="1"/>
      <c r="L1271" s="2"/>
      <c r="M1271" s="2"/>
      <c r="N1271" s="2"/>
      <c r="O1271" s="2"/>
      <c r="P1271" s="2"/>
      <c r="Q1271" s="2"/>
      <c r="R1271" s="2"/>
      <c r="S1271" s="2"/>
      <c r="T1271" s="3"/>
      <c r="U1271" s="1"/>
      <c r="V1271" s="1"/>
      <c r="W1271" s="1"/>
      <c r="X1271" s="1"/>
      <c r="Y1271" s="1"/>
      <c r="Z1271" s="1"/>
      <c r="AA1271" s="1"/>
      <c r="AB1271" s="1"/>
    </row>
    <row r="1272" spans="1:28">
      <c r="A1272" s="261"/>
      <c r="B1272" s="261"/>
      <c r="C1272" s="115"/>
      <c r="D1272" s="1"/>
      <c r="E1272" s="1"/>
      <c r="F1272" s="1"/>
      <c r="G1272" s="1"/>
      <c r="H1272" s="1"/>
      <c r="I1272" s="1"/>
      <c r="J1272" s="1"/>
      <c r="K1272" s="1"/>
      <c r="L1272" s="2"/>
      <c r="M1272" s="2"/>
      <c r="N1272" s="2"/>
      <c r="O1272" s="2"/>
      <c r="P1272" s="2"/>
      <c r="Q1272" s="2"/>
      <c r="R1272" s="2"/>
      <c r="S1272" s="2"/>
      <c r="T1272" s="3"/>
      <c r="U1272" s="1"/>
      <c r="V1272" s="1"/>
      <c r="W1272" s="1"/>
      <c r="X1272" s="1"/>
      <c r="Y1272" s="1"/>
      <c r="Z1272" s="1"/>
      <c r="AA1272" s="1"/>
      <c r="AB1272" s="1"/>
    </row>
    <row r="1273" spans="1:28">
      <c r="A1273" s="261"/>
      <c r="B1273" s="261"/>
      <c r="C1273" s="115"/>
      <c r="D1273" s="1"/>
      <c r="E1273" s="1"/>
      <c r="F1273" s="1"/>
      <c r="G1273" s="1"/>
      <c r="H1273" s="1"/>
      <c r="I1273" s="1"/>
      <c r="J1273" s="1"/>
      <c r="K1273" s="1"/>
      <c r="L1273" s="2"/>
      <c r="M1273" s="2"/>
      <c r="N1273" s="2"/>
      <c r="O1273" s="2"/>
      <c r="P1273" s="2"/>
      <c r="Q1273" s="2"/>
      <c r="R1273" s="2"/>
      <c r="S1273" s="2"/>
      <c r="T1273" s="3"/>
      <c r="U1273" s="1"/>
      <c r="V1273" s="1"/>
      <c r="W1273" s="1"/>
      <c r="X1273" s="1"/>
      <c r="Y1273" s="1"/>
      <c r="Z1273" s="1"/>
      <c r="AA1273" s="1"/>
      <c r="AB1273" s="1"/>
    </row>
    <row r="1274" spans="1:28">
      <c r="A1274" s="261"/>
      <c r="B1274" s="261"/>
      <c r="C1274" s="115"/>
      <c r="D1274" s="1"/>
      <c r="E1274" s="1"/>
      <c r="F1274" s="1"/>
      <c r="G1274" s="1"/>
      <c r="H1274" s="1"/>
      <c r="I1274" s="1"/>
      <c r="J1274" s="1"/>
      <c r="K1274" s="1"/>
      <c r="L1274" s="2"/>
      <c r="M1274" s="2"/>
      <c r="N1274" s="2"/>
      <c r="O1274" s="2"/>
      <c r="P1274" s="2"/>
      <c r="Q1274" s="2"/>
      <c r="R1274" s="2"/>
      <c r="S1274" s="2"/>
      <c r="T1274" s="3"/>
      <c r="U1274" s="1"/>
      <c r="V1274" s="1"/>
      <c r="W1274" s="1"/>
      <c r="X1274" s="1"/>
      <c r="Y1274" s="1"/>
      <c r="Z1274" s="1"/>
      <c r="AA1274" s="1"/>
      <c r="AB1274" s="1"/>
    </row>
    <row r="1275" spans="1:28">
      <c r="A1275" s="261"/>
      <c r="B1275" s="261"/>
      <c r="C1275" s="115"/>
      <c r="D1275" s="1"/>
      <c r="E1275" s="1"/>
      <c r="F1275" s="1"/>
      <c r="G1275" s="1"/>
      <c r="H1275" s="1"/>
      <c r="I1275" s="1"/>
      <c r="J1275" s="1"/>
      <c r="K1275" s="1"/>
      <c r="L1275" s="2"/>
      <c r="M1275" s="2"/>
      <c r="N1275" s="2"/>
      <c r="O1275" s="2"/>
      <c r="P1275" s="2"/>
      <c r="Q1275" s="2"/>
      <c r="R1275" s="2"/>
      <c r="S1275" s="2"/>
      <c r="T1275" s="3"/>
      <c r="U1275" s="1"/>
      <c r="V1275" s="1"/>
      <c r="W1275" s="1"/>
      <c r="X1275" s="1"/>
      <c r="Y1275" s="1"/>
      <c r="Z1275" s="1"/>
      <c r="AA1275" s="1"/>
      <c r="AB1275" s="1"/>
    </row>
    <row r="1276" spans="1:28">
      <c r="A1276" s="261"/>
      <c r="B1276" s="261"/>
      <c r="C1276" s="115"/>
      <c r="D1276" s="1"/>
      <c r="E1276" s="1"/>
      <c r="F1276" s="1"/>
      <c r="G1276" s="1"/>
      <c r="H1276" s="1"/>
      <c r="I1276" s="1"/>
      <c r="J1276" s="1"/>
      <c r="K1276" s="1"/>
      <c r="L1276" s="2"/>
      <c r="M1276" s="2"/>
      <c r="N1276" s="2"/>
      <c r="O1276" s="2"/>
      <c r="P1276" s="2"/>
      <c r="Q1276" s="2"/>
      <c r="R1276" s="2"/>
      <c r="S1276" s="2"/>
      <c r="T1276" s="3"/>
      <c r="U1276" s="1"/>
      <c r="V1276" s="1"/>
      <c r="W1276" s="1"/>
      <c r="X1276" s="1"/>
      <c r="Y1276" s="1"/>
      <c r="Z1276" s="1"/>
      <c r="AA1276" s="1"/>
      <c r="AB1276" s="1"/>
    </row>
    <row r="1277" spans="1:28">
      <c r="A1277" s="261"/>
      <c r="B1277" s="261"/>
      <c r="C1277" s="115"/>
      <c r="D1277" s="1"/>
      <c r="E1277" s="1"/>
      <c r="F1277" s="1"/>
      <c r="G1277" s="1"/>
      <c r="H1277" s="1"/>
      <c r="I1277" s="1"/>
      <c r="J1277" s="1"/>
      <c r="K1277" s="1"/>
      <c r="L1277" s="2"/>
      <c r="M1277" s="2"/>
      <c r="N1277" s="2"/>
      <c r="O1277" s="2"/>
      <c r="P1277" s="2"/>
      <c r="Q1277" s="2"/>
      <c r="R1277" s="2"/>
      <c r="S1277" s="2"/>
      <c r="T1277" s="3"/>
      <c r="U1277" s="1"/>
      <c r="V1277" s="1"/>
      <c r="W1277" s="1"/>
      <c r="X1277" s="1"/>
      <c r="Y1277" s="1"/>
      <c r="Z1277" s="1"/>
      <c r="AA1277" s="1"/>
      <c r="AB1277" s="1"/>
    </row>
    <row r="1278" spans="1:28">
      <c r="A1278" s="261"/>
      <c r="B1278" s="261"/>
      <c r="C1278" s="115"/>
      <c r="D1278" s="1"/>
      <c r="E1278" s="1"/>
      <c r="F1278" s="1"/>
      <c r="G1278" s="1"/>
      <c r="H1278" s="1"/>
      <c r="I1278" s="1"/>
      <c r="J1278" s="1"/>
      <c r="K1278" s="1"/>
      <c r="L1278" s="2"/>
      <c r="M1278" s="2"/>
      <c r="N1278" s="2"/>
      <c r="O1278" s="2"/>
      <c r="P1278" s="2"/>
      <c r="Q1278" s="2"/>
      <c r="R1278" s="2"/>
      <c r="S1278" s="2"/>
      <c r="T1278" s="3"/>
      <c r="U1278" s="1"/>
      <c r="V1278" s="1"/>
      <c r="W1278" s="1"/>
      <c r="X1278" s="1"/>
      <c r="Y1278" s="1"/>
      <c r="Z1278" s="1"/>
      <c r="AA1278" s="1"/>
      <c r="AB1278" s="1"/>
    </row>
    <row r="1279" spans="1:28">
      <c r="A1279" s="261"/>
      <c r="B1279" s="261"/>
      <c r="C1279" s="115"/>
      <c r="D1279" s="1"/>
      <c r="E1279" s="1"/>
      <c r="F1279" s="1"/>
      <c r="G1279" s="1"/>
      <c r="H1279" s="1"/>
      <c r="I1279" s="1"/>
      <c r="J1279" s="1"/>
      <c r="K1279" s="1"/>
      <c r="L1279" s="2"/>
      <c r="M1279" s="2"/>
      <c r="N1279" s="2"/>
      <c r="O1279" s="2"/>
      <c r="P1279" s="2"/>
      <c r="Q1279" s="2"/>
      <c r="R1279" s="2"/>
      <c r="S1279" s="2"/>
      <c r="T1279" s="3"/>
      <c r="U1279" s="1"/>
      <c r="V1279" s="1"/>
      <c r="W1279" s="1"/>
      <c r="X1279" s="1"/>
      <c r="Y1279" s="1"/>
      <c r="Z1279" s="1"/>
      <c r="AA1279" s="1"/>
      <c r="AB1279" s="1"/>
    </row>
    <row r="1280" spans="1:28">
      <c r="A1280" s="261"/>
      <c r="B1280" s="261"/>
      <c r="C1280" s="115"/>
      <c r="D1280" s="1"/>
      <c r="E1280" s="1"/>
      <c r="F1280" s="1"/>
      <c r="G1280" s="1"/>
      <c r="H1280" s="1"/>
      <c r="I1280" s="1"/>
      <c r="J1280" s="1"/>
      <c r="K1280" s="1"/>
      <c r="L1280" s="2"/>
      <c r="M1280" s="2"/>
      <c r="N1280" s="2"/>
      <c r="O1280" s="2"/>
      <c r="P1280" s="2"/>
      <c r="Q1280" s="2"/>
      <c r="R1280" s="2"/>
      <c r="S1280" s="2"/>
      <c r="T1280" s="3"/>
      <c r="U1280" s="1"/>
      <c r="V1280" s="1"/>
      <c r="W1280" s="1"/>
      <c r="X1280" s="1"/>
      <c r="Y1280" s="1"/>
      <c r="Z1280" s="1"/>
      <c r="AA1280" s="1"/>
      <c r="AB1280" s="1"/>
    </row>
    <row r="1281" spans="1:28">
      <c r="A1281" s="261"/>
      <c r="B1281" s="261"/>
      <c r="C1281" s="115"/>
      <c r="D1281" s="1"/>
      <c r="E1281" s="1"/>
      <c r="F1281" s="1"/>
      <c r="G1281" s="1"/>
      <c r="H1281" s="1"/>
      <c r="I1281" s="1"/>
      <c r="J1281" s="1"/>
      <c r="K1281" s="1"/>
      <c r="L1281" s="2"/>
      <c r="M1281" s="2"/>
      <c r="N1281" s="2"/>
      <c r="O1281" s="2"/>
      <c r="P1281" s="2"/>
      <c r="Q1281" s="2"/>
      <c r="R1281" s="2"/>
      <c r="S1281" s="2"/>
      <c r="T1281" s="3"/>
      <c r="U1281" s="1"/>
      <c r="V1281" s="1"/>
      <c r="W1281" s="1"/>
      <c r="X1281" s="1"/>
      <c r="Y1281" s="1"/>
      <c r="Z1281" s="1"/>
      <c r="AA1281" s="1"/>
      <c r="AB1281" s="1"/>
    </row>
    <row r="1282" spans="1:28">
      <c r="A1282" s="261"/>
      <c r="B1282" s="261"/>
      <c r="C1282" s="115"/>
      <c r="D1282" s="1"/>
      <c r="E1282" s="1"/>
      <c r="F1282" s="1"/>
      <c r="G1282" s="1"/>
      <c r="H1282" s="1"/>
      <c r="I1282" s="1"/>
      <c r="J1282" s="1"/>
      <c r="K1282" s="1"/>
      <c r="L1282" s="2"/>
      <c r="M1282" s="2"/>
      <c r="N1282" s="2"/>
      <c r="O1282" s="2"/>
      <c r="P1282" s="2"/>
      <c r="Q1282" s="2"/>
      <c r="R1282" s="2"/>
      <c r="S1282" s="2"/>
      <c r="T1282" s="3"/>
      <c r="U1282" s="1"/>
      <c r="V1282" s="1"/>
      <c r="W1282" s="1"/>
      <c r="X1282" s="1"/>
      <c r="Y1282" s="1"/>
      <c r="Z1282" s="1"/>
      <c r="AA1282" s="1"/>
      <c r="AB1282" s="1"/>
    </row>
    <row r="1283" spans="1:28">
      <c r="A1283" s="261"/>
      <c r="B1283" s="261"/>
      <c r="C1283" s="115"/>
      <c r="D1283" s="1"/>
      <c r="E1283" s="1"/>
      <c r="F1283" s="1"/>
      <c r="G1283" s="1"/>
      <c r="H1283" s="1"/>
      <c r="I1283" s="1"/>
      <c r="J1283" s="1"/>
      <c r="K1283" s="1"/>
      <c r="L1283" s="2"/>
      <c r="M1283" s="2"/>
      <c r="N1283" s="2"/>
      <c r="O1283" s="2"/>
      <c r="P1283" s="2"/>
      <c r="Q1283" s="2"/>
      <c r="R1283" s="2"/>
      <c r="S1283" s="2"/>
      <c r="T1283" s="3"/>
      <c r="U1283" s="1"/>
      <c r="V1283" s="1"/>
      <c r="W1283" s="1"/>
      <c r="X1283" s="1"/>
      <c r="Y1283" s="1"/>
      <c r="Z1283" s="1"/>
      <c r="AA1283" s="1"/>
      <c r="AB1283" s="1"/>
    </row>
    <row r="1284" spans="1:28">
      <c r="A1284" s="261"/>
      <c r="B1284" s="261"/>
      <c r="C1284" s="115"/>
      <c r="D1284" s="1"/>
      <c r="E1284" s="1"/>
      <c r="F1284" s="1"/>
      <c r="G1284" s="1"/>
      <c r="H1284" s="1"/>
      <c r="I1284" s="1"/>
      <c r="J1284" s="1"/>
      <c r="K1284" s="1"/>
      <c r="L1284" s="2"/>
      <c r="M1284" s="2"/>
      <c r="N1284" s="2"/>
      <c r="O1284" s="2"/>
      <c r="P1284" s="2"/>
      <c r="Q1284" s="2"/>
      <c r="R1284" s="2"/>
      <c r="S1284" s="2"/>
      <c r="T1284" s="3"/>
      <c r="U1284" s="1"/>
      <c r="V1284" s="1"/>
      <c r="W1284" s="1"/>
      <c r="X1284" s="1"/>
      <c r="Y1284" s="1"/>
      <c r="Z1284" s="1"/>
      <c r="AA1284" s="1"/>
      <c r="AB1284" s="1"/>
    </row>
    <row r="1285" spans="1:28">
      <c r="A1285" s="261"/>
      <c r="B1285" s="261"/>
      <c r="C1285" s="115"/>
      <c r="D1285" s="1"/>
      <c r="E1285" s="1"/>
      <c r="F1285" s="1"/>
      <c r="G1285" s="1"/>
      <c r="H1285" s="1"/>
      <c r="I1285" s="1"/>
      <c r="J1285" s="1"/>
      <c r="K1285" s="1"/>
      <c r="L1285" s="2"/>
      <c r="M1285" s="2"/>
      <c r="N1285" s="2"/>
      <c r="O1285" s="2"/>
      <c r="P1285" s="2"/>
      <c r="Q1285" s="2"/>
      <c r="R1285" s="2"/>
      <c r="S1285" s="2"/>
      <c r="T1285" s="3"/>
      <c r="U1285" s="1"/>
      <c r="V1285" s="1"/>
      <c r="W1285" s="1"/>
      <c r="X1285" s="1"/>
      <c r="Y1285" s="1"/>
      <c r="Z1285" s="1"/>
      <c r="AA1285" s="1"/>
      <c r="AB1285" s="1"/>
    </row>
    <row r="1286" spans="1:28">
      <c r="A1286" s="261"/>
      <c r="B1286" s="261"/>
      <c r="C1286" s="115"/>
      <c r="D1286" s="1"/>
      <c r="E1286" s="1"/>
      <c r="F1286" s="1"/>
      <c r="G1286" s="1"/>
      <c r="H1286" s="1"/>
      <c r="I1286" s="1"/>
      <c r="J1286" s="1"/>
      <c r="K1286" s="1"/>
      <c r="L1286" s="2"/>
      <c r="M1286" s="2"/>
      <c r="N1286" s="2"/>
      <c r="O1286" s="2"/>
      <c r="P1286" s="2"/>
      <c r="Q1286" s="2"/>
      <c r="R1286" s="2"/>
      <c r="S1286" s="2"/>
      <c r="T1286" s="3"/>
      <c r="U1286" s="1"/>
      <c r="V1286" s="1"/>
      <c r="W1286" s="1"/>
      <c r="X1286" s="1"/>
      <c r="Y1286" s="1"/>
      <c r="Z1286" s="1"/>
      <c r="AA1286" s="1"/>
      <c r="AB1286" s="1"/>
    </row>
    <row r="1287" spans="1:28">
      <c r="A1287" s="261"/>
      <c r="B1287" s="261"/>
      <c r="C1287" s="115"/>
      <c r="D1287" s="1"/>
      <c r="E1287" s="1"/>
      <c r="F1287" s="1"/>
      <c r="G1287" s="1"/>
      <c r="H1287" s="1"/>
      <c r="I1287" s="1"/>
      <c r="J1287" s="1"/>
      <c r="K1287" s="1"/>
      <c r="L1287" s="2"/>
      <c r="M1287" s="2"/>
      <c r="N1287" s="2"/>
      <c r="O1287" s="2"/>
      <c r="P1287" s="2"/>
      <c r="Q1287" s="2"/>
      <c r="R1287" s="2"/>
      <c r="S1287" s="2"/>
      <c r="T1287" s="3"/>
      <c r="U1287" s="1"/>
      <c r="V1287" s="1"/>
      <c r="W1287" s="1"/>
      <c r="X1287" s="1"/>
      <c r="Y1287" s="1"/>
      <c r="Z1287" s="1"/>
      <c r="AA1287" s="1"/>
      <c r="AB1287" s="1"/>
    </row>
    <row r="1288" spans="1:28">
      <c r="A1288" s="261"/>
      <c r="B1288" s="261"/>
      <c r="C1288" s="115"/>
      <c r="D1288" s="1"/>
      <c r="E1288" s="1"/>
      <c r="F1288" s="1"/>
      <c r="G1288" s="1"/>
      <c r="H1288" s="1"/>
      <c r="I1288" s="1"/>
      <c r="J1288" s="1"/>
      <c r="K1288" s="1"/>
      <c r="L1288" s="2"/>
      <c r="M1288" s="2"/>
      <c r="N1288" s="2"/>
      <c r="O1288" s="2"/>
      <c r="P1288" s="2"/>
      <c r="Q1288" s="2"/>
      <c r="R1288" s="2"/>
      <c r="S1288" s="2"/>
      <c r="T1288" s="3"/>
      <c r="U1288" s="1"/>
      <c r="V1288" s="1"/>
      <c r="W1288" s="1"/>
      <c r="X1288" s="1"/>
      <c r="Y1288" s="1"/>
      <c r="Z1288" s="1"/>
      <c r="AA1288" s="1"/>
      <c r="AB1288" s="1"/>
    </row>
    <row r="1289" spans="1:28">
      <c r="A1289" s="260"/>
      <c r="B1289" s="260"/>
      <c r="C1289" s="38"/>
      <c r="D1289" s="4"/>
      <c r="E1289" s="4"/>
      <c r="F1289" s="4"/>
      <c r="G1289" s="4"/>
      <c r="H1289" s="4"/>
      <c r="I1289" s="4"/>
      <c r="J1289" s="4"/>
      <c r="K1289" s="4"/>
      <c r="L1289" s="5"/>
      <c r="M1289" s="5"/>
      <c r="N1289" s="5"/>
      <c r="O1289" s="5"/>
      <c r="P1289" s="5"/>
      <c r="Q1289" s="5"/>
      <c r="R1289" s="5"/>
      <c r="S1289" s="5"/>
      <c r="T1289" s="6"/>
      <c r="U1289" s="1"/>
      <c r="V1289" s="1"/>
      <c r="W1289" s="1"/>
      <c r="X1289" s="1"/>
      <c r="Y1289" s="1"/>
      <c r="Z1289" s="1"/>
      <c r="AA1289" s="1"/>
      <c r="AB1289" s="1"/>
    </row>
    <row r="1290" spans="1:28">
      <c r="A1290" s="260"/>
      <c r="B1290" s="260"/>
      <c r="C1290" s="38"/>
      <c r="D1290" s="4"/>
      <c r="E1290" s="4"/>
      <c r="F1290" s="4"/>
      <c r="G1290" s="4"/>
      <c r="H1290" s="4"/>
      <c r="I1290" s="4"/>
      <c r="J1290" s="4"/>
      <c r="K1290" s="4"/>
      <c r="L1290" s="5"/>
      <c r="M1290" s="5"/>
      <c r="N1290" s="5"/>
      <c r="O1290" s="5"/>
      <c r="P1290" s="5"/>
      <c r="Q1290" s="5"/>
      <c r="R1290" s="5"/>
      <c r="S1290" s="5"/>
      <c r="T1290" s="6"/>
      <c r="U1290" s="1"/>
      <c r="V1290" s="1"/>
      <c r="W1290" s="1"/>
      <c r="X1290" s="1"/>
      <c r="Y1290" s="1"/>
      <c r="Z1290" s="1"/>
      <c r="AA1290" s="1"/>
      <c r="AB1290" s="1"/>
    </row>
    <row r="1291" spans="1:28">
      <c r="A1291" s="261"/>
      <c r="B1291" s="261"/>
      <c r="C1291" s="115"/>
      <c r="D1291" s="1"/>
      <c r="E1291" s="1"/>
      <c r="F1291" s="1"/>
      <c r="G1291" s="1"/>
      <c r="H1291" s="1"/>
      <c r="I1291" s="1"/>
      <c r="J1291" s="1"/>
      <c r="K1291" s="1"/>
      <c r="L1291" s="2"/>
      <c r="M1291" s="2"/>
      <c r="N1291" s="2"/>
      <c r="O1291" s="2"/>
      <c r="P1291" s="2"/>
      <c r="Q1291" s="2"/>
      <c r="R1291" s="2"/>
      <c r="S1291" s="2"/>
      <c r="T1291" s="3"/>
      <c r="U1291" s="1"/>
      <c r="V1291" s="1"/>
      <c r="W1291" s="1"/>
      <c r="X1291" s="1"/>
      <c r="Y1291" s="1"/>
      <c r="Z1291" s="1"/>
      <c r="AA1291" s="1"/>
      <c r="AB1291" s="1"/>
    </row>
    <row r="1292" spans="1:28">
      <c r="A1292" s="261"/>
      <c r="B1292" s="261"/>
      <c r="C1292" s="115"/>
      <c r="D1292" s="1"/>
      <c r="E1292" s="1"/>
      <c r="F1292" s="1"/>
      <c r="G1292" s="1"/>
      <c r="H1292" s="1"/>
      <c r="I1292" s="1"/>
      <c r="J1292" s="1"/>
      <c r="K1292" s="1"/>
      <c r="L1292" s="2"/>
      <c r="M1292" s="2"/>
      <c r="N1292" s="2"/>
      <c r="O1292" s="2"/>
      <c r="P1292" s="2"/>
      <c r="Q1292" s="2"/>
      <c r="R1292" s="2"/>
      <c r="S1292" s="2"/>
      <c r="T1292" s="3"/>
      <c r="U1292" s="1"/>
      <c r="V1292" s="1"/>
      <c r="W1292" s="1"/>
      <c r="X1292" s="1"/>
      <c r="Y1292" s="1"/>
      <c r="Z1292" s="1"/>
      <c r="AA1292" s="1"/>
      <c r="AB1292" s="1"/>
    </row>
  </sheetData>
  <hyperlinks>
    <hyperlink ref="A2" r:id="rId1" display="https://tupiel.darsistemas.com/consulta/24079" xr:uid="{A13EE139-0D68-43F1-BBB0-47B6F521F1AA}"/>
    <hyperlink ref="B2" r:id="rId2" display="https://tupiel.darsistemas.com/consulta_cups/costos/action?id=6805" xr:uid="{673867BB-BA6A-4774-B087-8E15F0AC4FD0}"/>
    <hyperlink ref="A3" r:id="rId3" display="https://tupiel.darsistemas.com/consulta/28314" xr:uid="{E002BC23-DD13-4CD3-829A-465D2A44A4CB}"/>
    <hyperlink ref="B3" r:id="rId4" display="https://tupiel.darsistemas.com/consulta_cups/costos/action?id=13524" xr:uid="{2C90FFDF-F93E-47F7-BFB6-E05F52A27CD8}"/>
    <hyperlink ref="A4" r:id="rId5" display="https://tupiel.darsistemas.com/consulta/30702" xr:uid="{5A806771-D212-4D13-B1F3-21A9B56A48E1}"/>
    <hyperlink ref="B4" r:id="rId6" display="https://tupiel.darsistemas.com/consulta_cups/costos/action?id=17553" xr:uid="{6D7BA1AF-0D6B-40C6-A8FB-FAFC796DF514}"/>
    <hyperlink ref="A5" r:id="rId7" display="https://tupiel.darsistemas.com/consulta/30702" xr:uid="{04097615-33C9-442B-9F56-215DD7EE4732}"/>
    <hyperlink ref="B5" r:id="rId8" display="https://tupiel.darsistemas.com/consulta_cups/costos/action?id=17554" xr:uid="{46AF958B-632B-44AD-A25B-16782211838E}"/>
    <hyperlink ref="A6" r:id="rId9" display="https://tupiel.darsistemas.com/consulta/32356" xr:uid="{8E92F10F-A3BD-4739-BA09-4052273704BE}"/>
    <hyperlink ref="B6" r:id="rId10" display="https://tupiel.darsistemas.com/consulta_cups/costos/action?id=20091" xr:uid="{4D8CB714-B087-496A-8550-A62ABB05D4AE}"/>
    <hyperlink ref="A7" r:id="rId11" display="https://tupiel.darsistemas.com/consulta/32370" xr:uid="{4ED7C9BC-D3D9-4BB5-A8F0-B360EDF7A0E6}"/>
    <hyperlink ref="B7" r:id="rId12" display="https://tupiel.darsistemas.com/consulta_cups/costos/action?id=21321" xr:uid="{A7C05390-6E77-4751-A7CF-92F789AC7A53}"/>
    <hyperlink ref="A8" r:id="rId13" display="https://tupiel.darsistemas.com/consulta/33282" xr:uid="{8A64D7F6-328B-41B1-A1E5-3197593339BD}"/>
    <hyperlink ref="B8" r:id="rId14" display="https://tupiel.darsistemas.com/consulta_cups/costos/action?id=21442" xr:uid="{A0911ED6-8FDB-4DE0-A8F6-6895A0F4CB16}"/>
    <hyperlink ref="A9" r:id="rId15" display="https://tupiel.darsistemas.com/consulta/33013" xr:uid="{102C511D-31C8-4E39-8E0E-0F0005C1FE49}"/>
    <hyperlink ref="B9" r:id="rId16" display="https://tupiel.darsistemas.com/consulta_cups/costos/action?id=21585" xr:uid="{72CA4718-99A6-4D50-9F5F-2021E57C74AF}"/>
    <hyperlink ref="A10" r:id="rId17" display="https://tupiel.darsistemas.com/consulta/33776" xr:uid="{2D9F4348-9BDD-4BE0-A5DF-241EB85F2918}"/>
    <hyperlink ref="B10" r:id="rId18" display="https://tupiel.darsistemas.com/consulta_cups/costos/action?id=22262" xr:uid="{73AAC8EA-1CB2-4D7F-9235-2DF41FE7AB75}"/>
    <hyperlink ref="A11" r:id="rId19" display="https://tupiel.darsistemas.com/consulta/23034" xr:uid="{F07DAD16-9D2A-4FFD-9AE7-DF7A300A5340}"/>
    <hyperlink ref="B11" r:id="rId20" display="https://tupiel.darsistemas.com/consulta_cups/costos/action?id=23194" xr:uid="{BFDF71B1-A3CA-49D8-86CF-A70459EA4D27}"/>
    <hyperlink ref="A12" r:id="rId21" display="https://tupiel.darsistemas.com/consulta/34430" xr:uid="{AD0F8875-E784-4F2C-94D4-1A172706FFCC}"/>
    <hyperlink ref="B12" r:id="rId22" display="https://tupiel.darsistemas.com/consulta_cups/costos/action?id=23231" xr:uid="{7C665749-E05B-4070-AF13-91B34875B66E}"/>
    <hyperlink ref="A13" r:id="rId23" display="https://tupiel.darsistemas.com/consulta/34430" xr:uid="{77DC1294-FF53-4500-A7EE-CCA2A4CD323D}"/>
    <hyperlink ref="B13" r:id="rId24" display="https://tupiel.darsistemas.com/consulta_cups/costos/action?id=23289" xr:uid="{DEB52D0F-A1EB-4224-9641-3C6682D5FBFA}"/>
    <hyperlink ref="A14" r:id="rId25" display="https://tupiel.darsistemas.com/consulta/34617" xr:uid="{DDD2BC22-AC2A-400B-A0A5-B9795D005E4B}"/>
    <hyperlink ref="B14" r:id="rId26" display="https://tupiel.darsistemas.com/consulta_cups/costos/action?id=23500" xr:uid="{FF73CB64-EB91-4E2F-AD3B-83ADC137DAE4}"/>
    <hyperlink ref="A15" r:id="rId27" display="https://tupiel.darsistemas.com/consulta/33360" xr:uid="{14AEE367-94DF-4034-AA51-35E685B59B80}"/>
    <hyperlink ref="B15" r:id="rId28" display="https://tupiel.darsistemas.com/consulta_cups/costos/action?id=23577" xr:uid="{EEB1F7ED-A39E-4B09-883C-06B05E3C9EDC}"/>
    <hyperlink ref="A16" r:id="rId29" display="https://tupiel.darsistemas.com/consulta/34710" xr:uid="{E1231D65-A158-4ED5-9A52-2702D5BC3796}"/>
    <hyperlink ref="B16" r:id="rId30" display="https://tupiel.darsistemas.com/consulta_cups/costos/action?id=23660" xr:uid="{7D36CED6-B4A3-407A-83BF-233473F9F080}"/>
    <hyperlink ref="A17" r:id="rId31" display="https://tupiel.darsistemas.com/consulta/31859" xr:uid="{65ECB872-6229-465D-8D3E-252E762DB741}"/>
    <hyperlink ref="B17" r:id="rId32" display="https://tupiel.darsistemas.com/consulta_cups/costos/action?id=23739" xr:uid="{C5962B6D-4C28-4137-B00E-79B2E68250C8}"/>
    <hyperlink ref="A18" r:id="rId33" display="https://tupiel.darsistemas.com/consulta/34302" xr:uid="{EF35677B-3E32-4B3E-BC13-216C017B7DEC}"/>
    <hyperlink ref="B18" r:id="rId34" display="https://tupiel.darsistemas.com/consulta_cups/costos/action?id=23908" xr:uid="{7C81B437-665D-4F73-9019-45B84A40D274}"/>
    <hyperlink ref="A19" r:id="rId35" display="https://tupiel.darsistemas.com/consulta/33771" xr:uid="{D96F9F05-D180-403D-A944-C5FF41433E7B}"/>
    <hyperlink ref="B19" r:id="rId36" display="https://tupiel.darsistemas.com/consulta_cups/costos/action?id=24096" xr:uid="{9453DCD9-800A-42D3-8A57-8D34809FA3BE}"/>
    <hyperlink ref="A20" r:id="rId37" display="https://tupiel.darsistemas.com/consulta/33771" xr:uid="{3C7EE00B-58AC-4BD6-9811-331C35F99AB0}"/>
    <hyperlink ref="B20" r:id="rId38" display="https://tupiel.darsistemas.com/consulta_cups/costos/action?id=24097" xr:uid="{F770CF5E-AFFB-44ED-8CA0-B4E16CAE1CEC}"/>
    <hyperlink ref="A21" r:id="rId39" display="https://tupiel.darsistemas.com/consulta/35029" xr:uid="{1B093A90-7B62-467F-8E68-0A72B8241271}"/>
    <hyperlink ref="B21" r:id="rId40" display="https://tupiel.darsistemas.com/consulta_cups/costos/action?id=24100" xr:uid="{A9C1DE03-E6F0-4405-BA48-BCF7DC7C24F4}"/>
    <hyperlink ref="A22" r:id="rId41" display="https://tupiel.darsistemas.com/consulta/35071" xr:uid="{56AFE16B-2989-4257-BA11-AD0B13CD84BE}"/>
    <hyperlink ref="B22" r:id="rId42" display="https://tupiel.darsistemas.com/consulta_cups/costos/action?id=24152" xr:uid="{2AB9DB00-69F6-4079-B487-B6AD1DF74593}"/>
    <hyperlink ref="A23" r:id="rId43" display="https://tupiel.darsistemas.com/consulta/28033" xr:uid="{5E1D70C9-F6DA-4B2D-A137-C02E45BBD4FB}"/>
    <hyperlink ref="B23" r:id="rId44" display="https://tupiel.darsistemas.com/consulta_cups/costos/action?id=24170" xr:uid="{849C10B1-3E82-4451-99B9-EF84BC78C8A2}"/>
    <hyperlink ref="A24" r:id="rId45" display="https://tupiel.darsistemas.com/consulta/35160" xr:uid="{E8F7FB32-212D-4E07-BC55-99AE68C6FB62}"/>
    <hyperlink ref="B24" r:id="rId46" display="https://tupiel.darsistemas.com/consulta_cups/costos/action?id=24299" xr:uid="{B8BB0B44-483E-40BA-9243-06BB9F522A31}"/>
    <hyperlink ref="A25" r:id="rId47" display="https://tupiel.darsistemas.com/consulta/35206" xr:uid="{F3C62E92-18DB-4DC1-A4DB-1DAA87F2E558}"/>
    <hyperlink ref="B25" r:id="rId48" display="https://tupiel.darsistemas.com/consulta_cups/costos/action?id=24358" xr:uid="{DD18602E-24DB-47B5-9920-99A0FE70FB34}"/>
    <hyperlink ref="A26" r:id="rId49" display="https://tupiel.darsistemas.com/consulta/35135" xr:uid="{97EC92C5-C914-48F7-A5FB-51BC0B25E5EC}"/>
    <hyperlink ref="B26" r:id="rId50" display="https://tupiel.darsistemas.com/consulta_cups/costos/action?id=24388" xr:uid="{661C7279-552F-456E-8CFD-868B72D290A2}"/>
    <hyperlink ref="A27" r:id="rId51" display="https://tupiel.darsistemas.com/consulta/35135" xr:uid="{447B1FFC-BF20-4BD4-B419-879BE9D8D948}"/>
    <hyperlink ref="B27" r:id="rId52" display="https://tupiel.darsistemas.com/consulta_cups/costos/action?id=24389" xr:uid="{B8B7A53B-4F7F-4DA2-BCD6-6FC9EBCB9692}"/>
    <hyperlink ref="A28" r:id="rId53" display="https://tupiel.darsistemas.com/consulta/27318" xr:uid="{A4E3CEB0-5FEB-4CC7-A64E-72F9CA9AE37B}"/>
    <hyperlink ref="B28" r:id="rId54" display="https://tupiel.darsistemas.com/consulta_cups/costos/action?id=24515" xr:uid="{274249BB-715F-4B99-A64B-F69867670335}"/>
    <hyperlink ref="A29" r:id="rId55" display="https://tupiel.darsistemas.com/consulta/35344" xr:uid="{D5CB950B-05FC-41BC-B3B9-0A342B55BB88}"/>
    <hyperlink ref="B29" r:id="rId56" display="https://tupiel.darsistemas.com/consulta_cups/costos/action?id=24574" xr:uid="{D3979DBB-C869-4DCE-AD0B-8093252BEB36}"/>
    <hyperlink ref="A30" r:id="rId57" display="https://tupiel.darsistemas.com/consulta/35421" xr:uid="{36279C4E-A9BB-4475-8DD0-D3B03EE7CC6C}"/>
    <hyperlink ref="B30" r:id="rId58" display="https://tupiel.darsistemas.com/consulta_cups/costos/action?id=24709" xr:uid="{610CB022-7C4B-458C-93C4-FAD82F2C408A}"/>
    <hyperlink ref="A31" r:id="rId59" display="https://tupiel.darsistemas.com/consulta/35425" xr:uid="{7164E05C-DCCC-4379-9C35-4FC26E2AA328}"/>
    <hyperlink ref="B31" r:id="rId60" display="https://tupiel.darsistemas.com/consulta_cups/costos/action?id=24719" xr:uid="{E015EB83-AA30-4BF4-94F4-213FC1326DDE}"/>
    <hyperlink ref="A32" r:id="rId61" display="https://tupiel.darsistemas.com/consulta/34655" xr:uid="{65B080B9-EFF4-488D-BC11-BB28A3325A5A}"/>
    <hyperlink ref="B32" r:id="rId62" display="https://tupiel.darsistemas.com/consulta_cups/costos/action?id=24814" xr:uid="{B99414C8-FF88-464A-9F7C-B68AFC34099E}"/>
    <hyperlink ref="A33" r:id="rId63" display="https://tupiel.darsistemas.com/consulta/34446" xr:uid="{FC7CA9FA-949F-4793-96F0-39B7F07B086D}"/>
    <hyperlink ref="B33" r:id="rId64" display="https://tupiel.darsistemas.com/consulta_cups/costos/action?id=24818" xr:uid="{52E0DA4C-B61A-41BE-AA1E-FD6B022A7F08}"/>
    <hyperlink ref="A34" r:id="rId65" display="https://tupiel.darsistemas.com/consulta/34446" xr:uid="{C8302227-2B9C-418D-AD82-2900E0C83DDC}"/>
    <hyperlink ref="B34" r:id="rId66" display="https://tupiel.darsistemas.com/consulta_cups/costos/action?id=24819" xr:uid="{0DE7CD05-C903-491F-8728-9B58FA30A74F}"/>
    <hyperlink ref="A35" r:id="rId67" display="https://tupiel.darsistemas.com/consulta/35543" xr:uid="{8A0BE41E-00FF-495C-A17E-D3D7AA70A8A9}"/>
    <hyperlink ref="B35" r:id="rId68" display="https://tupiel.darsistemas.com/consulta_cups/costos/action?id=24889" xr:uid="{492440B7-7B71-45D2-B24D-8D58A6BE550F}"/>
    <hyperlink ref="A36" r:id="rId69" display="https://tupiel.darsistemas.com/consulta/25459" xr:uid="{F17D68FE-E030-4EA9-B127-E834BE11AD99}"/>
    <hyperlink ref="B36" r:id="rId70" display="https://tupiel.darsistemas.com/consulta_cups/costos/action?id=24912" xr:uid="{BF103340-1F2E-48D7-9548-5F4BD4663CB6}"/>
    <hyperlink ref="A37" r:id="rId71" display="https://tupiel.darsistemas.com/consulta/32879" xr:uid="{78486EDF-F6DE-4C35-8A25-60C206A76C27}"/>
    <hyperlink ref="B37" r:id="rId72" display="https://tupiel.darsistemas.com/consulta_cups/costos/action?id=24916" xr:uid="{0681DFDB-0AC1-4D3F-9465-8258311FA65E}"/>
    <hyperlink ref="A38" r:id="rId73" display="https://tupiel.darsistemas.com/consulta/32879" xr:uid="{735C9949-1DBB-4991-B66A-B7A3BF9F8B0B}"/>
    <hyperlink ref="B38" r:id="rId74" display="https://tupiel.darsistemas.com/consulta_cups/costos/action?id=24917" xr:uid="{B44EBC89-0390-4DBB-A8EB-C38D9F120163}"/>
    <hyperlink ref="A39" r:id="rId75" display="https://tupiel.darsistemas.com/consulta/35554" xr:uid="{F162B5EF-CA4D-4465-B306-0A28E8522545}"/>
    <hyperlink ref="B39" r:id="rId76" display="https://tupiel.darsistemas.com/consulta_cups/costos/action?id=24922" xr:uid="{50DAEEFF-0AF3-48FA-98F8-7343F9F8704B}"/>
    <hyperlink ref="A40" r:id="rId77" display="https://tupiel.darsistemas.com/consulta/35579" xr:uid="{BAFB7520-32CC-4BA1-8A1B-843DB4F11F3F}"/>
    <hyperlink ref="B40" r:id="rId78" display="https://tupiel.darsistemas.com/consulta_cups/costos/action?id=24954" xr:uid="{FF4B210B-D3B6-465C-B5A8-92A46AFCABBF}"/>
    <hyperlink ref="A41" r:id="rId79" display="https://tupiel.darsistemas.com/consulta/35580" xr:uid="{381F2A73-4040-4F27-83D1-864B46D8A5A0}"/>
    <hyperlink ref="B41" r:id="rId80" display="https://tupiel.darsistemas.com/consulta_cups/costos/action?id=24955" xr:uid="{23206D44-79F9-4C61-B7E1-3C328E5D0EAA}"/>
    <hyperlink ref="A42" r:id="rId81" display="https://tupiel.darsistemas.com/consulta/35593" xr:uid="{F4397754-EC21-4E16-AEC5-84BC60CDC85D}"/>
    <hyperlink ref="B42" r:id="rId82" display="https://tupiel.darsistemas.com/consulta_cups/costos/action?id=24971" xr:uid="{E3BACF4C-79E6-4C4B-8D4F-182A050D7576}"/>
    <hyperlink ref="A43" r:id="rId83" display="https://tupiel.darsistemas.com/consulta/35594" xr:uid="{695B32EB-A35B-47AD-A077-F8FB94286606}"/>
    <hyperlink ref="B43" r:id="rId84" display="https://tupiel.darsistemas.com/consulta_cups/costos/action?id=24972" xr:uid="{DCEF1DDB-4DCF-41A6-AB19-B4576D281F75}"/>
    <hyperlink ref="A44" r:id="rId85" display="https://tupiel.darsistemas.com/consulta/34098" xr:uid="{4CB5CDAC-6BC1-463A-850E-89B4A48E7F00}"/>
    <hyperlink ref="B44" r:id="rId86" display="https://tupiel.darsistemas.com/consulta_cups/costos/action?id=24976" xr:uid="{22D32F19-5FFA-4691-A04B-ADA64305C3F8}"/>
    <hyperlink ref="A45" r:id="rId87" display="https://tupiel.darsistemas.com/consulta/35630" xr:uid="{4BD6C2B4-26EA-4482-9D01-A1F0E1A110FF}"/>
    <hyperlink ref="B45" r:id="rId88" display="https://tupiel.darsistemas.com/consulta_cups/costos/action?id=25041" xr:uid="{853B2CEA-7494-414F-A53A-233BFA80C3B3}"/>
    <hyperlink ref="A46" r:id="rId89" display="https://tupiel.darsistemas.com/consulta/29461" xr:uid="{96BF7C74-FFF3-4EB4-AB43-C6FC19FC1B12}"/>
    <hyperlink ref="B46" r:id="rId90" display="https://tupiel.darsistemas.com/consulta_cups/costos/action?id=25076" xr:uid="{8C35B2E6-EB05-4755-8C17-726AEF288D4C}"/>
    <hyperlink ref="A47" r:id="rId91" display="https://tupiel.darsistemas.com/consulta/29461" xr:uid="{71994381-014F-4294-AEBC-0ADAEF86F729}"/>
    <hyperlink ref="B47" r:id="rId92" display="https://tupiel.darsistemas.com/consulta_cups/costos/action?id=25077" xr:uid="{2D1D5895-F86B-4522-AE83-D026B2849BD8}"/>
    <hyperlink ref="A48" r:id="rId93" display="https://tupiel.darsistemas.com/consulta/30220" xr:uid="{B3E67AF0-A900-47D7-999F-F41C40A8F1DB}"/>
    <hyperlink ref="B48" r:id="rId94" display="https://tupiel.darsistemas.com/consulta_cups/costos/action?id=25086" xr:uid="{6C55BD2B-4379-4461-A872-E6259CD3A72B}"/>
    <hyperlink ref="A49" r:id="rId95" display="https://tupiel.darsistemas.com/consulta/34189" xr:uid="{F4ADC1F8-3205-4086-A09C-B5B78C0BE829}"/>
    <hyperlink ref="B49" r:id="rId96" display="https://tupiel.darsistemas.com/consulta_cups/costos/action?id=25103" xr:uid="{F3C4E857-B64A-452D-B28D-2143E6372307}"/>
    <hyperlink ref="A50" r:id="rId97" display="https://tupiel.darsistemas.com/consulta/35703" xr:uid="{059C8F79-6968-4989-970C-47E7F353BA1A}"/>
    <hyperlink ref="B50" r:id="rId98" display="https://tupiel.darsistemas.com/consulta_cups/costos/action?id=25164" xr:uid="{30ADB800-54AE-4DFB-9C56-9B93DD04C2CF}"/>
    <hyperlink ref="A51" r:id="rId99" display="https://tupiel.darsistemas.com/consulta/27678" xr:uid="{E1A32F5B-A013-4469-99D3-C103DA8A79C3}"/>
    <hyperlink ref="B51" r:id="rId100" display="https://tupiel.darsistemas.com/consulta_cups/costos/action?id=25187" xr:uid="{52ED66FA-D36C-48E3-9519-6BE4A76D6A62}"/>
    <hyperlink ref="A52" r:id="rId101" display="https://tupiel.darsistemas.com/consulta/35759" xr:uid="{D8D6EC55-1A11-4C7C-A78E-36A0879CC8A1}"/>
    <hyperlink ref="B52" r:id="rId102" display="https://tupiel.darsistemas.com/consulta_cups/costos/action?id=25278" xr:uid="{2EF8139A-743A-431F-A3F8-55A9C826A459}"/>
    <hyperlink ref="A53" r:id="rId103" display="https://tupiel.darsistemas.com/consulta/27833" xr:uid="{03046B9A-92A8-4768-9116-12E9890758A5}"/>
    <hyperlink ref="B53" r:id="rId104" display="https://tupiel.darsistemas.com/consulta_cups/costos/action?id=25283" xr:uid="{BE0A78C9-8225-4FA5-83ED-9632BB77E4F2}"/>
    <hyperlink ref="A54" r:id="rId105" display="https://tupiel.darsistemas.com/consulta/35766" xr:uid="{41A41EF9-2225-4887-A901-311B3F1B4623}"/>
    <hyperlink ref="B54" r:id="rId106" display="https://tupiel.darsistemas.com/consulta_cups/costos/action?id=25286" xr:uid="{F63437C3-E634-40DC-8EA6-AA81BAE1F31B}"/>
    <hyperlink ref="A55" r:id="rId107" display="https://tupiel.darsistemas.com/consulta/28441" xr:uid="{48353F3B-393F-4663-958C-BED4D4683710}"/>
    <hyperlink ref="B55" r:id="rId108" display="https://tupiel.darsistemas.com/consulta_cups/costos/action?id=25300" xr:uid="{AB88E036-6EBC-4D72-9A36-C701EDBFAD74}"/>
    <hyperlink ref="A56" r:id="rId109" display="https://tupiel.darsistemas.com/consulta/28441" xr:uid="{6AFA27EB-EC46-4199-ABEE-EC6F38568682}"/>
    <hyperlink ref="B56" r:id="rId110" display="https://tupiel.darsistemas.com/consulta_cups/costos/action?id=25301" xr:uid="{EC1AF284-A023-4AC0-B099-FBE8929C10DA}"/>
    <hyperlink ref="A57" r:id="rId111" display="https://tupiel.darsistemas.com/consulta/34617" xr:uid="{40ED7C6D-7A52-44AD-AFAB-B01C51C7376B}"/>
    <hyperlink ref="B57" r:id="rId112" display="https://tupiel.darsistemas.com/consulta_cups/costos/action?id=25307" xr:uid="{8D1EBF0A-B10A-454E-9624-B43E02599067}"/>
    <hyperlink ref="A58" r:id="rId113" display="https://tupiel.darsistemas.com/consulta/23325" xr:uid="{53F0886C-6E67-46CD-8709-B2E4565F2892}"/>
    <hyperlink ref="B58" r:id="rId114" display="https://tupiel.darsistemas.com/consulta_cups/costos/action?id=25317" xr:uid="{DCEC2A2E-1445-4268-BE6C-6192852F25B7}"/>
    <hyperlink ref="A59" r:id="rId115" display="https://tupiel.darsistemas.com/consulta/35795" xr:uid="{FAE1C37F-9A5D-46B5-9E00-54ECF6F939F4}"/>
    <hyperlink ref="B59" r:id="rId116" display="https://tupiel.darsistemas.com/consulta_cups/costos/action?id=25329" xr:uid="{DC7A3CF8-243F-4DFD-8C3D-21A55EE87FFF}"/>
    <hyperlink ref="A60" r:id="rId117" display="https://tupiel.darsistemas.com/consulta/34410" xr:uid="{4CAC6F4E-439D-4C17-9ADA-6AA582B09FA5}"/>
    <hyperlink ref="B60" r:id="rId118" display="https://tupiel.darsistemas.com/consulta_cups/costos/action?id=25346" xr:uid="{36EE9A82-F4C7-4057-BECE-2C66A6C651ED}"/>
    <hyperlink ref="A61" r:id="rId119" display="https://tupiel.darsistemas.com/consulta/28087" xr:uid="{73FA6531-491C-492E-A51A-B27FAC6874C7}"/>
    <hyperlink ref="B61" r:id="rId120" display="https://tupiel.darsistemas.com/consulta_cups/costos/action?id=25354" xr:uid="{EF82A659-F708-4B84-81CC-5F2EC77193AB}"/>
    <hyperlink ref="A62" r:id="rId121" display="https://tupiel.darsistemas.com/consulta/33357" xr:uid="{D243957C-1584-4D96-B97B-83D21B8ECEE3}"/>
    <hyperlink ref="B62" r:id="rId122" display="https://tupiel.darsistemas.com/consulta_cups/costos/action?id=25357" xr:uid="{FBC94CC8-7919-41B0-9202-5CE0643B639A}"/>
    <hyperlink ref="A63" r:id="rId123" display="https://tupiel.darsistemas.com/consulta/28721" xr:uid="{0A55D9F8-F5B7-4CA1-B091-2CA82200384C}"/>
    <hyperlink ref="B63" r:id="rId124" display="https://tupiel.darsistemas.com/consulta_cups/costos/action?id=25359" xr:uid="{E0A4CB55-0A63-4315-A5EC-E408A9070257}"/>
    <hyperlink ref="A64" r:id="rId125" display="https://tupiel.darsistemas.com/consulta/28942" xr:uid="{02785FFA-84CC-4F59-8D76-ABB8A81D59A1}"/>
    <hyperlink ref="B64" r:id="rId126" display="https://tupiel.darsistemas.com/consulta_cups/costos/action?id=25360" xr:uid="{5B228249-922F-4448-B663-4695D699C7EA}"/>
    <hyperlink ref="A65" r:id="rId127" display="https://tupiel.darsistemas.com/consulta/33700" xr:uid="{FF0555BE-6F4B-4C56-B544-3F639D184797}"/>
    <hyperlink ref="B65" r:id="rId128" display="https://tupiel.darsistemas.com/consulta_cups/costos/action?id=25368" xr:uid="{7D92AB54-8246-4907-911B-452BB3527AAA}"/>
    <hyperlink ref="A66" r:id="rId129" display="https://tupiel.darsistemas.com/consulta/33993" xr:uid="{EC596A76-0BE6-48DA-9C36-90DF69B235D7}"/>
    <hyperlink ref="B66" r:id="rId130" display="https://tupiel.darsistemas.com/consulta_cups/costos/action?id=25375" xr:uid="{E33531A1-493D-4DDF-AEDA-81B3ED374891}"/>
    <hyperlink ref="A67" r:id="rId131" display="https://tupiel.darsistemas.com/consulta/33993" xr:uid="{58A311ED-3D98-4D9E-9238-B39EB904C1E8}"/>
    <hyperlink ref="B67" r:id="rId132" display="https://tupiel.darsistemas.com/consulta_cups/costos/action?id=25376" xr:uid="{F3FBE877-B087-437E-9AA1-503E0C2907F8}"/>
    <hyperlink ref="A68" r:id="rId133" display="https://tupiel.darsistemas.com/consulta/35818" xr:uid="{6E312B20-F16F-494C-87D6-37805C48CC69}"/>
    <hyperlink ref="B68" r:id="rId134" display="https://tupiel.darsistemas.com/consulta_cups/costos/action?id=25378" xr:uid="{F909D805-0F40-4811-AC25-0F3920F8FE02}"/>
    <hyperlink ref="A69" r:id="rId135" display="https://tupiel.darsistemas.com/consulta/35819" xr:uid="{16BA5839-4CD0-40D3-A7B9-DC186BA1BDA1}"/>
    <hyperlink ref="B69" r:id="rId136" display="https://tupiel.darsistemas.com/consulta_cups/costos/action?id=25381" xr:uid="{A3F7C7A6-11C3-4704-A24B-E11D56904168}"/>
    <hyperlink ref="A70" r:id="rId137" display="https://tupiel.darsistemas.com/consulta/21937" xr:uid="{06FEEC0D-A80A-4417-AC98-E9AF5BBD8A58}"/>
    <hyperlink ref="B70" r:id="rId138" display="https://tupiel.darsistemas.com/consulta_cups/costos/action?id=25387" xr:uid="{699C904C-18C0-4F6B-A22E-3E0E28C18D7F}"/>
    <hyperlink ref="A71" r:id="rId139" display="https://tupiel.darsistemas.com/consulta/22718" xr:uid="{D6F36B23-4677-4946-A877-EE8FA40655CE}"/>
    <hyperlink ref="B71" r:id="rId140" display="https://tupiel.darsistemas.com/consulta_cups/costos/action?id=25388" xr:uid="{5445F875-8AD5-4F24-BA77-5F44CA444B66}"/>
    <hyperlink ref="A72" r:id="rId141" display="https://tupiel.darsistemas.com/consulta/35820" xr:uid="{A0879B6D-8F26-4299-A089-08F9597EBED6}"/>
    <hyperlink ref="B72" r:id="rId142" display="https://tupiel.darsistemas.com/consulta_cups/costos/action?id=25390" xr:uid="{D9C2D497-394C-4820-A3BB-0DF85E8C2732}"/>
    <hyperlink ref="A73" r:id="rId143" display="https://tupiel.darsistemas.com/consulta/31005" xr:uid="{C91EF066-1F27-44C5-A3C1-4EAAF5D16A7F}"/>
    <hyperlink ref="B73" r:id="rId144" display="https://tupiel.darsistemas.com/consulta_cups/costos/action?id=25395" xr:uid="{34E74B37-E132-462E-9805-0E68C509B541}"/>
    <hyperlink ref="A74" r:id="rId145" display="https://tupiel.darsistemas.com/consulta/31349" xr:uid="{6F072C8A-64B1-436A-B064-D2F02943274B}"/>
    <hyperlink ref="B74" r:id="rId146" display="https://tupiel.darsistemas.com/consulta_cups/costos/action?id=25398" xr:uid="{BEA4DCE2-256A-4C61-8BAE-246D4C70118C}"/>
    <hyperlink ref="A75" r:id="rId147" display="https://tupiel.darsistemas.com/consulta/31349" xr:uid="{0FC7647D-1E9B-4417-A4AA-B5C998CB64FC}"/>
    <hyperlink ref="B75" r:id="rId148" display="https://tupiel.darsistemas.com/consulta_cups/costos/action?id=25399" xr:uid="{379D5A14-6DFE-4A7D-B7CA-51542B4D92E5}"/>
    <hyperlink ref="A76" r:id="rId149" display="https://tupiel.darsistemas.com/consulta/34145" xr:uid="{0B37AE17-87CC-4F72-8D68-2F1C6888121C}"/>
    <hyperlink ref="B76" r:id="rId150" display="https://tupiel.darsistemas.com/consulta_cups/costos/action?id=25424" xr:uid="{00F68208-A9A6-42A8-A49D-6DDB5C33C78F}"/>
    <hyperlink ref="A77" r:id="rId151" display="https://tupiel.darsistemas.com/consulta/34145" xr:uid="{77942ACF-B17D-4A99-A29B-3F075EF475F7}"/>
    <hyperlink ref="B77" r:id="rId152" display="https://tupiel.darsistemas.com/consulta_cups/costos/action?id=25425" xr:uid="{33E2809D-4323-453E-BAE6-9F03BD1D7C55}"/>
    <hyperlink ref="A78" r:id="rId153" display="https://tupiel.darsistemas.com/consulta/34302" xr:uid="{40A96A6E-4294-47AA-BA6A-44FEED867F5A}"/>
    <hyperlink ref="B78" r:id="rId154" display="https://tupiel.darsistemas.com/consulta_cups/costos/action?id=25429" xr:uid="{D626EAB2-F860-498F-837E-BFF2D0F0E8CA}"/>
    <hyperlink ref="A79" r:id="rId155" display="https://tupiel.darsistemas.com/consulta/35852" xr:uid="{83CB21BB-6744-47BE-B62A-B4E7401FF488}"/>
    <hyperlink ref="B79" r:id="rId156" display="https://tupiel.darsistemas.com/consulta_cups/costos/action?id=25452" xr:uid="{543696B2-AEF2-458B-978C-C33198642160}"/>
    <hyperlink ref="A80" r:id="rId157" display="https://tupiel.darsistemas.com/consulta/35864" xr:uid="{9D744190-FB95-4A5E-A642-8AD520C76225}"/>
    <hyperlink ref="B80" r:id="rId158" display="https://tupiel.darsistemas.com/consulta_cups/costos/action?id=25469" xr:uid="{3FEDE0ED-C20F-401E-82FC-D5D36504CD8D}"/>
    <hyperlink ref="A81" r:id="rId159" display="https://tupiel.darsistemas.com/consulta/35865" xr:uid="{7D28167F-8A2A-41BB-A2C0-A03B1B08A592}"/>
    <hyperlink ref="B81" r:id="rId160" display="https://tupiel.darsistemas.com/consulta_cups/costos/action?id=25470" xr:uid="{83BC4858-9DF4-488D-BE51-EB8EF9330444}"/>
    <hyperlink ref="A82" r:id="rId161" display="https://tupiel.darsistemas.com/consulta/35157" xr:uid="{459C4EAD-98DD-451B-814C-0991B28A0E7F}"/>
    <hyperlink ref="B82" r:id="rId162" display="https://tupiel.darsistemas.com/consulta_cups/costos/action?id=25483" xr:uid="{BF584316-8849-403A-A0F3-1DE8C5ED2E59}"/>
    <hyperlink ref="A83" r:id="rId163" display="https://tupiel.darsistemas.com/consulta/35881" xr:uid="{E794BFE1-C9E7-4DBD-BC72-490BA58616EF}"/>
    <hyperlink ref="B83" r:id="rId164" display="https://tupiel.darsistemas.com/consulta_cups/costos/action?id=25492" xr:uid="{2C6EF9E4-559F-4E9F-9AFA-1DD0B7035418}"/>
    <hyperlink ref="A84" r:id="rId165" display="https://tupiel.darsistemas.com/consulta/33141" xr:uid="{92CF641A-3A7F-4B1D-B7C4-E7276287A2B8}"/>
    <hyperlink ref="B84" r:id="rId166" display="https://tupiel.darsistemas.com/consulta_cups/costos/action?id=25526" xr:uid="{7C3D8017-7264-4DC7-8B00-A95D5240CDB6}"/>
    <hyperlink ref="A85" r:id="rId167" display="https://tupiel.darsistemas.com/consulta/29275" xr:uid="{BC7E710E-5B21-4AA1-BB45-1137C5D974B5}"/>
    <hyperlink ref="B85" r:id="rId168" display="https://tupiel.darsistemas.com/consulta_cups/costos/action?id=25527" xr:uid="{143D3EFC-6E48-43EE-AC7B-EC232FD2CAC9}"/>
    <hyperlink ref="A86" r:id="rId169" display="https://tupiel.darsistemas.com/consulta/31210" xr:uid="{877A5027-1426-4DEB-8058-A3ECB19B0FA5}"/>
    <hyperlink ref="B86" r:id="rId170" display="https://tupiel.darsistemas.com/consulta_cups/costos/action?id=25528" xr:uid="{71710722-6AAD-437F-BCFE-766111FA6275}"/>
    <hyperlink ref="A87" r:id="rId171" display="https://tupiel.darsistemas.com/consulta/35786" xr:uid="{6CC80355-94F2-4E38-B350-39274882BFD0}"/>
    <hyperlink ref="B87" r:id="rId172" display="https://tupiel.darsistemas.com/consulta_cups/costos/action?id=25550" xr:uid="{479FB87F-0A1A-474A-9299-422EE850945F}"/>
    <hyperlink ref="A88" r:id="rId173" display="https://tupiel.darsistemas.com/consulta/35920" xr:uid="{57D14DA5-3908-4A82-ADBA-48C4D7D791C4}"/>
    <hyperlink ref="B88" r:id="rId174" display="https://tupiel.darsistemas.com/consulta_cups/costos/action?id=25552" xr:uid="{07F48F77-9D17-443F-8040-D1AECC6DC4D7}"/>
    <hyperlink ref="A89" r:id="rId175" display="https://tupiel.darsistemas.com/consulta/35674" xr:uid="{DAD90384-4EE4-4B5F-A9CE-8468C5D34542}"/>
    <hyperlink ref="B89" r:id="rId176" display="https://tupiel.darsistemas.com/consulta_cups/costos/action?id=25553" xr:uid="{8306CEA7-542C-4568-8C57-E5D2C90AD57F}"/>
    <hyperlink ref="A90" r:id="rId177" display="https://tupiel.darsistemas.com/consulta/35921" xr:uid="{1FE28A3B-04B2-41BA-B0D1-366DC2023804}"/>
    <hyperlink ref="B90" r:id="rId178" display="https://tupiel.darsistemas.com/consulta_cups/costos/action?id=25559" xr:uid="{5690D276-69BB-47FB-B9CE-738686A0B513}"/>
    <hyperlink ref="A91" r:id="rId179" display="https://tupiel.darsistemas.com/consulta/35928" xr:uid="{4778E3E0-7B50-4EE2-A354-A24952FE0F45}"/>
    <hyperlink ref="B91" r:id="rId180" display="https://tupiel.darsistemas.com/consulta_cups/costos/action?id=25572" xr:uid="{27CB2D84-FCD3-407D-A13B-6D0178FBF2F0}"/>
    <hyperlink ref="A92" r:id="rId181" display="https://tupiel.darsistemas.com/consulta/35963" xr:uid="{849C2625-79F5-4D74-8628-6FE4CF1BCB66}"/>
    <hyperlink ref="B92" r:id="rId182" display="https://tupiel.darsistemas.com/consulta_cups/costos/action?id=25639" xr:uid="{BB73AE80-75FC-4A75-9D3E-9CC1311397E9}"/>
    <hyperlink ref="A93" r:id="rId183" display="https://tupiel.darsistemas.com/consulta/26298" xr:uid="{104BBD50-0290-4573-A4A0-AD7667EC346B}"/>
    <hyperlink ref="B93" r:id="rId184" display="https://tupiel.darsistemas.com/consulta_cups/costos/action?id=25650" xr:uid="{8BD6075E-68F1-4BED-8F1F-8A59251D4163}"/>
    <hyperlink ref="A94" r:id="rId185" display="https://tupiel.darsistemas.com/consulta/35531" xr:uid="{C21BADDE-17D7-4830-BDFC-3D07DD5B77AD}"/>
    <hyperlink ref="B94" r:id="rId186" display="https://tupiel.darsistemas.com/consulta_cups/costos/action?id=25677" xr:uid="{4C7EE6C8-B116-40A4-9707-9CE00BFE13C1}"/>
    <hyperlink ref="A95" r:id="rId187" display="https://tupiel.darsistemas.com/consulta/35995" xr:uid="{EEAB4A3E-5CAB-43A6-9D0D-78D804AF1A2F}"/>
    <hyperlink ref="B95" r:id="rId188" display="https://tupiel.darsistemas.com/consulta_cups/costos/action?id=25710" xr:uid="{28B11586-D411-4ECE-9D6C-D64937B6BA7A}"/>
    <hyperlink ref="A96" r:id="rId189" display="https://tupiel.darsistemas.com/consulta/35999" xr:uid="{2A744003-191F-44A1-8022-EE049D945173}"/>
    <hyperlink ref="B96" r:id="rId190" display="https://tupiel.darsistemas.com/consulta_cups/costos/action?id=25716" xr:uid="{58D3F46F-4407-405E-B0CA-484BF885D6F7}"/>
    <hyperlink ref="A97" r:id="rId191" display="https://tupiel.darsistemas.com/consulta/36011" xr:uid="{62CB2B86-6339-4283-A659-422BC4D345C4}"/>
    <hyperlink ref="B97" r:id="rId192" display="https://tupiel.darsistemas.com/consulta_cups/costos/action?id=25734" xr:uid="{12A7D0BF-6C08-4B26-9F24-23FCCDEDBBF2}"/>
    <hyperlink ref="A98" r:id="rId193" display="https://tupiel.darsistemas.com/consulta/36013" xr:uid="{A3F72499-7648-4615-BC96-AECEA8E110B9}"/>
    <hyperlink ref="B98" r:id="rId194" display="https://tupiel.darsistemas.com/consulta_cups/costos/action?id=25737" xr:uid="{4572C5CC-F1D6-4877-8409-81088F81982E}"/>
    <hyperlink ref="A99" r:id="rId195" display="https://tupiel.darsistemas.com/consulta/36014" xr:uid="{C980954B-E1D0-47D7-B0CF-E85E217085C9}"/>
    <hyperlink ref="B99" r:id="rId196" display="https://tupiel.darsistemas.com/consulta_cups/costos/action?id=25738" xr:uid="{AF64DC20-D7AB-438C-A53F-F768141BAF19}"/>
    <hyperlink ref="A100" r:id="rId197" display="https://tupiel.darsistemas.com/consulta/30177" xr:uid="{F52C3258-7AD7-4BB2-AF0E-2D573F438E5C}"/>
    <hyperlink ref="B100" r:id="rId198" display="https://tupiel.darsistemas.com/consulta_cups/costos/action?id=25748" xr:uid="{2F963335-3008-44C6-BBC1-F746B38D204D}"/>
    <hyperlink ref="A101" r:id="rId199" display="https://tupiel.darsistemas.com/consulta/28296" xr:uid="{60B23BA8-0D6D-4959-84B0-5DC5612B42BE}"/>
    <hyperlink ref="B101" r:id="rId200" display="https://tupiel.darsistemas.com/consulta_cups/costos/action?id=25756" xr:uid="{5DA73404-72C2-4D1C-8D37-6600456320EE}"/>
    <hyperlink ref="A102" r:id="rId201" display="https://tupiel.darsistemas.com/consulta/36024" xr:uid="{45FE602F-C966-42FA-A7B7-6EC1CC48CF41}"/>
    <hyperlink ref="B102" r:id="rId202" display="https://tupiel.darsistemas.com/consulta_cups/costos/action?id=25772" xr:uid="{AC34E9DE-B7DC-49C3-82BC-5E2B12687921}"/>
    <hyperlink ref="A103" r:id="rId203" display="https://tupiel.darsistemas.com/consulta/32069" xr:uid="{73D4A3AB-BD1F-4E44-AF17-CEFA119FC9DD}"/>
    <hyperlink ref="B103" r:id="rId204" display="https://tupiel.darsistemas.com/consulta_cups/costos/action?id=25779" xr:uid="{E51D69D1-05D7-413B-869A-2605B66AF040}"/>
    <hyperlink ref="A104" r:id="rId205" display="https://tupiel.darsistemas.com/consulta/36033" xr:uid="{BD889F7A-C6CA-4D28-BF44-7A95AECA396D}"/>
    <hyperlink ref="B104" r:id="rId206" display="https://tupiel.darsistemas.com/consulta_cups/costos/action?id=25784" xr:uid="{905231A1-992E-484D-A01C-564B10CDB3AA}"/>
    <hyperlink ref="A105" r:id="rId207" display="https://tupiel.darsistemas.com/consulta/35404" xr:uid="{B8BF5452-97FF-4FF4-8660-7BE3E0F0BBDD}"/>
    <hyperlink ref="B105" r:id="rId208" display="https://tupiel.darsistemas.com/consulta_cups/costos/action?id=25802" xr:uid="{9C96D1F7-54FE-4BD3-8C37-E051D459A3A6}"/>
    <hyperlink ref="A106" r:id="rId209" display="https://tupiel.darsistemas.com/consulta/36041" xr:uid="{8A7D360E-994B-4D2B-BFC1-C84F34875BD3}"/>
    <hyperlink ref="B106" r:id="rId210" display="https://tupiel.darsistemas.com/consulta_cups/costos/action?id=25803" xr:uid="{05CCA91B-739F-4DF3-9E8A-90C4A18101DC}"/>
    <hyperlink ref="A107" r:id="rId211" display="https://tupiel.darsistemas.com/consulta/36043" xr:uid="{BAB2A415-BB36-4572-9A3A-671D036782CF}"/>
    <hyperlink ref="B107" r:id="rId212" display="https://tupiel.darsistemas.com/consulta_cups/costos/action?id=25806" xr:uid="{A364E977-66D7-476B-A0A1-826E5BB76E00}"/>
    <hyperlink ref="A108" r:id="rId213" display="https://tupiel.darsistemas.com/consulta/36046" xr:uid="{FE117E82-9619-436E-ACE7-0C3C2B6C5A44}"/>
    <hyperlink ref="B108" r:id="rId214" display="https://tupiel.darsistemas.com/consulta_cups/costos/action?id=25810" xr:uid="{42012592-494F-462D-814C-7DE586896BA5}"/>
    <hyperlink ref="A109" r:id="rId215" display="https://tupiel.darsistemas.com/consulta/36061" xr:uid="{8B797F49-1677-4ACE-AEC0-4F1AC7561996}"/>
    <hyperlink ref="B109" r:id="rId216" display="https://tupiel.darsistemas.com/consulta_cups/costos/action?id=25836" xr:uid="{558138E4-1714-4D10-BA8C-C5DA618D2A4C}"/>
    <hyperlink ref="A110" r:id="rId217" display="https://tupiel.darsistemas.com/consulta/36076" xr:uid="{1ECF222C-6A84-4E2F-A2CE-3EB625B79C82}"/>
    <hyperlink ref="B110" r:id="rId218" display="https://tupiel.darsistemas.com/consulta_cups/costos/action?id=25860" xr:uid="{9F9D7E01-FEBA-44EB-A80B-DDE077E311B5}"/>
    <hyperlink ref="A111" r:id="rId219" display="https://tupiel.darsistemas.com/consulta/36084" xr:uid="{1BDA6348-A181-4EEE-B0B9-57A222FF5454}"/>
    <hyperlink ref="B111" r:id="rId220" display="https://tupiel.darsistemas.com/consulta_cups/costos/action?id=25870" xr:uid="{5D2404A2-E2AA-41AB-A00E-4E497E151BE8}"/>
    <hyperlink ref="A112" r:id="rId221" display="https://tupiel.darsistemas.com/consulta/36088" xr:uid="{F255DE65-AD8A-4870-A09D-472701994B75}"/>
    <hyperlink ref="B112" r:id="rId222" display="https://tupiel.darsistemas.com/consulta_cups/costos/action?id=25876" xr:uid="{86094825-AE5F-402D-8AD2-D0D18C62B0D2}"/>
    <hyperlink ref="A113" r:id="rId223" display="https://tupiel.darsistemas.com/consulta/36090" xr:uid="{F048DFB6-E267-4301-A790-0DED2DCA418E}"/>
    <hyperlink ref="B113" r:id="rId224" display="https://tupiel.darsistemas.com/consulta_cups/costos/action?id=25879" xr:uid="{788A6A27-6196-4729-B56C-CF2832A1A074}"/>
    <hyperlink ref="A114" r:id="rId225" display="https://tupiel.darsistemas.com/consulta/36091" xr:uid="{C5174D9F-9B60-469B-B35D-8B7049EC6D98}"/>
    <hyperlink ref="B114" r:id="rId226" display="https://tupiel.darsistemas.com/consulta_cups/costos/action?id=25880" xr:uid="{06571820-2313-4900-B98B-76596C9EBD58}"/>
    <hyperlink ref="A115" r:id="rId227" display="https://tupiel.darsistemas.com/consulta/36092" xr:uid="{04EA088D-2994-4C7F-9777-600620A024EE}"/>
    <hyperlink ref="B115" r:id="rId228" display="https://tupiel.darsistemas.com/consulta_cups/costos/action?id=25881" xr:uid="{58F51670-0728-4F36-B20C-2545C54A6609}"/>
    <hyperlink ref="A116" r:id="rId229" display="https://tupiel.darsistemas.com/consulta/36096" xr:uid="{B569659A-D39A-42A1-8542-241CD9962364}"/>
    <hyperlink ref="B116" r:id="rId230" display="https://tupiel.darsistemas.com/consulta_cups/costos/action?id=25886" xr:uid="{C726F94E-AA31-4217-98D3-444060798537}"/>
    <hyperlink ref="A117" r:id="rId231" display="https://tupiel.darsistemas.com/consulta/36112" xr:uid="{1B7AAA3A-3690-42D6-9917-91499EEBD3C5}"/>
    <hyperlink ref="B117" r:id="rId232" display="https://tupiel.darsistemas.com/consulta_cups/costos/action?id=25905" xr:uid="{DF6FA15D-3789-4505-8A9F-2CB9C6B59AF4}"/>
    <hyperlink ref="A118" r:id="rId233" display="https://tupiel.darsistemas.com/consulta/35001" xr:uid="{846A3159-621D-4CF2-A4AC-3C0BE85F356F}"/>
    <hyperlink ref="B118" r:id="rId234" display="https://tupiel.darsistemas.com/consulta_cups/costos/action?id=25923" xr:uid="{A4C38851-CBC4-4413-89DA-6A28B46646B6}"/>
    <hyperlink ref="A119" r:id="rId235" display="https://tupiel.darsistemas.com/consulta/36129" xr:uid="{1E7885AD-F294-42BA-8D69-F0FF532ED8BE}"/>
    <hyperlink ref="B119" r:id="rId236" display="https://tupiel.darsistemas.com/consulta_cups/costos/action?id=25927" xr:uid="{A1159C3B-A42B-4B1D-953B-9D37091B8664}"/>
    <hyperlink ref="A120" r:id="rId237" display="https://tupiel.darsistemas.com/consulta/36157" xr:uid="{77253154-E9BA-421A-BEBA-1489A8EB357E}"/>
    <hyperlink ref="B120" r:id="rId238" display="https://tupiel.darsistemas.com/consulta_cups/costos/action?id=25988" xr:uid="{C330D359-5B8F-43F2-B41C-9FAA5C191969}"/>
    <hyperlink ref="A121" r:id="rId239" display="https://tupiel.darsistemas.com/consulta/36161" xr:uid="{76A83FA4-BB2D-479F-AFBE-C066679FC292}"/>
    <hyperlink ref="B121" r:id="rId240" display="https://tupiel.darsistemas.com/consulta_cups/costos/action?id=25995" xr:uid="{63970FE8-EA13-4B54-83B2-CFA6AC34BF12}"/>
    <hyperlink ref="A122" r:id="rId241" display="https://tupiel.darsistemas.com/consulta/36162" xr:uid="{089CFB60-B8E3-471E-8698-D6C8B2CEB564}"/>
    <hyperlink ref="B122" r:id="rId242" display="https://tupiel.darsistemas.com/consulta_cups/costos/action?id=25996" xr:uid="{DDAD5818-87E2-4574-BCE0-C6C88B035EF5}"/>
    <hyperlink ref="A123" r:id="rId243" display="https://tupiel.darsistemas.com/consulta/36165" xr:uid="{C47C8185-B024-46E4-BA33-23820B0F0FB9}"/>
    <hyperlink ref="B123" r:id="rId244" display="https://tupiel.darsistemas.com/consulta_cups/costos/action?id=25999" xr:uid="{5EF5B36E-1870-4BF4-A84B-F1D16568F986}"/>
    <hyperlink ref="A124" r:id="rId245" display="https://tupiel.darsistemas.com/consulta/36177" xr:uid="{ADFB118E-00F9-40A9-84BC-EB88EEFF7845}"/>
    <hyperlink ref="B124" r:id="rId246" display="https://tupiel.darsistemas.com/consulta_cups/costos/action?id=26021" xr:uid="{51D82A8A-C1EE-4F93-969A-14DCCEAB82FC}"/>
    <hyperlink ref="A125" r:id="rId247" display="https://tupiel.darsistemas.com/consulta/35847" xr:uid="{2572C9C5-32AB-4542-A3AE-BE8D7A49D095}"/>
    <hyperlink ref="B125" r:id="rId248" display="https://tupiel.darsistemas.com/consulta_cups/costos/action?id=26042" xr:uid="{F64503B3-E24C-4A1A-8EEC-2406ACE5BAAA}"/>
    <hyperlink ref="A126" r:id="rId249" display="https://tupiel.darsistemas.com/consulta/21145" xr:uid="{B24286E2-3477-4869-8FA0-9BD1016F98E7}"/>
    <hyperlink ref="B126" r:id="rId250" display="https://tupiel.darsistemas.com/consulta_cups/costos/action?id=26061" xr:uid="{F8965133-1EBE-4175-B10D-934960A4B27C}"/>
    <hyperlink ref="A127" r:id="rId251" display="https://tupiel.darsistemas.com/consulta/36159" xr:uid="{B0E9E23A-D150-420C-A6F6-B81BC8D07FEF}"/>
    <hyperlink ref="B127" r:id="rId252" display="https://tupiel.darsistemas.com/consulta_cups/costos/action?id=26067" xr:uid="{CFA6A4BA-078E-492B-8879-73037F0A5601}"/>
    <hyperlink ref="A128" r:id="rId253" display="https://tupiel.darsistemas.com/consulta/33334" xr:uid="{4E8B03A8-C202-4A9E-9837-00D87A49CE20}"/>
    <hyperlink ref="B128" r:id="rId254" display="https://tupiel.darsistemas.com/consulta_cups/costos/action?id=26069" xr:uid="{82B1D49A-2559-442E-BA38-9BD439A2273F}"/>
    <hyperlink ref="A129" r:id="rId255" display="https://tupiel.darsistemas.com/consulta/34790" xr:uid="{77B07B4A-94D2-423A-8DD6-A387DCC14D1E}"/>
    <hyperlink ref="B129" r:id="rId256" display="https://tupiel.darsistemas.com/consulta_cups/costos/action?id=26078" xr:uid="{CDC1626E-CBB1-40E1-8953-64B997E5ADA1}"/>
    <hyperlink ref="A130" r:id="rId257" display="https://tupiel.darsistemas.com/consulta/36210" xr:uid="{34991307-0674-4B57-8644-EE1AFE2FEA5F}"/>
    <hyperlink ref="B130" r:id="rId258" display="https://tupiel.darsistemas.com/consulta_cups/costos/action?id=26084" xr:uid="{D13E1F0B-80D7-4C98-9076-3E898776DB65}"/>
    <hyperlink ref="A131" r:id="rId259" display="https://tupiel.darsistemas.com/consulta/33334" xr:uid="{3683AB47-D50A-4666-9D16-C47F0A0DB3B7}"/>
    <hyperlink ref="B131" r:id="rId260" display="https://tupiel.darsistemas.com/consulta_cups/costos/action?id=26091" xr:uid="{D8D843BB-B24B-484E-93F8-D10A5D99A6FE}"/>
    <hyperlink ref="A132" r:id="rId261" display="https://tupiel.darsistemas.com/consulta/34191" xr:uid="{D2F6ADED-860F-4DC7-987B-EA7EC93F4334}"/>
    <hyperlink ref="B132" r:id="rId262" display="https://tupiel.darsistemas.com/consulta_cups/costos/action?id=26096" xr:uid="{52F1B9A2-56C9-4E7A-852E-A2AFA5C9D606}"/>
    <hyperlink ref="A133" r:id="rId263" display="https://tupiel.darsistemas.com/consulta/34191" xr:uid="{BA6C9F58-2C5F-4DEE-B8B2-653B9CF14881}"/>
    <hyperlink ref="B133" r:id="rId264" display="https://tupiel.darsistemas.com/consulta_cups/costos/action?id=26097" xr:uid="{67813DED-8C7B-4F7A-9216-EF9FB1071221}"/>
    <hyperlink ref="A134" r:id="rId265" display="https://tupiel.darsistemas.com/consulta/34191" xr:uid="{A2020D9D-5DC8-42DE-B8FD-E9A61F91BEB7}"/>
    <hyperlink ref="B134" r:id="rId266" display="https://tupiel.darsistemas.com/consulta_cups/costos/action?id=26098" xr:uid="{54612A92-9827-445B-985A-4DBA110C237B}"/>
    <hyperlink ref="A135" r:id="rId267" display="https://tupiel.darsistemas.com/consulta/36219" xr:uid="{9D6AD270-9757-4127-9366-CF0633735EED}"/>
    <hyperlink ref="B135" r:id="rId268" display="https://tupiel.darsistemas.com/consulta_cups/costos/action?id=26102" xr:uid="{2C8C2FF3-C869-4EF2-A15F-9144E50023B9}"/>
    <hyperlink ref="A136" r:id="rId269" display="https://tupiel.darsistemas.com/consulta/36222" xr:uid="{0A263B40-26F0-43B9-92FB-2E4B7C954761}"/>
    <hyperlink ref="B136" r:id="rId270" display="https://tupiel.darsistemas.com/consulta_cups/costos/action?id=26110" xr:uid="{668EC06B-BDFF-4717-87F7-1731092C6EB2}"/>
    <hyperlink ref="A137" r:id="rId271" display="https://tupiel.darsistemas.com/consulta/36224" xr:uid="{B0F13D3B-F129-4F7D-A749-26A82BBED49F}"/>
    <hyperlink ref="B137" r:id="rId272" display="https://tupiel.darsistemas.com/consulta_cups/costos/action?id=26113" xr:uid="{BE8EFC15-6E55-4F78-B7BD-BCEBB545E872}"/>
    <hyperlink ref="A138" r:id="rId273" display="https://tupiel.darsistemas.com/consulta/36225" xr:uid="{91F149DB-EB70-4DA0-84DF-1FDE5069844A}"/>
    <hyperlink ref="B138" r:id="rId274" display="https://tupiel.darsistemas.com/consulta_cups/costos/action?id=26126" xr:uid="{8EBBB16D-C451-4199-8ED6-D94C0F53E91A}"/>
    <hyperlink ref="A139" r:id="rId275" display="https://tupiel.darsistemas.com/consulta/36234" xr:uid="{F1F65876-1DE7-42C7-84F7-85D01C739809}"/>
    <hyperlink ref="B139" r:id="rId276" display="https://tupiel.darsistemas.com/consulta_cups/costos/action?id=26137" xr:uid="{8B1B8ACB-ED52-4800-958C-C95D734A9F0B}"/>
    <hyperlink ref="A140" r:id="rId277" display="https://tupiel.darsistemas.com/consulta/36235" xr:uid="{EE6B38A9-A18C-424E-9222-F0DAF4B342BC}"/>
    <hyperlink ref="B140" r:id="rId278" display="https://tupiel.darsistemas.com/consulta_cups/costos/action?id=26160" xr:uid="{03D18A9D-607B-4E8E-98D5-7176B6934A88}"/>
    <hyperlink ref="A141" r:id="rId279" display="https://tupiel.darsistemas.com/consulta/36236" xr:uid="{0F41D21F-3716-41AF-87BA-3768F74E9D02}"/>
    <hyperlink ref="B141" r:id="rId280" display="https://tupiel.darsistemas.com/consulta_cups/costos/action?id=26162" xr:uid="{55E801B8-9F50-4B24-95A6-DC285A73CED1}"/>
    <hyperlink ref="A142" r:id="rId281" display="https://tupiel.darsistemas.com/consulta/36241" xr:uid="{EB6C5767-ACA5-4F17-82B5-E2969A59711C}"/>
    <hyperlink ref="B142" r:id="rId282" display="https://tupiel.darsistemas.com/consulta_cups/costos/action?id=26173" xr:uid="{9EBB7F31-E330-4E89-A518-6028E6EDBB60}"/>
    <hyperlink ref="A143" r:id="rId283" display="https://tupiel.darsistemas.com/consulta/36255" xr:uid="{F0B07AFF-D75B-41CC-A13A-065022BEC08B}"/>
    <hyperlink ref="B143" r:id="rId284" display="https://tupiel.darsistemas.com/consulta_cups/costos/action?id=26189" xr:uid="{7CFF0326-AFA1-4AF4-A379-5ECB4840FDEB}"/>
    <hyperlink ref="A144" r:id="rId285" display="https://tupiel.darsistemas.com/consulta/36256" xr:uid="{7D595416-8D20-4619-8E85-544BB10DB5F0}"/>
    <hyperlink ref="B144" r:id="rId286" display="https://tupiel.darsistemas.com/consulta_cups/costos/action?id=26191" xr:uid="{61DF8814-2398-4AF8-8376-CDD2C5665E01}"/>
    <hyperlink ref="A145" r:id="rId287" display="https://tupiel.darsistemas.com/consulta/20151" xr:uid="{20CE4E9E-E8E4-4C45-A080-3B81E79DE40A}"/>
    <hyperlink ref="B145" r:id="rId288" display="https://tupiel.darsistemas.com/consulta_cups/costos/action?id=26207" xr:uid="{691CC63A-5806-4A22-AD88-3B689007DCF4}"/>
    <hyperlink ref="A146" r:id="rId289" display="https://tupiel.darsistemas.com/consulta/36273" xr:uid="{5EA8E51B-4F93-436F-B935-B21412CA55FE}"/>
    <hyperlink ref="B146" r:id="rId290" display="https://tupiel.darsistemas.com/consulta_cups/costos/action?id=26219" xr:uid="{EFDA4890-414E-463F-ADF4-3F618776B12A}"/>
    <hyperlink ref="A147" r:id="rId291" display="https://tupiel.darsistemas.com/consulta/35505" xr:uid="{6366826B-3514-432F-B002-2D5177060C12}"/>
    <hyperlink ref="B147" r:id="rId292" display="https://tupiel.darsistemas.com/consulta_cups/costos/action?id=26221" xr:uid="{FA9F9BBC-805B-485E-BE47-B9E4D92F990C}"/>
    <hyperlink ref="A148" r:id="rId293" display="https://tupiel.darsistemas.com/consulta/36275" xr:uid="{9D5F4925-7C22-4402-BE74-7EF08891C3FF}"/>
    <hyperlink ref="B148" r:id="rId294" display="https://tupiel.darsistemas.com/consulta_cups/costos/action?id=26225" xr:uid="{86259EE7-DA09-466A-9BB0-9FFE2B1A96FA}"/>
    <hyperlink ref="A149" r:id="rId295" display="https://tupiel.darsistemas.com/consulta/36276" xr:uid="{20F03217-6ED5-4D8B-B8F3-D0F734B6776F}"/>
    <hyperlink ref="B149" r:id="rId296" display="https://tupiel.darsistemas.com/consulta_cups/costos/action?id=26226" xr:uid="{2F67A355-0DF1-4821-A6DF-1A6516A8B8DA}"/>
    <hyperlink ref="A150" r:id="rId297" display="https://tupiel.darsistemas.com/consulta/36283" xr:uid="{5F888160-BB29-41A5-BADB-2139433123A6}"/>
    <hyperlink ref="B150" r:id="rId298" display="https://tupiel.darsistemas.com/consulta_cups/costos/action?id=26239" xr:uid="{CD920D8B-DFF2-43EB-B685-F0FBCDA60EEC}"/>
    <hyperlink ref="A151" r:id="rId299" display="https://tupiel.darsistemas.com/consulta/36302" xr:uid="{A2478325-F6F3-4AB5-AA0F-FB0694CD4B6E}"/>
    <hyperlink ref="B151" r:id="rId300" display="https://tupiel.darsistemas.com/consulta_cups/costos/action?id=26269" xr:uid="{8C16B3D2-DF80-48CF-AF07-D78AF47B7110}"/>
    <hyperlink ref="A152" r:id="rId301" display="https://tupiel.darsistemas.com/consulta/36305" xr:uid="{6E98D6BC-13C6-407D-8881-AD5291FF23B0}"/>
    <hyperlink ref="B152" r:id="rId302" display="https://tupiel.darsistemas.com/consulta_cups/costos/action?id=26278" xr:uid="{88CD331C-9618-426D-9DAF-18D88C5FE83D}"/>
    <hyperlink ref="A153" r:id="rId303" display="https://tupiel.darsistemas.com/consulta/36310" xr:uid="{AE8398DC-620D-43A3-B1D3-CDF3E81DBDBC}"/>
    <hyperlink ref="B153" r:id="rId304" display="https://tupiel.darsistemas.com/consulta_cups/costos/action?id=26285" xr:uid="{A935C296-60CA-4581-A2F4-783E748CF376}"/>
    <hyperlink ref="A154" r:id="rId305" display="https://tupiel.darsistemas.com/consulta/36315" xr:uid="{19439ADF-2194-49C2-8612-693DA0F5B1B7}"/>
    <hyperlink ref="B154" r:id="rId306" display="https://tupiel.darsistemas.com/consulta_cups/costos/action?id=26290" xr:uid="{3CED763F-B341-4022-8918-CF6B668CAAAA}"/>
    <hyperlink ref="A155" r:id="rId307" display="https://tupiel.darsistemas.com/consulta/36319" xr:uid="{0BB2E047-7269-4B3A-A379-E910B025A342}"/>
    <hyperlink ref="B155" r:id="rId308" display="https://tupiel.darsistemas.com/consulta_cups/costos/action?id=26297" xr:uid="{27C1B228-F7D8-48FE-9034-ED32E6A18C6C}"/>
    <hyperlink ref="A156" r:id="rId309" display="https://tupiel.darsistemas.com/consulta/36321" xr:uid="{33746FD6-99E2-4171-A4DE-7CE50ACB834C}"/>
    <hyperlink ref="B156" r:id="rId310" display="https://tupiel.darsistemas.com/consulta_cups/costos/action?id=26299" xr:uid="{E9C5D610-8082-44D0-A857-33ABEBD1429A}"/>
    <hyperlink ref="A157" r:id="rId311" display="https://tupiel.darsistemas.com/consulta/34695" xr:uid="{4AB23086-982B-46A6-A0DD-C7F0BE8322BC}"/>
    <hyperlink ref="B157" r:id="rId312" display="https://tupiel.darsistemas.com/consulta_cups/costos/action?id=26339" xr:uid="{35BEEE8C-6879-4F7B-9F63-B4155D6D96C9}"/>
    <hyperlink ref="A158" r:id="rId313" display="https://tupiel.darsistemas.com/consulta/36349" xr:uid="{56D5C28F-8818-47FE-ABAC-77E3A1A7D41E}"/>
    <hyperlink ref="B158" r:id="rId314" display="https://tupiel.darsistemas.com/consulta_cups/costos/action?id=26355" xr:uid="{AB569174-6D82-4E00-8D5F-01055C9C660E}"/>
    <hyperlink ref="A159" r:id="rId315" display="https://tupiel.darsistemas.com/consulta/36353" xr:uid="{E88AB208-813D-4AA0-9C12-E5F679249769}"/>
    <hyperlink ref="B159" r:id="rId316" display="https://tupiel.darsistemas.com/consulta_cups/costos/action?id=26362" xr:uid="{7812044B-C3B9-4E04-B7C0-D388C31F9AA8}"/>
    <hyperlink ref="A160" r:id="rId317" display="https://tupiel.darsistemas.com/consulta/36357" xr:uid="{F3E0102E-D385-464D-8022-6C255F833931}"/>
    <hyperlink ref="B160" r:id="rId318" display="https://tupiel.darsistemas.com/consulta_cups/costos/action?id=26371" xr:uid="{73E399AB-DDF0-4901-99A7-57251BCEB395}"/>
    <hyperlink ref="A161" r:id="rId319" display="https://tupiel.darsistemas.com/consulta/36375" xr:uid="{30BB27B9-BA8E-411F-A26D-233E4B445BC0}"/>
    <hyperlink ref="B161" r:id="rId320" display="https://tupiel.darsistemas.com/consulta_cups/costos/action?id=26415" xr:uid="{5E1952C9-35FB-4267-BC33-FDFC30193302}"/>
    <hyperlink ref="A162" r:id="rId321" display="https://tupiel.darsistemas.com/consulta/36375" xr:uid="{6898027D-D9D3-4A8C-8CFC-283B240A48F9}"/>
    <hyperlink ref="B162" r:id="rId322" display="https://tupiel.darsistemas.com/consulta_cups/costos/action?id=26416" xr:uid="{422C6E28-4C07-4D81-B18C-F9FCA4E554E3}"/>
    <hyperlink ref="A163" r:id="rId323" display="https://tupiel.darsistemas.com/consulta/36380" xr:uid="{3D488D50-3EB1-4A0D-9956-FBDCD7B1EE2B}"/>
    <hyperlink ref="B163" r:id="rId324" display="https://tupiel.darsistemas.com/consulta_cups/costos/action?id=26422" xr:uid="{5B2A8CF1-14BE-4581-9120-A03004881502}"/>
    <hyperlink ref="A164" r:id="rId325" display="https://tupiel.darsistemas.com/consulta/36385" xr:uid="{78A24E39-9022-4B2F-86FC-926C9123ED37}"/>
    <hyperlink ref="B164" r:id="rId326" display="https://tupiel.darsistemas.com/consulta_cups/costos/action?id=26427" xr:uid="{5F26451D-9277-41A0-8707-3470CF2826F6}"/>
    <hyperlink ref="A165" r:id="rId327" display="https://tupiel.darsistemas.com/consulta/36387" xr:uid="{056AF9FA-03B3-4B5B-BCE5-427A7D160CB9}"/>
    <hyperlink ref="B165" r:id="rId328" display="https://tupiel.darsistemas.com/consulta_cups/costos/action?id=26429" xr:uid="{9558B839-ED1F-4352-B43E-DC149148A32D}"/>
    <hyperlink ref="A166" r:id="rId329" display="https://tupiel.darsistemas.com/consulta/36388" xr:uid="{5CD64608-73C6-4DCE-BB48-5B36E70E3365}"/>
    <hyperlink ref="B166" r:id="rId330" display="https://tupiel.darsistemas.com/consulta_cups/costos/action?id=26430" xr:uid="{BCE631CA-CC81-45FC-93E0-A85BE758BA71}"/>
    <hyperlink ref="A167" r:id="rId331" display="https://tupiel.darsistemas.com/consulta/35567" xr:uid="{2B3B6293-680D-4441-BA87-CC0B4ACD7976}"/>
    <hyperlink ref="B167" r:id="rId332" display="https://tupiel.darsistemas.com/consulta_cups/costos/action?id=26437" xr:uid="{81810517-4688-4A6C-9736-CA49EA5DDC8F}"/>
    <hyperlink ref="A168" r:id="rId333" display="https://tupiel.darsistemas.com/consulta/36396" xr:uid="{9FE1D36B-5D2E-4E71-B276-0321407E43FB}"/>
    <hyperlink ref="B168" r:id="rId334" display="https://tupiel.darsistemas.com/consulta_cups/costos/action?id=26444" xr:uid="{839AEDE5-095D-47D7-9273-255BB769ED6F}"/>
    <hyperlink ref="A169" r:id="rId335" display="https://tupiel.darsistemas.com/consulta/36397" xr:uid="{CCFF18D1-C622-4872-A4CB-35D1C3422DE1}"/>
    <hyperlink ref="B169" r:id="rId336" display="https://tupiel.darsistemas.com/consulta_cups/costos/action?id=26445" xr:uid="{88BBB271-9D73-4AE8-B9B0-E5D4B31E6D1A}"/>
    <hyperlink ref="A170" r:id="rId337" display="https://tupiel.darsistemas.com/consulta/36405" xr:uid="{8612550C-805F-4106-A90D-8674CD65412C}"/>
    <hyperlink ref="B170" r:id="rId338" display="https://tupiel.darsistemas.com/consulta_cups/costos/action?id=26455" xr:uid="{E69B9B11-AAFF-4DE7-9C3B-285A5DC3CD1A}"/>
    <hyperlink ref="A171" r:id="rId339" display="https://tupiel.darsistemas.com/consulta/36405" xr:uid="{668B6E3C-D106-4C5A-9049-D44CE5F749EA}"/>
    <hyperlink ref="B171" r:id="rId340" display="https://tupiel.darsistemas.com/consulta_cups/costos/action?id=26456" xr:uid="{41E79E84-AD89-4822-9AD1-B664067983F7}"/>
    <hyperlink ref="A172" r:id="rId341" display="https://tupiel.darsistemas.com/consulta/36405" xr:uid="{97DDE28F-769F-4898-9477-BD8E7B846E94}"/>
    <hyperlink ref="B172" r:id="rId342" display="https://tupiel.darsistemas.com/consulta_cups/costos/action?id=26457" xr:uid="{0D30A24F-A550-442B-880A-37D0395092C3}"/>
    <hyperlink ref="A173" r:id="rId343" display="https://tupiel.darsistemas.com/consulta/36411" xr:uid="{7B412EF9-0D72-4A6D-B11D-B164FCE52C51}"/>
    <hyperlink ref="B173" r:id="rId344" display="https://tupiel.darsistemas.com/consulta_cups/costos/action?id=26465" xr:uid="{8E5FB44A-C048-47B6-ACF5-321AE27EA161}"/>
    <hyperlink ref="A174" r:id="rId345" display="https://tupiel.darsistemas.com/consulta/36419" xr:uid="{C8FC6E51-3A89-4782-B04B-0E0ACDD9EF09}"/>
    <hyperlink ref="B174" r:id="rId346" display="https://tupiel.darsistemas.com/consulta_cups/costos/action?id=26477" xr:uid="{E5F4586A-F071-4728-B4B1-E61E06507F02}"/>
    <hyperlink ref="A175" r:id="rId347" display="https://tupiel.darsistemas.com/consulta/36424" xr:uid="{E2157F97-BA6C-4072-A400-E11530DF6FFB}"/>
    <hyperlink ref="B175" r:id="rId348" display="https://tupiel.darsistemas.com/consulta_cups/costos/action?id=26484" xr:uid="{17E105AF-874F-4CC3-A170-72FB54F35FAB}"/>
    <hyperlink ref="A176" r:id="rId349" display="https://tupiel.darsistemas.com/consulta/22327" xr:uid="{52CF53A9-3443-4D0B-9EE8-4431F82612A4}"/>
    <hyperlink ref="B176" r:id="rId350" display="https://tupiel.darsistemas.com/consulta_cups/costos/action?id=26510" xr:uid="{8CF9765A-1DDF-4442-8101-BDF5AA052DA3}"/>
    <hyperlink ref="A177" r:id="rId351" display="https://tupiel.darsistemas.com/consulta/36439" xr:uid="{F75CF3FE-4433-429E-AB76-358CAD1FDF80}"/>
    <hyperlink ref="B177" r:id="rId352" display="https://tupiel.darsistemas.com/consulta_cups/costos/action?id=26516" xr:uid="{2ED3F1DD-4E7E-4787-8071-B91FC1B87341}"/>
    <hyperlink ref="A178" r:id="rId353" display="https://tupiel.darsistemas.com/consulta/36440" xr:uid="{6298E456-3A16-4168-AE5D-D3E4623AECD9}"/>
    <hyperlink ref="B178" r:id="rId354" display="https://tupiel.darsistemas.com/consulta_cups/costos/action?id=26517" xr:uid="{EC6F24A2-E336-4501-A5F8-0ED638B8A7CD}"/>
    <hyperlink ref="A179" r:id="rId355" display="https://tupiel.darsistemas.com/consulta/36446" xr:uid="{13999926-C4BC-4CBA-9350-1B241D907852}"/>
    <hyperlink ref="B179" r:id="rId356" display="https://tupiel.darsistemas.com/consulta_cups/costos/action?id=26531" xr:uid="{3D730D64-B445-4E22-9CFF-BB9A6ECC871B}"/>
    <hyperlink ref="A180" r:id="rId357" display="https://tupiel.darsistemas.com/consulta/36447" xr:uid="{065981A7-95E2-4356-B46A-3FBA4D6F0B3E}"/>
    <hyperlink ref="B180" r:id="rId358" display="https://tupiel.darsistemas.com/consulta_cups/costos/action?id=26532" xr:uid="{36702A4C-D11F-4DB3-9F5B-BA2F704F0D8C}"/>
    <hyperlink ref="A181" r:id="rId359" display="https://tupiel.darsistemas.com/consulta/36451" xr:uid="{4DEA9CB5-33A2-4A99-90E3-C580F9709B05}"/>
    <hyperlink ref="B181" r:id="rId360" display="https://tupiel.darsistemas.com/consulta_cups/costos/action?id=26537" xr:uid="{293A184F-3C4B-4897-8FA1-79542C74ABFF}"/>
    <hyperlink ref="A182" r:id="rId361" display="https://tupiel.darsistemas.com/consulta/36457" xr:uid="{BD6FFDF3-FEE4-41E8-9350-3CFB9E2CD176}"/>
    <hyperlink ref="B182" r:id="rId362" display="https://tupiel.darsistemas.com/consulta_cups/costos/action?id=26548" xr:uid="{B7005E0C-9F29-4073-BA23-FF4265E01921}"/>
    <hyperlink ref="A183" r:id="rId363" display="https://tupiel.darsistemas.com/consulta/36458" xr:uid="{42525A73-3132-443E-905C-BF047300FC72}"/>
    <hyperlink ref="B183" r:id="rId364" display="https://tupiel.darsistemas.com/consulta_cups/costos/action?id=26550" xr:uid="{DDC49B7D-8069-43CA-A2FF-C0A3EDC47CF1}"/>
    <hyperlink ref="A184" r:id="rId365" display="https://tupiel.darsistemas.com/consulta/36462" xr:uid="{89E43064-CAF7-4D80-A9D6-8E747DC70238}"/>
    <hyperlink ref="B184" r:id="rId366" display="https://tupiel.darsistemas.com/consulta_cups/costos/action?id=26557" xr:uid="{318584C8-36C9-46FA-969C-A3A0C148DD73}"/>
    <hyperlink ref="A185" r:id="rId367" display="https://tupiel.darsistemas.com/consulta/36469" xr:uid="{B63A8CC2-B98B-4E60-A18E-8F24D23D0032}"/>
    <hyperlink ref="B185" r:id="rId368" display="https://tupiel.darsistemas.com/consulta_cups/costos/action?id=26571" xr:uid="{5350DA43-2695-40B5-8919-7B50F3355456}"/>
    <hyperlink ref="A186" r:id="rId369" display="https://tupiel.darsistemas.com/consulta/36470" xr:uid="{543807B3-827A-4E85-9542-636CD9117A97}"/>
    <hyperlink ref="B186" r:id="rId370" display="https://tupiel.darsistemas.com/consulta_cups/costos/action?id=26572" xr:uid="{59A67885-6FC9-42E0-9E89-C89D5690DBE5}"/>
    <hyperlink ref="A187" r:id="rId371" display="https://tupiel.darsistemas.com/consulta/35668" xr:uid="{43D71703-397D-4820-B1F5-77EA6F0ECAAF}"/>
    <hyperlink ref="B187" r:id="rId372" display="https://tupiel.darsistemas.com/consulta_cups/costos/action?id=26615" xr:uid="{90B6C7FD-1045-43B2-ABC1-0150089F5F82}"/>
    <hyperlink ref="A188" r:id="rId373" display="https://tupiel.darsistemas.com/consulta/36487" xr:uid="{22234E49-E105-4D04-9436-443F3ACCD66D}"/>
    <hyperlink ref="B188" r:id="rId374" display="https://tupiel.darsistemas.com/consulta_cups/costos/action?id=26616" xr:uid="{56F8B306-E101-441B-8EC4-FD931CE01D37}"/>
    <hyperlink ref="A189" r:id="rId375" display="https://tupiel.darsistemas.com/consulta/36491" xr:uid="{C1279B23-0451-4900-9460-C0BA56CF62B6}"/>
    <hyperlink ref="B189" r:id="rId376" display="https://tupiel.darsistemas.com/consulta_cups/costos/action?id=26620" xr:uid="{A78B711F-9706-4D32-AC78-6E21E0A8B6B0}"/>
    <hyperlink ref="A190" r:id="rId377" display="https://tupiel.darsistemas.com/consulta/36484" xr:uid="{5F78E0EA-9095-4185-A275-C313A5E06291}"/>
    <hyperlink ref="B190" r:id="rId378" display="https://tupiel.darsistemas.com/consulta_cups/costos/action?id=26622" xr:uid="{52B8D355-5C0D-49DB-9528-97DFCB953AF0}"/>
    <hyperlink ref="A191" r:id="rId379" display="https://tupiel.darsistemas.com/consulta/36494" xr:uid="{5C011CB0-3A6C-4FDB-9487-E1DC69CD96D6}"/>
    <hyperlink ref="B191" r:id="rId380" display="https://tupiel.darsistemas.com/consulta_cups/costos/action?id=26629" xr:uid="{B2FFFD00-7F66-4736-85B6-5DAAC64CC68A}"/>
    <hyperlink ref="A192" r:id="rId381" display="https://tupiel.darsistemas.com/consulta/36502" xr:uid="{2331BDD9-4D8F-4B34-B821-BB7B4104B883}"/>
    <hyperlink ref="B192" r:id="rId382" display="https://tupiel.darsistemas.com/consulta_cups/costos/action?id=26644" xr:uid="{4D96C854-C0BA-4391-AB30-8810D662F71B}"/>
    <hyperlink ref="A193" r:id="rId383" display="https://tupiel.darsistemas.com/consulta/36504" xr:uid="{4E7EB913-92FB-4B35-80FE-D678B8CA3EDB}"/>
    <hyperlink ref="B193" r:id="rId384" display="https://tupiel.darsistemas.com/consulta_cups/costos/action?id=26648" xr:uid="{5D76ADA9-08CA-457B-8943-FF6A38BFFBC6}"/>
    <hyperlink ref="A194" r:id="rId385" display="https://tupiel.darsistemas.com/consulta/36509" xr:uid="{F4DD4450-E688-40CD-B9A9-54924DD826F8}"/>
    <hyperlink ref="B194" r:id="rId386" display="https://tupiel.darsistemas.com/consulta_cups/costos/action?id=26653" xr:uid="{D0D410B2-5F4A-438B-A81D-09ACCECF0D39}"/>
    <hyperlink ref="A195" r:id="rId387" display="https://tupiel.darsistemas.com/consulta/36510" xr:uid="{836FB944-C7F3-499B-AE36-6AD90D8BC0A5}"/>
    <hyperlink ref="B195" r:id="rId388" display="https://tupiel.darsistemas.com/consulta_cups/costos/action?id=26654" xr:uid="{C6BAD511-C999-42C2-9922-8F56FFD8973C}"/>
    <hyperlink ref="A196" r:id="rId389" display="https://tupiel.darsistemas.com/consulta/36517" xr:uid="{12BF991B-2DC4-4D21-8226-843C37301862}"/>
    <hyperlink ref="B196" r:id="rId390" display="https://tupiel.darsistemas.com/consulta_cups/costos/action?id=26671" xr:uid="{475D6AAE-C18D-40C5-8896-68BFBFF8F775}"/>
    <hyperlink ref="A197" r:id="rId391" display="https://tupiel.darsistemas.com/consulta/36521" xr:uid="{3FE0BDB7-D679-483C-AA36-07D6A739B3D5}"/>
    <hyperlink ref="B197" r:id="rId392" display="https://tupiel.darsistemas.com/consulta_cups/costos/action?id=26676" xr:uid="{D2402CD7-02F7-4E22-8C76-40FC994D54B0}"/>
    <hyperlink ref="A198" r:id="rId393" display="https://tupiel.darsistemas.com/consulta/36523" xr:uid="{752D5B1F-DC46-4D3E-8E1D-AF92CE361A73}"/>
    <hyperlink ref="B198" r:id="rId394" display="https://tupiel.darsistemas.com/consulta_cups/costos/action?id=26682" xr:uid="{2C399682-F85B-4275-83AD-0EE1BF98AA97}"/>
    <hyperlink ref="A199" r:id="rId395" display="https://tupiel.darsistemas.com/consulta/36524" xr:uid="{BEF75438-77B7-413F-9E81-9DC72CF621E4}"/>
    <hyperlink ref="B199" r:id="rId396" display="https://tupiel.darsistemas.com/consulta_cups/costos/action?id=26683" xr:uid="{8351B969-B5A6-4F24-8F2B-7D5565921228}"/>
    <hyperlink ref="A200" r:id="rId397" display="https://tupiel.darsistemas.com/consulta/36527" xr:uid="{FA758E93-9E42-4B18-9E9E-5E7F993F7EFF}"/>
    <hyperlink ref="B200" r:id="rId398" display="https://tupiel.darsistemas.com/consulta_cups/costos/action?id=26688" xr:uid="{DE6889A7-BBF9-4DD2-8C87-A104251D7BD4}"/>
    <hyperlink ref="A201" r:id="rId399" display="https://tupiel.darsistemas.com/consulta/36529" xr:uid="{A2B1E4BA-580E-4CED-854D-C986F09294EC}"/>
    <hyperlink ref="B201" r:id="rId400" display="https://tupiel.darsistemas.com/consulta_cups/costos/action?id=26691" xr:uid="{C97B9FFA-72F6-4F59-852B-4E069139E07A}"/>
    <hyperlink ref="A202" r:id="rId401" display="https://tupiel.darsistemas.com/consulta/36530" xr:uid="{61ACEA71-BE90-4EC6-8A0D-C5A76AF471FF}"/>
    <hyperlink ref="B202" r:id="rId402" display="https://tupiel.darsistemas.com/consulta_cups/costos/action?id=26692" xr:uid="{6554DEFE-DC9D-4147-A03E-133EDB3FA04F}"/>
    <hyperlink ref="A203" r:id="rId403" display="https://tupiel.darsistemas.com/consulta/36531" xr:uid="{377F84B6-5B16-471A-86DC-DF942EB56E7D}"/>
    <hyperlink ref="B203" r:id="rId404" display="https://tupiel.darsistemas.com/consulta_cups/costos/action?id=26693" xr:uid="{2CF46737-BE99-4A74-8CB7-CEE697B1DBE2}"/>
    <hyperlink ref="A204" r:id="rId405" display="https://tupiel.darsistemas.com/consulta/36532" xr:uid="{DF2DE626-E5BF-4972-9806-DF2D30ACC073}"/>
    <hyperlink ref="B204" r:id="rId406" display="https://tupiel.darsistemas.com/consulta_cups/costos/action?id=26694" xr:uid="{01BC6A37-5052-4A66-8E77-CE9BDDCC046E}"/>
    <hyperlink ref="A205" r:id="rId407" display="https://tupiel.darsistemas.com/consulta/25025" xr:uid="{D69F8660-B0A5-4B82-ABDD-DDC75046CDB3}"/>
    <hyperlink ref="B205" r:id="rId408" display="https://tupiel.darsistemas.com/consulta_cups/costos/action?id=26696" xr:uid="{523DFFB9-D7FA-4E18-BF91-BB6903A54988}"/>
    <hyperlink ref="A206" r:id="rId409" display="https://tupiel.darsistemas.com/consulta/34870" xr:uid="{4A6C1093-180D-4153-B0F7-4E937DFAD0BC}"/>
    <hyperlink ref="B206" r:id="rId410" display="https://tupiel.darsistemas.com/consulta_cups/costos/action?id=26698" xr:uid="{09B73058-2A02-42F9-ABEA-9BF1DA65B445}"/>
    <hyperlink ref="A207" r:id="rId411" display="https://tupiel.darsistemas.com/consulta/36538" xr:uid="{C2D2D58C-A4D6-4EBA-83C5-A9B10D408475}"/>
    <hyperlink ref="B207" r:id="rId412" display="https://tupiel.darsistemas.com/consulta_cups/costos/action?id=26704" xr:uid="{8326A6E6-358E-48F4-8252-F89368EAB247}"/>
    <hyperlink ref="A208" r:id="rId413" display="https://tupiel.darsistemas.com/consulta/36541" xr:uid="{B1035886-2CB5-41DF-BC25-A6F4BBC6D4C6}"/>
    <hyperlink ref="B208" r:id="rId414" display="https://tupiel.darsistemas.com/consulta_cups/costos/action?id=26708" xr:uid="{2A3C70C1-2E1C-4B53-B337-28C03338BE86}"/>
    <hyperlink ref="A209" r:id="rId415" display="https://tupiel.darsistemas.com/consulta/36543" xr:uid="{4CB79A77-873A-4B20-9250-B74181B5E9D9}"/>
    <hyperlink ref="B209" r:id="rId416" display="https://tupiel.darsistemas.com/consulta_cups/costos/action?id=26713" xr:uid="{6FA5A194-1F03-4EE3-925F-54EF8C22F6CB}"/>
    <hyperlink ref="A210" r:id="rId417" display="https://tupiel.darsistemas.com/consulta/36544" xr:uid="{1DE39A8A-7430-48EA-9E90-91524E22CF04}"/>
    <hyperlink ref="B210" r:id="rId418" display="https://tupiel.darsistemas.com/consulta_cups/costos/action?id=26714" xr:uid="{94547304-74EB-4C77-8A0C-680CE626312E}"/>
    <hyperlink ref="A211" r:id="rId419" display="https://tupiel.darsistemas.com/consulta/36546" xr:uid="{ECD0376E-F821-4B2F-8A87-30112F202CB1}"/>
    <hyperlink ref="B211" r:id="rId420" display="https://tupiel.darsistemas.com/consulta_cups/costos/action?id=26718" xr:uid="{5A02B64D-6917-4814-947F-B76FD9AB85CE}"/>
    <hyperlink ref="A212" r:id="rId421" display="https://tupiel.darsistemas.com/consulta/36547" xr:uid="{456D8A73-4410-4F05-8E5D-FA04D5DF527B}"/>
    <hyperlink ref="B212" r:id="rId422" display="https://tupiel.darsistemas.com/consulta_cups/costos/action?id=26720" xr:uid="{971C371E-82E3-4660-BAF0-DA7D91375028}"/>
    <hyperlink ref="A213" r:id="rId423" display="https://tupiel.darsistemas.com/consulta/36551" xr:uid="{D249432C-C964-4951-B3F5-902C85F025FF}"/>
    <hyperlink ref="B213" r:id="rId424" display="https://tupiel.darsistemas.com/consulta_cups/costos/action?id=26729" xr:uid="{BFD5CB4C-9A98-4E0B-B1FD-4F6A6CCEFDBB}"/>
    <hyperlink ref="A214" r:id="rId425" display="https://tupiel.darsistemas.com/consulta/24227" xr:uid="{311933A7-0EEF-427C-8C54-D21864B5CEDF}"/>
    <hyperlink ref="B214" r:id="rId426" display="https://tupiel.darsistemas.com/consulta_cups/costos/action?id=26734" xr:uid="{E562F39C-8B9C-484B-93D3-78B436CD2EC4}"/>
    <hyperlink ref="A215" r:id="rId427" display="https://tupiel.darsistemas.com/consulta/36560" xr:uid="{D311335E-FFDA-4D8C-8990-EB5827360193}"/>
    <hyperlink ref="B215" r:id="rId428" display="https://tupiel.darsistemas.com/consulta_cups/costos/action?id=26741" xr:uid="{00D121E3-84D8-4D10-931C-A04AEA0AC964}"/>
    <hyperlink ref="A216" r:id="rId429" display="https://tupiel.darsistemas.com/consulta/33996" xr:uid="{0FC95E0D-4140-4D26-8842-514C51F05997}"/>
    <hyperlink ref="B216" r:id="rId430" display="https://tupiel.darsistemas.com/consulta_cups/costos/action?id=26742" xr:uid="{B6D46920-99D3-4D2F-83AE-37891357EAF3}"/>
    <hyperlink ref="A217" r:id="rId431" display="https://tupiel.darsistemas.com/consulta/36561" xr:uid="{5878A363-98C6-450D-B65A-6E83E31E5302}"/>
    <hyperlink ref="B217" r:id="rId432" display="https://tupiel.darsistemas.com/consulta_cups/costos/action?id=26743" xr:uid="{6587BFFA-11F1-425F-A30E-B6BC5B4F912A}"/>
    <hyperlink ref="A218" r:id="rId433" display="https://tupiel.darsistemas.com/consulta/36563" xr:uid="{34999341-BE96-4326-9F7F-3FA0C5770DCD}"/>
    <hyperlink ref="B218" r:id="rId434" display="https://tupiel.darsistemas.com/consulta_cups/costos/action?id=26747" xr:uid="{7D63449E-37C3-4920-A151-7056FC8AD5C2}"/>
    <hyperlink ref="A219" r:id="rId435" display="https://tupiel.darsistemas.com/consulta/36566" xr:uid="{AB643336-E9B4-4E2F-AF19-392D62D7EEDF}"/>
    <hyperlink ref="B219" r:id="rId436" display="https://tupiel.darsistemas.com/consulta_cups/costos/action?id=26754" xr:uid="{AD6D5146-55A0-4F54-9473-9F92C1DACB2D}"/>
    <hyperlink ref="A220" r:id="rId437" display="https://tupiel.darsistemas.com/consulta/36567" xr:uid="{28B4CE35-D514-449E-AA28-42009E1F2209}"/>
    <hyperlink ref="B220" r:id="rId438" display="https://tupiel.darsistemas.com/consulta_cups/costos/action?id=26755" xr:uid="{0F1A032F-447A-425A-8866-3E5B68B62AD1}"/>
    <hyperlink ref="A221" r:id="rId439" display="https://tupiel.darsistemas.com/consulta/36568" xr:uid="{C4809A9C-6652-4F64-BFF5-C1112F30A73A}"/>
    <hyperlink ref="B221" r:id="rId440" display="https://tupiel.darsistemas.com/consulta_cups/costos/action?id=26756" xr:uid="{175133F3-0CC7-46E9-884B-DA56162874FB}"/>
    <hyperlink ref="A222" r:id="rId441" display="https://tupiel.darsistemas.com/consulta/36571" xr:uid="{4367E353-DF8E-4FA6-886C-F54B1252F29D}"/>
    <hyperlink ref="B222" r:id="rId442" display="https://tupiel.darsistemas.com/consulta_cups/costos/action?id=26759" xr:uid="{51CD233C-89A0-4AD0-946E-AFE5C770A135}"/>
    <hyperlink ref="A223" r:id="rId443" display="https://tupiel.darsistemas.com/consulta/35824" xr:uid="{3DBD7A92-383B-44DE-A8AB-D3C4409B1820}"/>
    <hyperlink ref="B223" r:id="rId444" display="https://tupiel.darsistemas.com/consulta_cups/costos/action?id=26762" xr:uid="{3E129788-64CA-40D9-A445-9B9BED869548}"/>
    <hyperlink ref="A224" r:id="rId445" display="https://tupiel.darsistemas.com/consulta/36575" xr:uid="{48301F8E-A92D-4A5C-A487-7ADA3018843D}"/>
    <hyperlink ref="B224" r:id="rId446" display="https://tupiel.darsistemas.com/consulta_cups/costos/action?id=26766" xr:uid="{523246DB-B5DA-47BA-9961-E05CD324C208}"/>
    <hyperlink ref="A225" r:id="rId447" display="https://tupiel.darsistemas.com/consulta/36583" xr:uid="{CBB5F6A6-8E43-4A2C-8946-0BEE35263F10}"/>
    <hyperlink ref="B225" r:id="rId448" display="https://tupiel.darsistemas.com/consulta_cups/costos/action?id=26777" xr:uid="{010431EE-45BE-43D9-8A95-70503B2025A5}"/>
    <hyperlink ref="A226" r:id="rId449" display="https://tupiel.darsistemas.com/consulta/36584" xr:uid="{DCF0EEF1-DC9D-407F-B438-6002F9FDD70B}"/>
    <hyperlink ref="B226" r:id="rId450" display="https://tupiel.darsistemas.com/consulta_cups/costos/action?id=26778" xr:uid="{57096D49-ECC9-4243-A66F-5C9ABD3A0A4E}"/>
    <hyperlink ref="A227" r:id="rId451" display="https://tupiel.darsistemas.com/consulta/36586" xr:uid="{EF6BCE83-0E7D-4156-9A3D-CA7E18FE7379}"/>
    <hyperlink ref="B227" r:id="rId452" display="https://tupiel.darsistemas.com/consulta_cups/costos/action?id=26783" xr:uid="{C4D3DFF8-F092-4A04-A23A-8555D843117B}"/>
    <hyperlink ref="A228" r:id="rId453" display="https://tupiel.darsistemas.com/consulta/36590" xr:uid="{F50FAA03-0979-4256-A521-9C668CDC6634}"/>
    <hyperlink ref="B228" r:id="rId454" display="https://tupiel.darsistemas.com/consulta_cups/costos/action?id=26790" xr:uid="{DEEBDF12-38E1-4CDC-8298-72FD0B595241}"/>
    <hyperlink ref="A229" r:id="rId455" display="https://tupiel.darsistemas.com/consulta/36592" xr:uid="{1896A4E3-B7B5-4593-8149-F89CE8B7FFB6}"/>
    <hyperlink ref="B229" r:id="rId456" display="https://tupiel.darsistemas.com/consulta_cups/costos/action?id=26793" xr:uid="{2662EA8C-01BD-4137-ABCC-94303CE9BFA6}"/>
    <hyperlink ref="A230" r:id="rId457" display="https://tupiel.darsistemas.com/consulta/26644" xr:uid="{D8507262-1AB6-4C55-A866-22F15FBD9C63}"/>
    <hyperlink ref="B230" r:id="rId458" display="https://tupiel.darsistemas.com/consulta_cups/costos/action?id=26794" xr:uid="{C4791A39-6545-487A-BEBF-52049537FF74}"/>
    <hyperlink ref="A231" r:id="rId459" display="https://tupiel.darsistemas.com/consulta/36596" xr:uid="{C802C4E5-ADE5-4476-9068-2F2EAD93F7EA}"/>
    <hyperlink ref="B231" r:id="rId460" display="https://tupiel.darsistemas.com/consulta_cups/costos/action?id=26800" xr:uid="{00E7A7C8-E311-483D-AE5E-22ED49172F55}"/>
    <hyperlink ref="A232" r:id="rId461" display="https://tupiel.darsistemas.com/consulta/36598" xr:uid="{75113BBB-07E7-4044-9D49-147D89579BB7}"/>
    <hyperlink ref="B232" r:id="rId462" display="https://tupiel.darsistemas.com/consulta_cups/costos/action?id=26802" xr:uid="{04FDB9A1-F8B7-493A-8D63-01E840FF6EBA}"/>
    <hyperlink ref="A233" r:id="rId463" display="https://tupiel.darsistemas.com/consulta/25941" xr:uid="{67F896F7-7929-4A66-AA70-BB8831CA643D}"/>
    <hyperlink ref="B233" r:id="rId464" display="https://tupiel.darsistemas.com/consulta_cups/costos/action?id=26805" xr:uid="{15A5DDA1-45FD-41D9-97DB-F21C76621FE3}"/>
    <hyperlink ref="A234" r:id="rId465" display="https://tupiel.darsistemas.com/consulta/36173" xr:uid="{F35D9392-C94B-41E2-9392-02A1FC3325A7}"/>
    <hyperlink ref="B234" r:id="rId466" display="https://tupiel.darsistemas.com/consulta_cups/costos/action?id=26806" xr:uid="{552D1504-195A-49B3-8BB2-56F03652CA12}"/>
    <hyperlink ref="A235" r:id="rId467" display="https://tupiel.darsistemas.com/consulta/23271" xr:uid="{384E4525-87F6-478A-96E5-13207E80BC06}"/>
    <hyperlink ref="B235" r:id="rId468" display="https://tupiel.darsistemas.com/consulta_cups/costos/action?id=26807" xr:uid="{E04E4F84-708D-4386-ABF8-99BC960C4257}"/>
    <hyperlink ref="A236" r:id="rId469" display="https://tupiel.darsistemas.com/consulta/23271" xr:uid="{AB4C96A7-4CD0-4DB3-BE53-B5726FF82B65}"/>
    <hyperlink ref="B236" r:id="rId470" display="https://tupiel.darsistemas.com/consulta_cups/costos/action?id=26809" xr:uid="{B2CF54A3-FED7-4EE8-A855-45FE337D95B3}"/>
    <hyperlink ref="A237" r:id="rId471" display="https://tupiel.darsistemas.com/consulta/20151" xr:uid="{3B0F0ABF-A33F-4DF7-82C6-0A81E76CCBE2}"/>
    <hyperlink ref="B237" r:id="rId472" display="https://tupiel.darsistemas.com/consulta_cups/costos/action?id=26810" xr:uid="{64ADAA86-2FFF-435D-A273-50FF81B9B081}"/>
    <hyperlink ref="A238" r:id="rId473" display="https://tupiel.darsistemas.com/consulta/20151" xr:uid="{AD2185E6-5588-434C-AF6E-56470E04C6DC}"/>
    <hyperlink ref="B238" r:id="rId474" display="https://tupiel.darsistemas.com/consulta_cups/costos/action?id=26814" xr:uid="{9096714D-3DD2-47CB-81BA-55E62FF894CB}"/>
    <hyperlink ref="A239" r:id="rId475" display="https://tupiel.darsistemas.com/consulta/36604" xr:uid="{DE318916-7555-41CB-90B5-E2B9B52099F1}"/>
    <hyperlink ref="B239" r:id="rId476" display="https://tupiel.darsistemas.com/consulta_cups/costos/action?id=26817" xr:uid="{3D57288C-02B2-4C9E-ADE0-290D20DA5D55}"/>
    <hyperlink ref="A240" r:id="rId477" display="https://tupiel.darsistemas.com/consulta/36607" xr:uid="{64FD89CC-01E5-40C3-B339-884C7A12B305}"/>
    <hyperlink ref="B240" r:id="rId478" display="https://tupiel.darsistemas.com/consulta_cups/costos/action?id=26822" xr:uid="{0D3AC955-7616-458E-886B-E57C8F82A69D}"/>
    <hyperlink ref="A241" r:id="rId479" display="https://tupiel.darsistemas.com/consulta/36609" xr:uid="{187E5BE5-8D0D-4053-9AE6-C1ACF46A0281}"/>
    <hyperlink ref="B241" r:id="rId480" display="https://tupiel.darsistemas.com/consulta_cups/costos/action?id=26825" xr:uid="{1B8F46DA-BA75-45F0-BA48-86465A21FC6F}"/>
    <hyperlink ref="A242" r:id="rId481" display="https://tupiel.darsistemas.com/consulta/36611" xr:uid="{B29BBF4C-A775-4549-9078-D60555225088}"/>
    <hyperlink ref="B242" r:id="rId482" display="https://tupiel.darsistemas.com/consulta_cups/costos/action?id=26827" xr:uid="{9D952DC7-16CA-4048-872E-A7CF81D71C1D}"/>
    <hyperlink ref="A243" r:id="rId483" display="https://tupiel.darsistemas.com/consulta/36612" xr:uid="{EE2A403A-75EB-4417-9CFA-90D1ABCEEE9A}"/>
    <hyperlink ref="B243" r:id="rId484" display="https://tupiel.darsistemas.com/consulta_cups/costos/action?id=26828" xr:uid="{B4C31A37-CA0F-44BF-A772-5076FB2B222D}"/>
    <hyperlink ref="A244" r:id="rId485" display="https://tupiel.darsistemas.com/consulta/36612" xr:uid="{A4297D07-5B9F-47AB-8C95-2CEF3EC55696}"/>
    <hyperlink ref="B244" r:id="rId486" display="https://tupiel.darsistemas.com/consulta_cups/costos/action?id=26829" xr:uid="{202E99AB-AAEF-4C92-A444-582B2B2E1638}"/>
    <hyperlink ref="A245" r:id="rId487" display="https://tupiel.darsistemas.com/consulta/25977" xr:uid="{C09AFFBE-B167-4E3D-9B92-2BEA894BE7CF}"/>
    <hyperlink ref="B245" r:id="rId488" display="https://tupiel.darsistemas.com/consulta_cups/costos/action?id=26830" xr:uid="{1A43835C-37F7-4399-BAFB-E60F389AFB26}"/>
    <hyperlink ref="A246" r:id="rId489" display="https://tupiel.darsistemas.com/consulta/36351" xr:uid="{28FD729B-01C5-460D-90F0-FDB92B4FAC12}"/>
    <hyperlink ref="B246" r:id="rId490" display="https://tupiel.darsistemas.com/consulta_cups/costos/action?id=26831" xr:uid="{67276A17-5F48-481C-8C3B-659B7FA45172}"/>
    <hyperlink ref="A247" r:id="rId491" display="https://tupiel.darsistemas.com/consulta/36613" xr:uid="{01B848DE-3956-48B4-9FFB-F72B99392C34}"/>
    <hyperlink ref="B247" r:id="rId492" display="https://tupiel.darsistemas.com/consulta_cups/costos/action?id=26832" xr:uid="{8CCFA443-4E2D-462E-A57D-38A9AB808700}"/>
    <hyperlink ref="A248" r:id="rId493" display="https://tupiel.darsistemas.com/consulta/36614" xr:uid="{B61025DE-5211-489D-BA3A-A1CDC3690DD7}"/>
    <hyperlink ref="B248" r:id="rId494" display="https://tupiel.darsistemas.com/consulta_cups/costos/action?id=26833" xr:uid="{3C64B791-AE3B-4772-85ED-F46598835CB9}"/>
    <hyperlink ref="A249" r:id="rId495" display="https://tupiel.darsistemas.com/consulta/36615" xr:uid="{F824D69B-B0BF-4F98-9528-D22C97F1186D}"/>
    <hyperlink ref="B249" r:id="rId496" display="https://tupiel.darsistemas.com/consulta_cups/costos/action?id=26835" xr:uid="{6A59C474-4064-4CC1-88CF-836933155C4C}"/>
    <hyperlink ref="A250" r:id="rId497" display="https://tupiel.darsistemas.com/consulta/36617" xr:uid="{1A2FB63A-B2DC-4FCE-8634-B2E491D2E02A}"/>
    <hyperlink ref="B250" r:id="rId498" display="https://tupiel.darsistemas.com/consulta_cups/costos/action?id=26837" xr:uid="{1C3873EF-2452-4954-9680-E985156DBBDB}"/>
    <hyperlink ref="A251" r:id="rId499" display="https://tupiel.darsistemas.com/consulta/36617" xr:uid="{316ED0EC-6E16-4187-A1F6-383CFA33AF05}"/>
    <hyperlink ref="B251" r:id="rId500" display="https://tupiel.darsistemas.com/consulta_cups/costos/action?id=26838" xr:uid="{D544DD71-C180-4CC8-8B0D-DE6E4DE17B12}"/>
    <hyperlink ref="A252" r:id="rId501" display="https://tupiel.darsistemas.com/consulta/35060" xr:uid="{0224ABDE-D99E-4982-A68D-16A0C199AC02}"/>
    <hyperlink ref="B252" r:id="rId502" display="https://tupiel.darsistemas.com/consulta_cups/costos/action?id=26839" xr:uid="{F5E2EF19-41B1-490D-8B3D-71BD28A4EE91}"/>
    <hyperlink ref="A253" r:id="rId503" display="https://tupiel.darsistemas.com/consulta/36621" xr:uid="{ECD0FDB3-1194-4723-B7D7-CF42C69E077B}"/>
    <hyperlink ref="B253" r:id="rId504" display="https://tupiel.darsistemas.com/consulta_cups/costos/action?id=26846" xr:uid="{CA7CD5B2-F808-4A5F-B7D2-2491F8AC0F87}"/>
    <hyperlink ref="A254" r:id="rId505" display="https://tupiel.darsistemas.com/consulta/36622" xr:uid="{081B896C-E184-46C3-84CB-83C169058891}"/>
    <hyperlink ref="B254" r:id="rId506" display="https://tupiel.darsistemas.com/consulta_cups/costos/action?id=26848" xr:uid="{D78944AA-F8E1-4EE2-8F40-53C4C6F7C9EB}"/>
    <hyperlink ref="A255" r:id="rId507" display="https://tupiel.darsistemas.com/consulta/36625" xr:uid="{7FA729F7-22C2-4BFD-BF2D-32473085A724}"/>
    <hyperlink ref="B255" r:id="rId508" display="https://tupiel.darsistemas.com/consulta_cups/costos/action?id=26851" xr:uid="{436FB41F-8B16-497F-8A26-B140C077A85B}"/>
    <hyperlink ref="A256" r:id="rId509" display="https://tupiel.darsistemas.com/consulta/36626" xr:uid="{A3FAB884-7819-4ED5-AB3D-5AC4310D2E69}"/>
    <hyperlink ref="B256" r:id="rId510" display="https://tupiel.darsistemas.com/consulta_cups/costos/action?id=26852" xr:uid="{9BEEB80C-4F59-48D0-8ACF-62E5F3F5BD75}"/>
    <hyperlink ref="A257" r:id="rId511" display="https://tupiel.darsistemas.com/consulta/36628" xr:uid="{C2D3124A-1C81-41E4-A6DC-AA6930C193B6}"/>
    <hyperlink ref="B257" r:id="rId512" display="https://tupiel.darsistemas.com/consulta_cups/costos/action?id=26855" xr:uid="{6D530A72-395F-4827-A359-B0B7A6979F44}"/>
    <hyperlink ref="A258" r:id="rId513" display="https://tupiel.darsistemas.com/consulta/36629" xr:uid="{28EA4290-299A-432C-8D8E-0E86FFAD35FE}"/>
    <hyperlink ref="B258" r:id="rId514" display="https://tupiel.darsistemas.com/consulta_cups/costos/action?id=26857" xr:uid="{85BC3F29-815D-49DD-893D-3D583EBCDC40}"/>
    <hyperlink ref="A259" r:id="rId515" display="https://tupiel.darsistemas.com/consulta/36632" xr:uid="{36518217-331A-4C18-A0B0-2237FD883D1A}"/>
    <hyperlink ref="B259" r:id="rId516" display="https://tupiel.darsistemas.com/consulta_cups/costos/action?id=26861" xr:uid="{793F8165-FB03-49BA-8E19-BCF302973127}"/>
    <hyperlink ref="A260" r:id="rId517" display="https://tupiel.darsistemas.com/consulta/36633" xr:uid="{364DAEC3-0F96-4AB4-8612-7309846905A0}"/>
    <hyperlink ref="B260" r:id="rId518" display="https://tupiel.darsistemas.com/consulta_cups/costos/action?id=26862" xr:uid="{0FF2E7FD-8101-4A68-9738-7FD4A74563CF}"/>
    <hyperlink ref="A261" r:id="rId519" display="https://tupiel.darsistemas.com/consulta/36628" xr:uid="{FA6024A2-D03B-4A98-B7C1-C67C94E6045C}"/>
    <hyperlink ref="B261" r:id="rId520" display="https://tupiel.darsistemas.com/consulta_cups/costos/action?id=26863" xr:uid="{D26C1A37-F1D2-4940-A800-1741CF9F2DCB}"/>
    <hyperlink ref="A262" r:id="rId521" display="https://tupiel.darsistemas.com/consulta/36634" xr:uid="{B5E7A705-A503-4E87-8AB0-FA6C1488D7D6}"/>
    <hyperlink ref="B262" r:id="rId522" display="https://tupiel.darsistemas.com/consulta_cups/costos/action?id=26865" xr:uid="{DF450974-AD23-4B70-B717-3F8CF0FE4D7C}"/>
    <hyperlink ref="A263" r:id="rId523" display="https://tupiel.darsistemas.com/consulta/36635" xr:uid="{A6A76496-7A6C-43B0-AE66-9E5C891773B4}"/>
    <hyperlink ref="B263" r:id="rId524" display="https://tupiel.darsistemas.com/consulta_cups/costos/action?id=26866" xr:uid="{514C1AAF-AD79-4D05-82D7-AE9CF0DBBD41}"/>
    <hyperlink ref="A264" r:id="rId525" display="https://tupiel.darsistemas.com/consulta/36636" xr:uid="{A67BEC85-91AB-4A56-94DE-32590157A5FE}"/>
    <hyperlink ref="B264" r:id="rId526" display="https://tupiel.darsistemas.com/consulta_cups/costos/action?id=26869" xr:uid="{B14F0547-41C2-45EC-8379-F261752BCF07}"/>
    <hyperlink ref="A265" r:id="rId527" display="https://tupiel.darsistemas.com/consulta/36636" xr:uid="{6EC4A79F-A47C-4234-ACF5-7A9182458A14}"/>
    <hyperlink ref="B265" r:id="rId528" display="https://tupiel.darsistemas.com/consulta_cups/costos/action?id=26870" xr:uid="{E9307AA8-FDF4-48EB-BE1A-4E27C014DB86}"/>
    <hyperlink ref="A266" r:id="rId529" display="https://tupiel.darsistemas.com/consulta/36635" xr:uid="{3C0055F2-5BDE-4C65-AC12-E2AEA946C9B1}"/>
    <hyperlink ref="B266" r:id="rId530" display="https://tupiel.darsistemas.com/consulta_cups/costos/action?id=26871" xr:uid="{DFB1C68F-4EA0-4ED9-BF7D-A762F5CA76DD}"/>
    <hyperlink ref="A267" r:id="rId531" display="https://tupiel.darsistemas.com/consulta/36637" xr:uid="{278AEDE6-4BFB-4CA3-B369-3FCC7337F6E6}"/>
    <hyperlink ref="B267" r:id="rId532" display="https://tupiel.darsistemas.com/consulta_cups/costos/action?id=26873" xr:uid="{CDE0A791-5A1C-413D-82CE-BF6E59A794AD}"/>
    <hyperlink ref="A268" r:id="rId533" display="https://tupiel.darsistemas.com/consulta/36639" xr:uid="{5DF5A542-56E2-4848-BA7B-BB144C2D04A3}"/>
    <hyperlink ref="B268" r:id="rId534" display="https://tupiel.darsistemas.com/consulta_cups/costos/action?id=26875" xr:uid="{AF97673A-3815-49FC-96B3-1DDBCAD741E8}"/>
    <hyperlink ref="A269" r:id="rId535" display="https://tupiel.darsistemas.com/consulta/36641" xr:uid="{6978DAC5-238A-4BAF-8C21-6D6AFC76AD02}"/>
    <hyperlink ref="B269" r:id="rId536" display="https://tupiel.darsistemas.com/consulta_cups/costos/action?id=26878" xr:uid="{165D1DC3-9E7F-4801-AFCF-5701E1DFE600}"/>
    <hyperlink ref="A270" r:id="rId537" display="https://tupiel.darsistemas.com/consulta/36642" xr:uid="{461F9C79-660F-4467-8F55-AEEFC3C04278}"/>
    <hyperlink ref="B270" r:id="rId538" display="https://tupiel.darsistemas.com/consulta_cups/costos/action?id=26879" xr:uid="{3BA19F4D-6BDA-4014-885D-E39C5BDC5F05}"/>
    <hyperlink ref="A271" r:id="rId539" display="https://tupiel.darsistemas.com/consulta/36643" xr:uid="{14AC63B6-0354-4AF9-8E1A-F93B6B530EB8}"/>
    <hyperlink ref="B271" r:id="rId540" display="https://tupiel.darsistemas.com/consulta_cups/costos/action?id=26880" xr:uid="{846353C6-43BC-49E4-B976-AC1BAE172795}"/>
    <hyperlink ref="A272" r:id="rId541" display="https://tupiel.darsistemas.com/consulta/36644" xr:uid="{1F177FE2-F2B0-471F-8F59-855763532283}"/>
    <hyperlink ref="B272" r:id="rId542" display="https://tupiel.darsistemas.com/consulta_cups/costos/action?id=26881" xr:uid="{C9AB4C66-5ED7-4457-A158-2E51D678072C}"/>
  </hyperlinks>
  <pageMargins left="0.7" right="0.7" top="0.75" bottom="0.75" header="0.3" footer="0.3"/>
  <pageSetup paperSize="9" orientation="portrait" r:id="rId5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B1292"/>
  <sheetViews>
    <sheetView topLeftCell="A795" workbookViewId="0">
      <selection activeCell="A721" sqref="A721:XFD850"/>
    </sheetView>
  </sheetViews>
  <sheetFormatPr baseColWidth="10" defaultColWidth="8.69921875" defaultRowHeight="15" customHeight="1"/>
  <cols>
    <col min="1" max="1" width="15" customWidth="1"/>
    <col min="2" max="2" width="19" customWidth="1"/>
    <col min="3" max="3" width="19" style="93" customWidth="1"/>
    <col min="4" max="4" width="25" customWidth="1"/>
    <col min="5" max="6" width="35" customWidth="1"/>
    <col min="7" max="7" width="21" customWidth="1"/>
    <col min="8" max="9" width="37" customWidth="1"/>
    <col min="10" max="15" width="17" customWidth="1"/>
    <col min="16" max="19" width="21" customWidth="1"/>
    <col min="20" max="20" width="15" customWidth="1"/>
    <col min="24" max="24" width="25" customWidth="1"/>
  </cols>
  <sheetData>
    <row r="1" spans="1:28" ht="15" customHeight="1">
      <c r="A1" s="1" t="s">
        <v>6</v>
      </c>
      <c r="B1" s="1" t="s">
        <v>7</v>
      </c>
      <c r="C1" s="1" t="s">
        <v>111</v>
      </c>
      <c r="D1" s="1" t="s">
        <v>8</v>
      </c>
      <c r="E1" s="1" t="s">
        <v>9</v>
      </c>
      <c r="F1" s="1" t="s">
        <v>10</v>
      </c>
      <c r="G1" s="1" t="s">
        <v>26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27</v>
      </c>
      <c r="N1" s="1" t="s">
        <v>28</v>
      </c>
      <c r="O1" s="1" t="s">
        <v>29</v>
      </c>
      <c r="P1" s="1" t="s">
        <v>19</v>
      </c>
      <c r="Q1" s="1" t="s">
        <v>20</v>
      </c>
      <c r="R1" s="1" t="s">
        <v>21</v>
      </c>
      <c r="S1" s="1" t="s">
        <v>23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</row>
    <row r="2" spans="1:28" ht="13.8">
      <c r="A2" s="331">
        <v>34927</v>
      </c>
      <c r="B2" s="331">
        <v>23972</v>
      </c>
      <c r="C2" s="115">
        <v>46055</v>
      </c>
      <c r="D2" s="1" t="s">
        <v>970</v>
      </c>
      <c r="E2" s="1" t="s">
        <v>971</v>
      </c>
      <c r="F2" s="1" t="s">
        <v>126</v>
      </c>
      <c r="G2" s="1">
        <v>890242</v>
      </c>
      <c r="H2" s="1" t="s">
        <v>331</v>
      </c>
      <c r="I2" s="1" t="s">
        <v>972</v>
      </c>
      <c r="J2" s="1" t="s">
        <v>223</v>
      </c>
      <c r="K2" s="1"/>
      <c r="L2" s="2">
        <v>250000</v>
      </c>
      <c r="M2" s="2">
        <v>125000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125000</v>
      </c>
      <c r="T2" s="3">
        <v>0.5</v>
      </c>
      <c r="U2" s="1"/>
      <c r="V2" s="1" t="s">
        <v>973</v>
      </c>
      <c r="W2" s="1" t="s">
        <v>202</v>
      </c>
      <c r="X2" s="1" t="s">
        <v>213</v>
      </c>
      <c r="Y2" s="1">
        <v>76</v>
      </c>
      <c r="Z2" s="1" t="s">
        <v>974</v>
      </c>
      <c r="AA2" s="1" t="s">
        <v>975</v>
      </c>
      <c r="AB2" s="1">
        <v>3108243083</v>
      </c>
    </row>
    <row r="3" spans="1:28" ht="13.8">
      <c r="A3" s="331">
        <v>35869</v>
      </c>
      <c r="B3" s="331">
        <v>25474</v>
      </c>
      <c r="C3" s="115">
        <v>46055</v>
      </c>
      <c r="D3" s="1" t="s">
        <v>976</v>
      </c>
      <c r="E3" s="1" t="s">
        <v>977</v>
      </c>
      <c r="F3" s="1" t="s">
        <v>4</v>
      </c>
      <c r="G3" s="1">
        <v>890242</v>
      </c>
      <c r="H3" s="1" t="s">
        <v>331</v>
      </c>
      <c r="I3" s="1" t="s">
        <v>972</v>
      </c>
      <c r="J3" s="1" t="s">
        <v>223</v>
      </c>
      <c r="K3" s="1"/>
      <c r="L3" s="2">
        <v>250000</v>
      </c>
      <c r="M3" s="2">
        <v>122500</v>
      </c>
      <c r="N3" s="2">
        <v>0</v>
      </c>
      <c r="O3" s="2">
        <v>5000</v>
      </c>
      <c r="P3" s="2">
        <v>0</v>
      </c>
      <c r="Q3" s="2">
        <v>0</v>
      </c>
      <c r="R3" s="2">
        <v>0</v>
      </c>
      <c r="S3" s="2">
        <v>122500</v>
      </c>
      <c r="T3" s="3">
        <v>0.49</v>
      </c>
      <c r="U3" s="1"/>
      <c r="V3" s="1" t="s">
        <v>978</v>
      </c>
      <c r="W3" s="1" t="s">
        <v>202</v>
      </c>
      <c r="X3" s="1" t="s">
        <v>225</v>
      </c>
      <c r="Y3" s="1">
        <v>33</v>
      </c>
      <c r="Z3" s="1" t="s">
        <v>979</v>
      </c>
      <c r="AA3" s="1" t="s">
        <v>975</v>
      </c>
      <c r="AB3" s="1">
        <v>3218495568</v>
      </c>
    </row>
    <row r="4" spans="1:28" ht="13.8">
      <c r="A4" s="331">
        <v>34445</v>
      </c>
      <c r="B4" s="331">
        <v>24779</v>
      </c>
      <c r="C4" s="115">
        <v>46055</v>
      </c>
      <c r="D4" s="1" t="s">
        <v>980</v>
      </c>
      <c r="E4" s="1" t="s">
        <v>981</v>
      </c>
      <c r="F4" s="1" t="s">
        <v>126</v>
      </c>
      <c r="G4" s="1">
        <v>860101</v>
      </c>
      <c r="H4" s="1" t="s">
        <v>982</v>
      </c>
      <c r="I4" s="1" t="s">
        <v>983</v>
      </c>
      <c r="J4" s="1" t="s">
        <v>210</v>
      </c>
      <c r="K4" s="1"/>
      <c r="L4" s="2">
        <v>550000</v>
      </c>
      <c r="M4" s="2">
        <v>173950</v>
      </c>
      <c r="N4" s="2">
        <v>9189</v>
      </c>
      <c r="O4" s="2">
        <v>11000</v>
      </c>
      <c r="P4" s="2">
        <v>180000</v>
      </c>
      <c r="Q4" s="2">
        <v>1911</v>
      </c>
      <c r="R4" s="2">
        <v>0</v>
      </c>
      <c r="S4" s="2">
        <v>175861</v>
      </c>
      <c r="T4" s="3">
        <v>0.31974727272726999</v>
      </c>
      <c r="U4" s="1"/>
      <c r="V4" s="1" t="s">
        <v>984</v>
      </c>
      <c r="W4" s="1" t="s">
        <v>202</v>
      </c>
      <c r="X4" s="1" t="s">
        <v>213</v>
      </c>
      <c r="Y4" s="1">
        <v>33</v>
      </c>
      <c r="Z4" s="1" t="s">
        <v>985</v>
      </c>
      <c r="AA4" s="1" t="s">
        <v>975</v>
      </c>
      <c r="AB4" s="1">
        <v>3107464774</v>
      </c>
    </row>
    <row r="5" spans="1:28" ht="13.8">
      <c r="A5" s="331">
        <v>35859</v>
      </c>
      <c r="B5" s="331">
        <v>25461</v>
      </c>
      <c r="C5" s="115">
        <v>46055</v>
      </c>
      <c r="D5" s="1" t="s">
        <v>986</v>
      </c>
      <c r="E5" s="1" t="s">
        <v>987</v>
      </c>
      <c r="F5" s="1" t="s">
        <v>4</v>
      </c>
      <c r="G5" s="1">
        <v>890242</v>
      </c>
      <c r="H5" s="1" t="s">
        <v>331</v>
      </c>
      <c r="I5" s="1" t="s">
        <v>972</v>
      </c>
      <c r="J5" s="1" t="s">
        <v>223</v>
      </c>
      <c r="K5" s="1"/>
      <c r="L5" s="2">
        <v>250000</v>
      </c>
      <c r="M5" s="2">
        <v>122500</v>
      </c>
      <c r="N5" s="2">
        <v>0</v>
      </c>
      <c r="O5" s="2">
        <v>5000</v>
      </c>
      <c r="P5" s="2">
        <v>0</v>
      </c>
      <c r="Q5" s="2">
        <v>0</v>
      </c>
      <c r="R5" s="2">
        <v>0</v>
      </c>
      <c r="S5" s="2">
        <v>122500</v>
      </c>
      <c r="T5" s="3">
        <v>0.49</v>
      </c>
      <c r="U5" s="1"/>
      <c r="V5" s="1" t="s">
        <v>988</v>
      </c>
      <c r="W5" s="1" t="s">
        <v>202</v>
      </c>
      <c r="X5" s="1" t="s">
        <v>213</v>
      </c>
      <c r="Y5" s="1">
        <v>35</v>
      </c>
      <c r="Z5" s="1" t="s">
        <v>989</v>
      </c>
      <c r="AA5" s="1" t="s">
        <v>975</v>
      </c>
      <c r="AB5" s="1" t="s">
        <v>990</v>
      </c>
    </row>
    <row r="6" spans="1:28" ht="13.8">
      <c r="A6" s="331">
        <v>35960</v>
      </c>
      <c r="B6" s="331">
        <v>25631</v>
      </c>
      <c r="C6" s="115">
        <v>46055</v>
      </c>
      <c r="D6" s="1" t="s">
        <v>991</v>
      </c>
      <c r="E6" s="1" t="s">
        <v>992</v>
      </c>
      <c r="F6" s="1" t="s">
        <v>2</v>
      </c>
      <c r="G6" s="1">
        <v>890242</v>
      </c>
      <c r="H6" s="1" t="s">
        <v>331</v>
      </c>
      <c r="I6" s="1" t="s">
        <v>972</v>
      </c>
      <c r="J6" s="1" t="s">
        <v>223</v>
      </c>
      <c r="K6" s="1"/>
      <c r="L6" s="2">
        <v>250000</v>
      </c>
      <c r="M6" s="2">
        <v>125000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125000</v>
      </c>
      <c r="T6" s="3">
        <v>0.5</v>
      </c>
      <c r="U6" s="1"/>
      <c r="V6" s="1" t="s">
        <v>993</v>
      </c>
      <c r="W6" s="1" t="s">
        <v>202</v>
      </c>
      <c r="X6" s="1" t="s">
        <v>213</v>
      </c>
      <c r="Y6" s="1">
        <v>46</v>
      </c>
      <c r="Z6" s="1" t="s">
        <v>994</v>
      </c>
      <c r="AA6" s="1" t="s">
        <v>975</v>
      </c>
      <c r="AB6" s="1">
        <v>3103939698</v>
      </c>
    </row>
    <row r="7" spans="1:28" ht="13.8">
      <c r="A7" s="331">
        <v>35990</v>
      </c>
      <c r="B7" s="331">
        <v>25697</v>
      </c>
      <c r="C7" s="115">
        <v>46055</v>
      </c>
      <c r="D7" s="1" t="s">
        <v>995</v>
      </c>
      <c r="E7" s="1" t="s">
        <v>996</v>
      </c>
      <c r="F7" s="1" t="s">
        <v>3</v>
      </c>
      <c r="G7" s="1">
        <v>890242</v>
      </c>
      <c r="H7" s="1" t="s">
        <v>331</v>
      </c>
      <c r="I7" s="1" t="s">
        <v>972</v>
      </c>
      <c r="J7" s="1" t="s">
        <v>223</v>
      </c>
      <c r="K7" s="1"/>
      <c r="L7" s="2">
        <v>250000</v>
      </c>
      <c r="M7" s="2">
        <v>122500</v>
      </c>
      <c r="N7" s="2">
        <v>0</v>
      </c>
      <c r="O7" s="2">
        <v>5000</v>
      </c>
      <c r="P7" s="2">
        <v>0</v>
      </c>
      <c r="Q7" s="2">
        <v>0</v>
      </c>
      <c r="R7" s="2">
        <v>0</v>
      </c>
      <c r="S7" s="2">
        <v>122500</v>
      </c>
      <c r="T7" s="3">
        <v>0.49</v>
      </c>
      <c r="U7" s="1"/>
      <c r="V7" s="1" t="s">
        <v>997</v>
      </c>
      <c r="W7" s="1" t="s">
        <v>202</v>
      </c>
      <c r="X7" s="1" t="s">
        <v>248</v>
      </c>
      <c r="Y7" s="1">
        <v>37</v>
      </c>
      <c r="Z7" s="1" t="s">
        <v>998</v>
      </c>
      <c r="AA7" s="1" t="s">
        <v>975</v>
      </c>
      <c r="AB7" s="1">
        <v>3176692683</v>
      </c>
    </row>
    <row r="8" spans="1:28" ht="13.8">
      <c r="A8" s="331">
        <v>35816</v>
      </c>
      <c r="B8" s="331">
        <v>25374</v>
      </c>
      <c r="C8" s="115">
        <v>46055</v>
      </c>
      <c r="D8" s="1" t="s">
        <v>999</v>
      </c>
      <c r="E8" s="1" t="s">
        <v>1000</v>
      </c>
      <c r="F8" s="1" t="s">
        <v>4</v>
      </c>
      <c r="G8" s="1">
        <v>890242</v>
      </c>
      <c r="H8" s="1" t="s">
        <v>331</v>
      </c>
      <c r="I8" s="1" t="s">
        <v>972</v>
      </c>
      <c r="J8" s="1" t="s">
        <v>223</v>
      </c>
      <c r="K8" s="1"/>
      <c r="L8" s="2">
        <v>170000</v>
      </c>
      <c r="M8" s="2">
        <v>83300</v>
      </c>
      <c r="N8" s="2">
        <v>0</v>
      </c>
      <c r="O8" s="2">
        <v>3400</v>
      </c>
      <c r="P8" s="2">
        <v>0</v>
      </c>
      <c r="Q8" s="2">
        <v>0</v>
      </c>
      <c r="R8" s="2">
        <v>0</v>
      </c>
      <c r="S8" s="2">
        <v>83300</v>
      </c>
      <c r="T8" s="3">
        <v>0.49</v>
      </c>
      <c r="U8" s="1"/>
      <c r="V8" s="1" t="s">
        <v>1001</v>
      </c>
      <c r="W8" s="1" t="s">
        <v>202</v>
      </c>
      <c r="X8" s="1" t="s">
        <v>225</v>
      </c>
      <c r="Y8" s="1">
        <v>45</v>
      </c>
      <c r="Z8" s="1" t="s">
        <v>1002</v>
      </c>
      <c r="AA8" s="1" t="s">
        <v>975</v>
      </c>
      <c r="AB8" s="1">
        <v>3146065700</v>
      </c>
    </row>
    <row r="9" spans="1:28" ht="13.8">
      <c r="A9" s="331">
        <v>36052</v>
      </c>
      <c r="B9" s="331">
        <v>25819</v>
      </c>
      <c r="C9" s="115">
        <v>46055</v>
      </c>
      <c r="D9" s="1" t="s">
        <v>1003</v>
      </c>
      <c r="E9" s="1" t="s">
        <v>1004</v>
      </c>
      <c r="F9" s="1" t="s">
        <v>3</v>
      </c>
      <c r="G9" s="1">
        <v>890242</v>
      </c>
      <c r="H9" s="1" t="s">
        <v>331</v>
      </c>
      <c r="I9" s="1" t="s">
        <v>972</v>
      </c>
      <c r="J9" s="1" t="s">
        <v>223</v>
      </c>
      <c r="K9" s="1"/>
      <c r="L9" s="2">
        <v>250000</v>
      </c>
      <c r="M9" s="2">
        <v>122500</v>
      </c>
      <c r="N9" s="2">
        <v>0</v>
      </c>
      <c r="O9" s="2">
        <v>5000</v>
      </c>
      <c r="P9" s="2">
        <v>0</v>
      </c>
      <c r="Q9" s="2">
        <v>0</v>
      </c>
      <c r="R9" s="2">
        <v>0</v>
      </c>
      <c r="S9" s="2">
        <v>122500</v>
      </c>
      <c r="T9" s="3">
        <v>0.49</v>
      </c>
      <c r="U9" s="1"/>
      <c r="V9" s="1" t="s">
        <v>1005</v>
      </c>
      <c r="W9" s="1" t="s">
        <v>202</v>
      </c>
      <c r="X9" s="1" t="s">
        <v>855</v>
      </c>
      <c r="Y9" s="1">
        <v>30</v>
      </c>
      <c r="Z9" s="1" t="s">
        <v>1006</v>
      </c>
      <c r="AA9" s="1" t="s">
        <v>1007</v>
      </c>
      <c r="AB9" s="1">
        <v>12027166330</v>
      </c>
    </row>
    <row r="10" spans="1:28" ht="13.8">
      <c r="A10" s="331">
        <v>36012</v>
      </c>
      <c r="B10" s="331">
        <v>25736</v>
      </c>
      <c r="C10" s="115">
        <v>46055</v>
      </c>
      <c r="D10" s="1" t="s">
        <v>849</v>
      </c>
      <c r="E10" s="1" t="s">
        <v>850</v>
      </c>
      <c r="F10" s="1" t="s">
        <v>127</v>
      </c>
      <c r="G10" s="1">
        <v>890242</v>
      </c>
      <c r="H10" s="1" t="s">
        <v>331</v>
      </c>
      <c r="I10" s="1" t="s">
        <v>972</v>
      </c>
      <c r="J10" s="1" t="s">
        <v>223</v>
      </c>
      <c r="K10" s="1"/>
      <c r="L10" s="2">
        <v>250000</v>
      </c>
      <c r="M10" s="2">
        <v>122500</v>
      </c>
      <c r="N10" s="2">
        <v>0</v>
      </c>
      <c r="O10" s="2">
        <v>5000</v>
      </c>
      <c r="P10" s="2">
        <v>0</v>
      </c>
      <c r="Q10" s="2">
        <v>0</v>
      </c>
      <c r="R10" s="2">
        <v>0</v>
      </c>
      <c r="S10" s="2">
        <v>122500</v>
      </c>
      <c r="T10" s="3">
        <v>0.49</v>
      </c>
      <c r="U10" s="1"/>
      <c r="V10" s="1" t="s">
        <v>1008</v>
      </c>
      <c r="W10" s="1" t="s">
        <v>202</v>
      </c>
      <c r="X10" s="1" t="s">
        <v>277</v>
      </c>
      <c r="Y10" s="1">
        <v>30</v>
      </c>
      <c r="Z10" s="1" t="s">
        <v>1009</v>
      </c>
      <c r="AA10" s="1" t="s">
        <v>975</v>
      </c>
      <c r="AB10" s="1">
        <v>3235223348</v>
      </c>
    </row>
    <row r="11" spans="1:28" ht="13.8">
      <c r="A11" s="331">
        <v>36028</v>
      </c>
      <c r="B11" s="331">
        <v>25776</v>
      </c>
      <c r="C11" s="115">
        <v>46055</v>
      </c>
      <c r="D11" s="1" t="s">
        <v>1010</v>
      </c>
      <c r="E11" s="1" t="s">
        <v>1011</v>
      </c>
      <c r="F11" s="1" t="s">
        <v>3</v>
      </c>
      <c r="G11" s="1">
        <v>890302</v>
      </c>
      <c r="H11" s="1" t="s">
        <v>244</v>
      </c>
      <c r="I11" s="1" t="s">
        <v>1012</v>
      </c>
      <c r="J11" s="1" t="s">
        <v>223</v>
      </c>
      <c r="K11" s="1"/>
      <c r="L11" s="2">
        <v>180000</v>
      </c>
      <c r="M11" s="2">
        <v>88200</v>
      </c>
      <c r="N11" s="2">
        <v>0</v>
      </c>
      <c r="O11" s="2">
        <v>3600</v>
      </c>
      <c r="P11" s="2">
        <v>0</v>
      </c>
      <c r="Q11" s="2">
        <v>0</v>
      </c>
      <c r="R11" s="2">
        <v>0</v>
      </c>
      <c r="S11" s="2">
        <v>88200</v>
      </c>
      <c r="T11" s="3">
        <v>0.49</v>
      </c>
      <c r="U11" s="1"/>
      <c r="V11" s="1" t="s">
        <v>1013</v>
      </c>
      <c r="W11" s="1" t="s">
        <v>202</v>
      </c>
      <c r="X11" s="1" t="s">
        <v>213</v>
      </c>
      <c r="Y11" s="1">
        <v>19</v>
      </c>
      <c r="Z11" s="1" t="s">
        <v>1014</v>
      </c>
      <c r="AA11" s="1" t="s">
        <v>975</v>
      </c>
      <c r="AB11" s="1">
        <v>3217511369</v>
      </c>
    </row>
    <row r="12" spans="1:28" ht="13.8">
      <c r="A12" s="331">
        <v>36000</v>
      </c>
      <c r="B12" s="331">
        <v>25718</v>
      </c>
      <c r="C12" s="115">
        <v>46055</v>
      </c>
      <c r="D12" s="1" t="s">
        <v>864</v>
      </c>
      <c r="E12" s="1" t="s">
        <v>865</v>
      </c>
      <c r="F12" s="1" t="s">
        <v>2</v>
      </c>
      <c r="G12" s="1">
        <v>890242</v>
      </c>
      <c r="H12" s="1" t="s">
        <v>331</v>
      </c>
      <c r="I12" s="1" t="s">
        <v>972</v>
      </c>
      <c r="J12" s="1" t="s">
        <v>223</v>
      </c>
      <c r="K12" s="1"/>
      <c r="L12" s="2">
        <v>250000</v>
      </c>
      <c r="M12" s="2">
        <v>122500</v>
      </c>
      <c r="N12" s="2">
        <v>0</v>
      </c>
      <c r="O12" s="2">
        <v>5000</v>
      </c>
      <c r="P12" s="2">
        <v>0</v>
      </c>
      <c r="Q12" s="2">
        <v>0</v>
      </c>
      <c r="R12" s="2">
        <v>0</v>
      </c>
      <c r="S12" s="2">
        <v>122500</v>
      </c>
      <c r="T12" s="3">
        <v>0.49</v>
      </c>
      <c r="U12" s="1"/>
      <c r="V12" s="1" t="s">
        <v>1015</v>
      </c>
      <c r="W12" s="1" t="s">
        <v>202</v>
      </c>
      <c r="X12" s="1" t="s">
        <v>213</v>
      </c>
      <c r="Y12" s="1">
        <v>67</v>
      </c>
      <c r="Z12" s="1" t="s">
        <v>1016</v>
      </c>
      <c r="AA12" s="1" t="s">
        <v>975</v>
      </c>
      <c r="AB12" s="1">
        <v>4042188771</v>
      </c>
    </row>
    <row r="13" spans="1:28" ht="13.8">
      <c r="A13" s="331">
        <v>36001</v>
      </c>
      <c r="B13" s="331">
        <v>25721</v>
      </c>
      <c r="C13" s="115">
        <v>46055</v>
      </c>
      <c r="D13" s="1" t="s">
        <v>1017</v>
      </c>
      <c r="E13" s="1" t="s">
        <v>1018</v>
      </c>
      <c r="F13" s="1" t="s">
        <v>3</v>
      </c>
      <c r="G13" s="1">
        <v>890242</v>
      </c>
      <c r="H13" s="1" t="s">
        <v>331</v>
      </c>
      <c r="I13" s="1" t="s">
        <v>972</v>
      </c>
      <c r="J13" s="1" t="s">
        <v>223</v>
      </c>
      <c r="K13" s="1"/>
      <c r="L13" s="2">
        <v>250000</v>
      </c>
      <c r="M13" s="2">
        <v>122500</v>
      </c>
      <c r="N13" s="2">
        <v>0</v>
      </c>
      <c r="O13" s="2">
        <v>5000</v>
      </c>
      <c r="P13" s="2">
        <v>0</v>
      </c>
      <c r="Q13" s="2">
        <v>0</v>
      </c>
      <c r="R13" s="2">
        <v>0</v>
      </c>
      <c r="S13" s="2">
        <v>122500</v>
      </c>
      <c r="T13" s="3">
        <v>0.49</v>
      </c>
      <c r="U13" s="1"/>
      <c r="V13" s="1" t="s">
        <v>1019</v>
      </c>
      <c r="W13" s="1" t="s">
        <v>202</v>
      </c>
      <c r="X13" s="1" t="s">
        <v>855</v>
      </c>
      <c r="Y13" s="1">
        <v>25</v>
      </c>
      <c r="Z13" s="1" t="s">
        <v>1020</v>
      </c>
      <c r="AA13" s="1" t="s">
        <v>1021</v>
      </c>
      <c r="AB13" s="1">
        <v>41791540512</v>
      </c>
    </row>
    <row r="14" spans="1:28" ht="13.8">
      <c r="A14" s="331">
        <v>34589</v>
      </c>
      <c r="B14" s="331">
        <v>23461</v>
      </c>
      <c r="C14" s="115">
        <v>46055</v>
      </c>
      <c r="D14" s="1" t="s">
        <v>1022</v>
      </c>
      <c r="E14" s="1" t="s">
        <v>1023</v>
      </c>
      <c r="F14" s="1" t="s">
        <v>127</v>
      </c>
      <c r="G14" s="1">
        <v>890302</v>
      </c>
      <c r="H14" s="1" t="s">
        <v>244</v>
      </c>
      <c r="I14" s="1" t="s">
        <v>1012</v>
      </c>
      <c r="J14" s="1" t="s">
        <v>223</v>
      </c>
      <c r="K14" s="1"/>
      <c r="L14" s="2">
        <v>180000</v>
      </c>
      <c r="M14" s="2">
        <v>90000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90000</v>
      </c>
      <c r="T14" s="3">
        <v>0.5</v>
      </c>
      <c r="U14" s="1"/>
      <c r="V14" s="1" t="s">
        <v>1024</v>
      </c>
      <c r="W14" s="1" t="s">
        <v>202</v>
      </c>
      <c r="X14" s="1" t="s">
        <v>225</v>
      </c>
      <c r="Y14" s="1">
        <v>38</v>
      </c>
      <c r="Z14" s="1" t="s">
        <v>1025</v>
      </c>
      <c r="AA14" s="1" t="s">
        <v>975</v>
      </c>
      <c r="AB14" s="1">
        <v>3117783365</v>
      </c>
    </row>
    <row r="15" spans="1:28" ht="13.8">
      <c r="A15" s="331">
        <v>35512</v>
      </c>
      <c r="B15" s="331">
        <v>24840</v>
      </c>
      <c r="C15" s="115">
        <v>46055</v>
      </c>
      <c r="D15" s="1" t="s">
        <v>1026</v>
      </c>
      <c r="E15" s="1" t="s">
        <v>1027</v>
      </c>
      <c r="F15" s="1" t="s">
        <v>127</v>
      </c>
      <c r="G15" s="1">
        <v>890303</v>
      </c>
      <c r="H15" s="1" t="s">
        <v>221</v>
      </c>
      <c r="I15" s="1" t="s">
        <v>1012</v>
      </c>
      <c r="J15" s="1" t="s">
        <v>223</v>
      </c>
      <c r="K15" s="1"/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3">
        <v>0</v>
      </c>
      <c r="U15" s="1"/>
      <c r="V15" s="1"/>
      <c r="W15" s="1" t="s">
        <v>63</v>
      </c>
      <c r="X15" s="1" t="s">
        <v>213</v>
      </c>
      <c r="Y15" s="1">
        <v>22</v>
      </c>
      <c r="Z15" s="1"/>
      <c r="AA15" s="1" t="s">
        <v>1028</v>
      </c>
      <c r="AB15" s="1">
        <v>3043238624</v>
      </c>
    </row>
    <row r="16" spans="1:28" ht="13.8">
      <c r="A16" s="331">
        <v>35966</v>
      </c>
      <c r="B16" s="331">
        <v>25645</v>
      </c>
      <c r="C16" s="115">
        <v>46055</v>
      </c>
      <c r="D16" s="1" t="s">
        <v>858</v>
      </c>
      <c r="E16" s="1" t="s">
        <v>859</v>
      </c>
      <c r="F16" s="1" t="s">
        <v>4</v>
      </c>
      <c r="G16" s="1">
        <v>890242</v>
      </c>
      <c r="H16" s="1" t="s">
        <v>331</v>
      </c>
      <c r="I16" s="1" t="s">
        <v>972</v>
      </c>
      <c r="J16" s="1" t="s">
        <v>223</v>
      </c>
      <c r="K16" s="1"/>
      <c r="L16" s="2">
        <v>250000</v>
      </c>
      <c r="M16" s="2">
        <v>122500</v>
      </c>
      <c r="N16" s="2">
        <v>0</v>
      </c>
      <c r="O16" s="2">
        <v>5000</v>
      </c>
      <c r="P16" s="2">
        <v>0</v>
      </c>
      <c r="Q16" s="2">
        <v>0</v>
      </c>
      <c r="R16" s="2">
        <v>0</v>
      </c>
      <c r="S16" s="2">
        <v>122500</v>
      </c>
      <c r="T16" s="3">
        <v>0.49</v>
      </c>
      <c r="U16" s="1"/>
      <c r="V16" s="1" t="s">
        <v>1029</v>
      </c>
      <c r="W16" s="1" t="s">
        <v>202</v>
      </c>
      <c r="X16" s="1" t="s">
        <v>277</v>
      </c>
      <c r="Y16" s="1">
        <v>24</v>
      </c>
      <c r="Z16" s="1" t="s">
        <v>1030</v>
      </c>
      <c r="AA16" s="1" t="s">
        <v>975</v>
      </c>
      <c r="AB16" s="1">
        <v>3212808037</v>
      </c>
    </row>
    <row r="17" spans="1:28" ht="13.8">
      <c r="A17" s="331">
        <v>36051</v>
      </c>
      <c r="B17" s="331">
        <v>25818</v>
      </c>
      <c r="C17" s="115">
        <v>46055</v>
      </c>
      <c r="D17" s="1" t="s">
        <v>995</v>
      </c>
      <c r="E17" s="1" t="s">
        <v>996</v>
      </c>
      <c r="F17" s="1" t="s">
        <v>3</v>
      </c>
      <c r="G17" s="1" t="s">
        <v>1031</v>
      </c>
      <c r="H17" s="1" t="s">
        <v>1032</v>
      </c>
      <c r="I17" s="1" t="s">
        <v>1033</v>
      </c>
      <c r="J17" s="1" t="s">
        <v>210</v>
      </c>
      <c r="K17" s="1" t="s">
        <v>1033</v>
      </c>
      <c r="L17" s="2">
        <v>800000</v>
      </c>
      <c r="M17" s="2">
        <v>392000</v>
      </c>
      <c r="N17" s="2">
        <v>0</v>
      </c>
      <c r="O17" s="2">
        <v>16000</v>
      </c>
      <c r="P17" s="2">
        <v>0</v>
      </c>
      <c r="Q17" s="2">
        <v>0</v>
      </c>
      <c r="R17" s="2">
        <v>0</v>
      </c>
      <c r="S17" s="2">
        <v>392000</v>
      </c>
      <c r="T17" s="3">
        <v>0.49</v>
      </c>
      <c r="U17" s="1"/>
      <c r="V17" s="1" t="s">
        <v>1034</v>
      </c>
      <c r="W17" s="1" t="s">
        <v>202</v>
      </c>
      <c r="X17" s="1" t="s">
        <v>248</v>
      </c>
      <c r="Y17" s="1">
        <v>37</v>
      </c>
      <c r="Z17" s="1" t="s">
        <v>1035</v>
      </c>
      <c r="AA17" s="1" t="s">
        <v>975</v>
      </c>
      <c r="AB17" s="1">
        <v>3176692683</v>
      </c>
    </row>
    <row r="18" spans="1:28" ht="13.8">
      <c r="A18" s="331">
        <v>35497</v>
      </c>
      <c r="B18" s="331">
        <v>25172</v>
      </c>
      <c r="C18" s="115">
        <v>46055</v>
      </c>
      <c r="D18" s="1" t="s">
        <v>875</v>
      </c>
      <c r="E18" s="1" t="s">
        <v>876</v>
      </c>
      <c r="F18" s="1" t="s">
        <v>127</v>
      </c>
      <c r="G18" s="1">
        <v>868116</v>
      </c>
      <c r="H18" s="1" t="s">
        <v>298</v>
      </c>
      <c r="I18" s="1" t="s">
        <v>983</v>
      </c>
      <c r="J18" s="1" t="s">
        <v>210</v>
      </c>
      <c r="K18" s="1"/>
      <c r="L18" s="2">
        <v>200000</v>
      </c>
      <c r="M18" s="2">
        <v>89615</v>
      </c>
      <c r="N18" s="2">
        <v>14583</v>
      </c>
      <c r="O18" s="2">
        <v>4000</v>
      </c>
      <c r="P18" s="2">
        <v>0</v>
      </c>
      <c r="Q18" s="2">
        <v>2187</v>
      </c>
      <c r="R18" s="2">
        <v>0</v>
      </c>
      <c r="S18" s="2">
        <v>91802</v>
      </c>
      <c r="T18" s="3">
        <v>0.45900999999999997</v>
      </c>
      <c r="U18" s="1"/>
      <c r="V18" s="1" t="s">
        <v>1036</v>
      </c>
      <c r="W18" s="1" t="s">
        <v>203</v>
      </c>
      <c r="X18" s="1" t="s">
        <v>213</v>
      </c>
      <c r="Y18" s="1">
        <v>44</v>
      </c>
      <c r="Z18" s="1" t="s">
        <v>1037</v>
      </c>
      <c r="AA18" s="1" t="s">
        <v>1038</v>
      </c>
      <c r="AB18" s="1">
        <v>17879105036</v>
      </c>
    </row>
    <row r="19" spans="1:28" ht="13.8">
      <c r="A19" s="331">
        <v>35996</v>
      </c>
      <c r="B19" s="331">
        <v>25713</v>
      </c>
      <c r="C19" s="115">
        <v>46055</v>
      </c>
      <c r="D19" s="1" t="s">
        <v>1039</v>
      </c>
      <c r="E19" s="1" t="s">
        <v>1040</v>
      </c>
      <c r="F19" s="1" t="s">
        <v>126</v>
      </c>
      <c r="G19" s="1">
        <v>890242</v>
      </c>
      <c r="H19" s="1" t="s">
        <v>331</v>
      </c>
      <c r="I19" s="1" t="s">
        <v>972</v>
      </c>
      <c r="J19" s="1" t="s">
        <v>223</v>
      </c>
      <c r="K19" s="1"/>
      <c r="L19" s="2">
        <v>250000</v>
      </c>
      <c r="M19" s="2">
        <v>122500</v>
      </c>
      <c r="N19" s="2">
        <v>0</v>
      </c>
      <c r="O19" s="2">
        <v>5000</v>
      </c>
      <c r="P19" s="2">
        <v>0</v>
      </c>
      <c r="Q19" s="2">
        <v>0</v>
      </c>
      <c r="R19" s="2">
        <v>0</v>
      </c>
      <c r="S19" s="2">
        <v>122500</v>
      </c>
      <c r="T19" s="3">
        <v>0.49</v>
      </c>
      <c r="U19" s="1"/>
      <c r="V19" s="1" t="s">
        <v>1041</v>
      </c>
      <c r="W19" s="1" t="s">
        <v>202</v>
      </c>
      <c r="X19" s="1" t="s">
        <v>319</v>
      </c>
      <c r="Y19" s="1">
        <v>71</v>
      </c>
      <c r="Z19" s="1" t="s">
        <v>1042</v>
      </c>
      <c r="AA19" s="1" t="s">
        <v>975</v>
      </c>
      <c r="AB19" s="1">
        <v>3053325374</v>
      </c>
    </row>
    <row r="20" spans="1:28" ht="13.8">
      <c r="A20" s="331">
        <v>35993</v>
      </c>
      <c r="B20" s="331">
        <v>25701</v>
      </c>
      <c r="C20" s="115">
        <v>46055</v>
      </c>
      <c r="D20" s="1" t="s">
        <v>1043</v>
      </c>
      <c r="E20" s="1" t="s">
        <v>1044</v>
      </c>
      <c r="F20" s="1" t="s">
        <v>126</v>
      </c>
      <c r="G20" s="1">
        <v>890302</v>
      </c>
      <c r="H20" s="1" t="s">
        <v>244</v>
      </c>
      <c r="I20" s="1" t="s">
        <v>1012</v>
      </c>
      <c r="J20" s="1" t="s">
        <v>223</v>
      </c>
      <c r="K20" s="1"/>
      <c r="L20" s="2">
        <v>180000</v>
      </c>
      <c r="M20" s="2">
        <v>88200</v>
      </c>
      <c r="N20" s="2">
        <v>0</v>
      </c>
      <c r="O20" s="2">
        <v>3600</v>
      </c>
      <c r="P20" s="2">
        <v>0</v>
      </c>
      <c r="Q20" s="2">
        <v>0</v>
      </c>
      <c r="R20" s="2">
        <v>0</v>
      </c>
      <c r="S20" s="2">
        <v>88200</v>
      </c>
      <c r="T20" s="3">
        <v>0.49</v>
      </c>
      <c r="U20" s="1"/>
      <c r="V20" s="1" t="s">
        <v>1045</v>
      </c>
      <c r="W20" s="1" t="s">
        <v>202</v>
      </c>
      <c r="X20" s="1" t="s">
        <v>248</v>
      </c>
      <c r="Y20" s="1">
        <v>15</v>
      </c>
      <c r="Z20" s="1" t="s">
        <v>1046</v>
      </c>
      <c r="AA20" s="1" t="s">
        <v>975</v>
      </c>
      <c r="AB20" s="1">
        <v>3107482914</v>
      </c>
    </row>
    <row r="21" spans="1:28" ht="13.8">
      <c r="A21" s="331">
        <v>36058</v>
      </c>
      <c r="B21" s="331">
        <v>25830</v>
      </c>
      <c r="C21" s="115">
        <v>46055</v>
      </c>
      <c r="D21" s="1" t="s">
        <v>864</v>
      </c>
      <c r="E21" s="1" t="s">
        <v>865</v>
      </c>
      <c r="F21" s="1" t="s">
        <v>2</v>
      </c>
      <c r="G21" s="1" t="s">
        <v>451</v>
      </c>
      <c r="H21" s="1" t="s">
        <v>452</v>
      </c>
      <c r="I21" s="1" t="s">
        <v>2566</v>
      </c>
      <c r="J21" s="1" t="s">
        <v>210</v>
      </c>
      <c r="K21" s="1" t="s">
        <v>1048</v>
      </c>
      <c r="L21" s="2">
        <v>450000</v>
      </c>
      <c r="M21" s="2">
        <v>220500</v>
      </c>
      <c r="N21" s="2">
        <v>0</v>
      </c>
      <c r="O21" s="2">
        <v>9000</v>
      </c>
      <c r="P21" s="2">
        <v>0</v>
      </c>
      <c r="Q21" s="2">
        <v>0</v>
      </c>
      <c r="R21" s="2">
        <v>0</v>
      </c>
      <c r="S21" s="2">
        <v>220500</v>
      </c>
      <c r="T21" s="3">
        <v>0.49</v>
      </c>
      <c r="U21" s="1"/>
      <c r="V21" s="1" t="s">
        <v>1049</v>
      </c>
      <c r="W21" s="1" t="s">
        <v>202</v>
      </c>
      <c r="X21" s="1" t="s">
        <v>213</v>
      </c>
      <c r="Y21" s="1">
        <v>67</v>
      </c>
      <c r="Z21" s="1" t="s">
        <v>1050</v>
      </c>
      <c r="AA21" s="1" t="s">
        <v>975</v>
      </c>
      <c r="AB21" s="1">
        <v>4042188771</v>
      </c>
    </row>
    <row r="22" spans="1:28" ht="13.8">
      <c r="A22" s="331">
        <v>35634</v>
      </c>
      <c r="B22" s="331">
        <v>25846</v>
      </c>
      <c r="C22" s="115">
        <v>46055</v>
      </c>
      <c r="D22" s="1" t="s">
        <v>1051</v>
      </c>
      <c r="E22" s="1" t="s">
        <v>1052</v>
      </c>
      <c r="F22" s="1" t="s">
        <v>2</v>
      </c>
      <c r="G22" s="1" t="s">
        <v>451</v>
      </c>
      <c r="H22" s="1" t="s">
        <v>452</v>
      </c>
      <c r="I22" s="1" t="s">
        <v>2566</v>
      </c>
      <c r="J22" s="1" t="s">
        <v>210</v>
      </c>
      <c r="K22" s="1" t="s">
        <v>1048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3">
        <v>0</v>
      </c>
      <c r="U22" s="1"/>
      <c r="V22" s="1"/>
      <c r="W22" s="1" t="s">
        <v>63</v>
      </c>
      <c r="X22" s="1" t="s">
        <v>213</v>
      </c>
      <c r="Y22" s="1">
        <v>42</v>
      </c>
      <c r="Z22" s="1"/>
      <c r="AA22" s="1" t="s">
        <v>1053</v>
      </c>
      <c r="AB22" s="1">
        <v>61434263261</v>
      </c>
    </row>
    <row r="23" spans="1:28" ht="13.8">
      <c r="A23" s="331">
        <v>35959</v>
      </c>
      <c r="B23" s="331">
        <v>25821</v>
      </c>
      <c r="C23" s="115">
        <v>46055</v>
      </c>
      <c r="D23" s="1" t="s">
        <v>1054</v>
      </c>
      <c r="E23" s="1" t="s">
        <v>1055</v>
      </c>
      <c r="F23" s="1" t="s">
        <v>2</v>
      </c>
      <c r="G23" s="1">
        <v>861401</v>
      </c>
      <c r="H23" s="1" t="s">
        <v>307</v>
      </c>
      <c r="I23" s="1" t="s">
        <v>983</v>
      </c>
      <c r="J23" s="1" t="s">
        <v>210</v>
      </c>
      <c r="K23" s="1"/>
      <c r="L23" s="2">
        <v>300000</v>
      </c>
      <c r="M23" s="2">
        <v>147000</v>
      </c>
      <c r="N23" s="2">
        <v>0</v>
      </c>
      <c r="O23" s="2">
        <v>6000</v>
      </c>
      <c r="P23" s="2">
        <v>0</v>
      </c>
      <c r="Q23" s="2">
        <v>0</v>
      </c>
      <c r="R23" s="2">
        <v>0</v>
      </c>
      <c r="S23" s="2">
        <v>147000</v>
      </c>
      <c r="T23" s="3">
        <v>0.49</v>
      </c>
      <c r="U23" s="1"/>
      <c r="V23" s="1" t="s">
        <v>1056</v>
      </c>
      <c r="W23" s="1" t="s">
        <v>202</v>
      </c>
      <c r="X23" s="1" t="s">
        <v>277</v>
      </c>
      <c r="Y23" s="1">
        <v>33</v>
      </c>
      <c r="Z23" s="1" t="s">
        <v>1057</v>
      </c>
      <c r="AA23" s="1" t="s">
        <v>975</v>
      </c>
      <c r="AB23" s="1">
        <v>3007685166</v>
      </c>
    </row>
    <row r="24" spans="1:28" ht="13.8">
      <c r="A24" s="331">
        <v>35959</v>
      </c>
      <c r="B24" s="331">
        <v>25630</v>
      </c>
      <c r="C24" s="115">
        <v>46055</v>
      </c>
      <c r="D24" s="1" t="s">
        <v>1054</v>
      </c>
      <c r="E24" s="1" t="s">
        <v>1055</v>
      </c>
      <c r="F24" s="1" t="s">
        <v>2</v>
      </c>
      <c r="G24" s="1" t="s">
        <v>265</v>
      </c>
      <c r="H24" s="1" t="s">
        <v>266</v>
      </c>
      <c r="I24" s="1" t="s">
        <v>1058</v>
      </c>
      <c r="J24" s="1" t="s">
        <v>210</v>
      </c>
      <c r="K24" s="1" t="s">
        <v>1058</v>
      </c>
      <c r="L24" s="2">
        <v>600000</v>
      </c>
      <c r="M24" s="2">
        <v>294000</v>
      </c>
      <c r="N24" s="2">
        <v>0</v>
      </c>
      <c r="O24" s="2">
        <v>12000</v>
      </c>
      <c r="P24" s="2">
        <v>0</v>
      </c>
      <c r="Q24" s="2">
        <v>0</v>
      </c>
      <c r="R24" s="2">
        <v>0</v>
      </c>
      <c r="S24" s="2">
        <v>294000</v>
      </c>
      <c r="T24" s="3">
        <v>0.49</v>
      </c>
      <c r="U24" s="1"/>
      <c r="V24" s="1" t="s">
        <v>1056</v>
      </c>
      <c r="W24" s="1" t="s">
        <v>202</v>
      </c>
      <c r="X24" s="1" t="s">
        <v>277</v>
      </c>
      <c r="Y24" s="1">
        <v>33</v>
      </c>
      <c r="Z24" s="1" t="s">
        <v>1059</v>
      </c>
      <c r="AA24" s="1" t="s">
        <v>975</v>
      </c>
      <c r="AB24" s="1">
        <v>3007685166</v>
      </c>
    </row>
    <row r="25" spans="1:28" ht="13.8">
      <c r="A25" s="331">
        <v>36058</v>
      </c>
      <c r="B25" s="331">
        <v>25829</v>
      </c>
      <c r="C25" s="115">
        <v>46055</v>
      </c>
      <c r="D25" s="1" t="s">
        <v>864</v>
      </c>
      <c r="E25" s="1" t="s">
        <v>865</v>
      </c>
      <c r="F25" s="1" t="s">
        <v>2</v>
      </c>
      <c r="G25" s="1" t="s">
        <v>1060</v>
      </c>
      <c r="H25" s="1" t="s">
        <v>1061</v>
      </c>
      <c r="I25" s="1" t="s">
        <v>1033</v>
      </c>
      <c r="J25" s="1" t="s">
        <v>210</v>
      </c>
      <c r="K25" s="1" t="s">
        <v>1033</v>
      </c>
      <c r="L25" s="2">
        <v>1000000</v>
      </c>
      <c r="M25" s="2">
        <v>490000</v>
      </c>
      <c r="N25" s="2">
        <v>0</v>
      </c>
      <c r="O25" s="2">
        <v>20000</v>
      </c>
      <c r="P25" s="2">
        <v>0</v>
      </c>
      <c r="Q25" s="2">
        <v>0</v>
      </c>
      <c r="R25" s="2">
        <v>0</v>
      </c>
      <c r="S25" s="2">
        <v>490000</v>
      </c>
      <c r="T25" s="3">
        <v>0.49</v>
      </c>
      <c r="U25" s="1"/>
      <c r="V25" s="1" t="s">
        <v>1049</v>
      </c>
      <c r="W25" s="1" t="s">
        <v>202</v>
      </c>
      <c r="X25" s="1" t="s">
        <v>213</v>
      </c>
      <c r="Y25" s="1">
        <v>67</v>
      </c>
      <c r="Z25" s="1" t="s">
        <v>1050</v>
      </c>
      <c r="AA25" s="1" t="s">
        <v>975</v>
      </c>
      <c r="AB25" s="1">
        <v>4042188771</v>
      </c>
    </row>
    <row r="26" spans="1:28" ht="13.8">
      <c r="A26" s="331">
        <v>36058</v>
      </c>
      <c r="B26" s="331">
        <v>25828</v>
      </c>
      <c r="C26" s="115">
        <v>46055</v>
      </c>
      <c r="D26" s="1" t="s">
        <v>864</v>
      </c>
      <c r="E26" s="1" t="s">
        <v>865</v>
      </c>
      <c r="F26" s="1" t="s">
        <v>2</v>
      </c>
      <c r="G26" s="1" t="s">
        <v>362</v>
      </c>
      <c r="H26" s="1" t="s">
        <v>363</v>
      </c>
      <c r="I26" s="1" t="s">
        <v>1062</v>
      </c>
      <c r="J26" s="1" t="s">
        <v>210</v>
      </c>
      <c r="K26" s="1"/>
      <c r="L26" s="2">
        <v>1000000</v>
      </c>
      <c r="M26" s="2">
        <v>403300</v>
      </c>
      <c r="N26" s="2">
        <v>133120.57999999999</v>
      </c>
      <c r="O26" s="2">
        <v>20000</v>
      </c>
      <c r="P26" s="2">
        <v>0</v>
      </c>
      <c r="Q26" s="2">
        <v>40279.42</v>
      </c>
      <c r="R26" s="2">
        <v>0</v>
      </c>
      <c r="S26" s="2">
        <v>443579.42</v>
      </c>
      <c r="T26" s="3">
        <v>0.44357942</v>
      </c>
      <c r="U26" s="1"/>
      <c r="V26" s="1" t="s">
        <v>1049</v>
      </c>
      <c r="W26" s="1" t="s">
        <v>202</v>
      </c>
      <c r="X26" s="1" t="s">
        <v>213</v>
      </c>
      <c r="Y26" s="1">
        <v>67</v>
      </c>
      <c r="Z26" s="1" t="s">
        <v>1050</v>
      </c>
      <c r="AA26" s="1" t="s">
        <v>975</v>
      </c>
      <c r="AB26" s="1">
        <v>4042188771</v>
      </c>
    </row>
    <row r="27" spans="1:28" ht="13.8">
      <c r="A27" s="331">
        <v>36058</v>
      </c>
      <c r="B27" s="331">
        <v>25835</v>
      </c>
      <c r="C27" s="115">
        <v>46055</v>
      </c>
      <c r="D27" s="1" t="s">
        <v>864</v>
      </c>
      <c r="E27" s="1" t="s">
        <v>865</v>
      </c>
      <c r="F27" s="1" t="s">
        <v>2</v>
      </c>
      <c r="G27" s="1" t="s">
        <v>362</v>
      </c>
      <c r="H27" s="1" t="s">
        <v>363</v>
      </c>
      <c r="I27" s="1" t="s">
        <v>1062</v>
      </c>
      <c r="J27" s="1" t="s">
        <v>210</v>
      </c>
      <c r="K27" s="1"/>
      <c r="L27" s="2">
        <v>1800000</v>
      </c>
      <c r="M27" s="2">
        <v>501183</v>
      </c>
      <c r="N27" s="2">
        <v>633069.55000000005</v>
      </c>
      <c r="O27" s="2">
        <v>36000</v>
      </c>
      <c r="P27" s="2">
        <v>0</v>
      </c>
      <c r="Q27" s="2">
        <v>128564.45</v>
      </c>
      <c r="R27" s="2">
        <v>0</v>
      </c>
      <c r="S27" s="2">
        <v>629747.44999999995</v>
      </c>
      <c r="T27" s="3">
        <v>0.34985969444443998</v>
      </c>
      <c r="U27" s="1"/>
      <c r="V27" s="1" t="s">
        <v>1049</v>
      </c>
      <c r="W27" s="1" t="s">
        <v>202</v>
      </c>
      <c r="X27" s="1" t="s">
        <v>213</v>
      </c>
      <c r="Y27" s="1">
        <v>67</v>
      </c>
      <c r="Z27" s="1" t="s">
        <v>1050</v>
      </c>
      <c r="AA27" s="1" t="s">
        <v>975</v>
      </c>
      <c r="AB27" s="1">
        <v>4042188771</v>
      </c>
    </row>
    <row r="28" spans="1:28" ht="13.8">
      <c r="A28" s="331">
        <v>35497</v>
      </c>
      <c r="B28" s="331">
        <v>25407</v>
      </c>
      <c r="C28" s="115">
        <v>46055</v>
      </c>
      <c r="D28" s="1" t="s">
        <v>875</v>
      </c>
      <c r="E28" s="1" t="s">
        <v>876</v>
      </c>
      <c r="F28" s="1" t="s">
        <v>127</v>
      </c>
      <c r="G28" s="1" t="s">
        <v>409</v>
      </c>
      <c r="H28" s="1" t="s">
        <v>410</v>
      </c>
      <c r="I28" s="1" t="s">
        <v>1047</v>
      </c>
      <c r="J28" s="1" t="s">
        <v>210</v>
      </c>
      <c r="K28" s="1" t="s">
        <v>1048</v>
      </c>
      <c r="L28" s="2">
        <v>1000000</v>
      </c>
      <c r="M28" s="2">
        <v>490000</v>
      </c>
      <c r="N28" s="2">
        <v>0</v>
      </c>
      <c r="O28" s="2">
        <v>20000</v>
      </c>
      <c r="P28" s="2">
        <v>0</v>
      </c>
      <c r="Q28" s="2">
        <v>0</v>
      </c>
      <c r="R28" s="2">
        <v>0</v>
      </c>
      <c r="S28" s="2">
        <v>490000</v>
      </c>
      <c r="T28" s="3">
        <v>0.49</v>
      </c>
      <c r="U28" s="1"/>
      <c r="V28" s="1" t="s">
        <v>1063</v>
      </c>
      <c r="W28" s="1" t="s">
        <v>202</v>
      </c>
      <c r="X28" s="1" t="s">
        <v>213</v>
      </c>
      <c r="Y28" s="1">
        <v>44</v>
      </c>
      <c r="Z28" s="1" t="s">
        <v>1064</v>
      </c>
      <c r="AA28" s="1" t="s">
        <v>1038</v>
      </c>
      <c r="AB28" s="1">
        <v>17879105036</v>
      </c>
    </row>
    <row r="29" spans="1:28" ht="13.8">
      <c r="A29" s="331">
        <v>35497</v>
      </c>
      <c r="B29" s="331">
        <v>25831</v>
      </c>
      <c r="C29" s="115">
        <v>46055</v>
      </c>
      <c r="D29" s="1" t="s">
        <v>875</v>
      </c>
      <c r="E29" s="1" t="s">
        <v>876</v>
      </c>
      <c r="F29" s="1" t="s">
        <v>127</v>
      </c>
      <c r="G29" s="1" t="s">
        <v>255</v>
      </c>
      <c r="H29" s="1" t="s">
        <v>256</v>
      </c>
      <c r="I29" s="1" t="s">
        <v>256</v>
      </c>
      <c r="J29" s="1" t="s">
        <v>210</v>
      </c>
      <c r="K29" s="1" t="s">
        <v>1066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3">
        <v>0</v>
      </c>
      <c r="U29" s="1"/>
      <c r="V29" s="1"/>
      <c r="W29" s="1" t="s">
        <v>63</v>
      </c>
      <c r="X29" s="1" t="s">
        <v>213</v>
      </c>
      <c r="Y29" s="1">
        <v>44</v>
      </c>
      <c r="Z29" s="1"/>
      <c r="AA29" s="1" t="s">
        <v>1038</v>
      </c>
      <c r="AB29" s="1">
        <v>17879105036</v>
      </c>
    </row>
    <row r="30" spans="1:28" ht="13.8">
      <c r="A30" s="331">
        <v>35939</v>
      </c>
      <c r="B30" s="331">
        <v>25595</v>
      </c>
      <c r="C30" s="115">
        <v>46055</v>
      </c>
      <c r="D30" s="1" t="s">
        <v>1067</v>
      </c>
      <c r="E30" s="1" t="s">
        <v>1068</v>
      </c>
      <c r="F30" s="1" t="s">
        <v>126</v>
      </c>
      <c r="G30" s="1">
        <v>890242</v>
      </c>
      <c r="H30" s="1" t="s">
        <v>331</v>
      </c>
      <c r="I30" s="1" t="s">
        <v>972</v>
      </c>
      <c r="J30" s="1" t="s">
        <v>223</v>
      </c>
      <c r="K30" s="1"/>
      <c r="L30" s="2">
        <v>250000</v>
      </c>
      <c r="M30" s="2">
        <v>122500</v>
      </c>
      <c r="N30" s="2">
        <v>0</v>
      </c>
      <c r="O30" s="2">
        <v>5000</v>
      </c>
      <c r="P30" s="2">
        <v>0</v>
      </c>
      <c r="Q30" s="2">
        <v>0</v>
      </c>
      <c r="R30" s="2">
        <v>0</v>
      </c>
      <c r="S30" s="2">
        <v>122500</v>
      </c>
      <c r="T30" s="3">
        <v>0.49</v>
      </c>
      <c r="U30" s="1"/>
      <c r="V30" s="1" t="s">
        <v>1069</v>
      </c>
      <c r="W30" s="1" t="s">
        <v>202</v>
      </c>
      <c r="X30" s="1" t="s">
        <v>213</v>
      </c>
      <c r="Y30" s="1">
        <v>30</v>
      </c>
      <c r="Z30" s="1" t="s">
        <v>1070</v>
      </c>
      <c r="AA30" s="1" t="s">
        <v>975</v>
      </c>
      <c r="AB30" s="1">
        <v>3023521130</v>
      </c>
    </row>
    <row r="31" spans="1:28" ht="13.8">
      <c r="A31" s="331">
        <v>35854</v>
      </c>
      <c r="B31" s="331">
        <v>25854</v>
      </c>
      <c r="C31" s="115">
        <v>46055</v>
      </c>
      <c r="D31" s="1" t="s">
        <v>1071</v>
      </c>
      <c r="E31" s="1" t="s">
        <v>122</v>
      </c>
      <c r="F31" s="1" t="s">
        <v>3</v>
      </c>
      <c r="G31" s="1" t="s">
        <v>868</v>
      </c>
      <c r="H31" s="1" t="s">
        <v>869</v>
      </c>
      <c r="I31" s="1" t="s">
        <v>1033</v>
      </c>
      <c r="J31" s="1" t="s">
        <v>210</v>
      </c>
      <c r="K31" s="1" t="s">
        <v>1033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3">
        <v>0</v>
      </c>
      <c r="U31" s="1"/>
      <c r="V31" s="1"/>
      <c r="W31" s="1" t="s">
        <v>63</v>
      </c>
      <c r="X31" s="1" t="s">
        <v>248</v>
      </c>
      <c r="Y31" s="1">
        <v>24</v>
      </c>
      <c r="Z31" s="1"/>
      <c r="AA31" s="1" t="s">
        <v>975</v>
      </c>
      <c r="AB31" s="1">
        <v>3162859884</v>
      </c>
    </row>
    <row r="32" spans="1:28" ht="13.8">
      <c r="A32" s="331">
        <v>36053</v>
      </c>
      <c r="B32" s="331">
        <v>25820</v>
      </c>
      <c r="C32" s="115">
        <v>46055</v>
      </c>
      <c r="D32" s="1" t="s">
        <v>877</v>
      </c>
      <c r="E32" s="1" t="s">
        <v>878</v>
      </c>
      <c r="F32" s="1" t="s">
        <v>126</v>
      </c>
      <c r="G32" s="1">
        <v>863101</v>
      </c>
      <c r="H32" s="1" t="s">
        <v>378</v>
      </c>
      <c r="I32" s="1" t="s">
        <v>983</v>
      </c>
      <c r="J32" s="1" t="s">
        <v>210</v>
      </c>
      <c r="K32" s="1"/>
      <c r="L32" s="2">
        <v>350000</v>
      </c>
      <c r="M32" s="2">
        <v>172000</v>
      </c>
      <c r="N32" s="2">
        <v>0</v>
      </c>
      <c r="O32" s="2">
        <v>6000</v>
      </c>
      <c r="P32" s="2">
        <v>0</v>
      </c>
      <c r="Q32" s="2">
        <v>0</v>
      </c>
      <c r="R32" s="2">
        <v>0</v>
      </c>
      <c r="S32" s="2">
        <v>172000</v>
      </c>
      <c r="T32" s="3">
        <v>0.49142857142856999</v>
      </c>
      <c r="U32" s="1"/>
      <c r="V32" s="1" t="s">
        <v>1072</v>
      </c>
      <c r="W32" s="1" t="s">
        <v>202</v>
      </c>
      <c r="X32" s="1" t="s">
        <v>277</v>
      </c>
      <c r="Y32" s="1">
        <v>56</v>
      </c>
      <c r="Z32" s="1" t="s">
        <v>1073</v>
      </c>
      <c r="AA32" s="1" t="s">
        <v>975</v>
      </c>
      <c r="AB32" s="1">
        <v>3154920199</v>
      </c>
    </row>
    <row r="33" spans="1:28" ht="13.8">
      <c r="A33" s="331">
        <v>36075</v>
      </c>
      <c r="B33" s="331">
        <v>25859</v>
      </c>
      <c r="C33" s="115">
        <v>46055</v>
      </c>
      <c r="D33" s="1" t="s">
        <v>1074</v>
      </c>
      <c r="E33" s="1" t="s">
        <v>1075</v>
      </c>
      <c r="F33" s="1" t="s">
        <v>126</v>
      </c>
      <c r="G33" s="1">
        <v>890242</v>
      </c>
      <c r="H33" s="1" t="s">
        <v>331</v>
      </c>
      <c r="I33" s="1" t="s">
        <v>972</v>
      </c>
      <c r="J33" s="1" t="s">
        <v>223</v>
      </c>
      <c r="K33" s="1"/>
      <c r="L33" s="2">
        <v>200000</v>
      </c>
      <c r="M33" s="2">
        <v>98000</v>
      </c>
      <c r="N33" s="2">
        <v>0</v>
      </c>
      <c r="O33" s="2">
        <v>4000</v>
      </c>
      <c r="P33" s="2">
        <v>0</v>
      </c>
      <c r="Q33" s="2">
        <v>0</v>
      </c>
      <c r="R33" s="2">
        <v>0</v>
      </c>
      <c r="S33" s="2">
        <v>98000</v>
      </c>
      <c r="T33" s="3">
        <v>0.49</v>
      </c>
      <c r="U33" s="1"/>
      <c r="V33" s="1" t="s">
        <v>1076</v>
      </c>
      <c r="W33" s="1" t="s">
        <v>202</v>
      </c>
      <c r="X33" s="1" t="s">
        <v>204</v>
      </c>
      <c r="Y33" s="1">
        <v>71</v>
      </c>
      <c r="Z33" s="1" t="s">
        <v>1077</v>
      </c>
      <c r="AA33" s="1" t="s">
        <v>975</v>
      </c>
      <c r="AB33" s="1">
        <v>3218306660</v>
      </c>
    </row>
    <row r="34" spans="1:28" ht="13.8">
      <c r="A34" s="331">
        <v>35947</v>
      </c>
      <c r="B34" s="331">
        <v>25609</v>
      </c>
      <c r="C34" s="115">
        <v>46055</v>
      </c>
      <c r="D34" s="1" t="s">
        <v>881</v>
      </c>
      <c r="E34" s="1" t="s">
        <v>882</v>
      </c>
      <c r="F34" s="1" t="s">
        <v>3</v>
      </c>
      <c r="G34" s="1">
        <v>890242</v>
      </c>
      <c r="H34" s="1" t="s">
        <v>331</v>
      </c>
      <c r="I34" s="1" t="s">
        <v>972</v>
      </c>
      <c r="J34" s="1" t="s">
        <v>223</v>
      </c>
      <c r="K34" s="1"/>
      <c r="L34" s="2">
        <v>250000</v>
      </c>
      <c r="M34" s="2">
        <v>122500</v>
      </c>
      <c r="N34" s="2">
        <v>0</v>
      </c>
      <c r="O34" s="2">
        <v>5000</v>
      </c>
      <c r="P34" s="2">
        <v>0</v>
      </c>
      <c r="Q34" s="2">
        <v>0</v>
      </c>
      <c r="R34" s="2">
        <v>0</v>
      </c>
      <c r="S34" s="2">
        <v>122500</v>
      </c>
      <c r="T34" s="3">
        <v>0.49</v>
      </c>
      <c r="U34" s="1"/>
      <c r="V34" s="1" t="s">
        <v>1078</v>
      </c>
      <c r="W34" s="1" t="s">
        <v>202</v>
      </c>
      <c r="X34" s="1" t="s">
        <v>277</v>
      </c>
      <c r="Y34" s="1">
        <v>33</v>
      </c>
      <c r="Z34" s="1" t="s">
        <v>1079</v>
      </c>
      <c r="AA34" s="1" t="s">
        <v>975</v>
      </c>
      <c r="AB34" s="1">
        <v>3146570663</v>
      </c>
    </row>
    <row r="35" spans="1:28" ht="13.8">
      <c r="A35" s="331">
        <v>35708</v>
      </c>
      <c r="B35" s="331">
        <v>25646</v>
      </c>
      <c r="C35" s="115">
        <v>46055</v>
      </c>
      <c r="D35" s="1" t="s">
        <v>879</v>
      </c>
      <c r="E35" s="1" t="s">
        <v>880</v>
      </c>
      <c r="F35" s="1" t="s">
        <v>2</v>
      </c>
      <c r="G35" s="1">
        <v>861416</v>
      </c>
      <c r="H35" s="1" t="s">
        <v>1080</v>
      </c>
      <c r="I35" s="1" t="s">
        <v>1081</v>
      </c>
      <c r="J35" s="1" t="s">
        <v>210</v>
      </c>
      <c r="K35" s="1"/>
      <c r="L35" s="2">
        <v>4000000</v>
      </c>
      <c r="M35" s="2">
        <v>889840</v>
      </c>
      <c r="N35" s="2">
        <v>1615793</v>
      </c>
      <c r="O35" s="2">
        <v>80000</v>
      </c>
      <c r="P35" s="2">
        <v>0</v>
      </c>
      <c r="Q35" s="2">
        <v>524527</v>
      </c>
      <c r="R35" s="2">
        <v>0</v>
      </c>
      <c r="S35" s="2">
        <v>1414367</v>
      </c>
      <c r="T35" s="3">
        <v>0.35359174999999998</v>
      </c>
      <c r="U35" s="1"/>
      <c r="V35" s="1" t="s">
        <v>1082</v>
      </c>
      <c r="W35" s="1" t="s">
        <v>202</v>
      </c>
      <c r="X35" s="1" t="s">
        <v>277</v>
      </c>
      <c r="Y35" s="1">
        <v>37</v>
      </c>
      <c r="Z35" s="1" t="s">
        <v>1083</v>
      </c>
      <c r="AA35" s="1" t="s">
        <v>975</v>
      </c>
      <c r="AB35" s="1">
        <v>3117114819</v>
      </c>
    </row>
    <row r="36" spans="1:28" ht="13.8">
      <c r="A36" s="331">
        <v>35708</v>
      </c>
      <c r="B36" s="331">
        <v>25647</v>
      </c>
      <c r="C36" s="115">
        <v>46055</v>
      </c>
      <c r="D36" s="1" t="s">
        <v>879</v>
      </c>
      <c r="E36" s="1" t="s">
        <v>880</v>
      </c>
      <c r="F36" s="1" t="s">
        <v>2</v>
      </c>
      <c r="G36" s="1">
        <v>861411</v>
      </c>
      <c r="H36" s="1" t="s">
        <v>406</v>
      </c>
      <c r="I36" s="1" t="s">
        <v>1081</v>
      </c>
      <c r="J36" s="1" t="s">
        <v>210</v>
      </c>
      <c r="K36" s="1"/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3">
        <v>0</v>
      </c>
      <c r="U36" s="1"/>
      <c r="V36" s="1"/>
      <c r="W36" s="1" t="s">
        <v>63</v>
      </c>
      <c r="X36" s="1" t="s">
        <v>277</v>
      </c>
      <c r="Y36" s="1">
        <v>37</v>
      </c>
      <c r="Z36" s="1"/>
      <c r="AA36" s="1" t="s">
        <v>975</v>
      </c>
      <c r="AB36" s="1">
        <v>3117114819</v>
      </c>
    </row>
    <row r="37" spans="1:28" ht="13.8">
      <c r="A37" s="331">
        <v>35120</v>
      </c>
      <c r="B37" s="331">
        <v>24223</v>
      </c>
      <c r="C37" s="115">
        <v>46055</v>
      </c>
      <c r="D37" s="1" t="s">
        <v>1084</v>
      </c>
      <c r="E37" s="1" t="s">
        <v>1085</v>
      </c>
      <c r="F37" s="1" t="s">
        <v>126</v>
      </c>
      <c r="G37" s="1">
        <v>890303</v>
      </c>
      <c r="H37" s="1" t="s">
        <v>281</v>
      </c>
      <c r="I37" s="1" t="s">
        <v>983</v>
      </c>
      <c r="J37" s="1" t="s">
        <v>210</v>
      </c>
      <c r="K37" s="1"/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3">
        <v>0</v>
      </c>
      <c r="U37" s="1"/>
      <c r="V37" s="1"/>
      <c r="W37" s="1" t="s">
        <v>63</v>
      </c>
      <c r="X37" s="1" t="s">
        <v>213</v>
      </c>
      <c r="Y37" s="1">
        <v>25</v>
      </c>
      <c r="Z37" s="1"/>
      <c r="AA37" s="1" t="s">
        <v>975</v>
      </c>
      <c r="AB37" s="1">
        <v>3503348467</v>
      </c>
    </row>
    <row r="38" spans="1:28" ht="13.8">
      <c r="A38" s="331">
        <v>28241</v>
      </c>
      <c r="B38" s="331">
        <v>25869</v>
      </c>
      <c r="C38" s="115">
        <v>46055</v>
      </c>
      <c r="D38" s="1" t="s">
        <v>965</v>
      </c>
      <c r="E38" s="1" t="s">
        <v>3</v>
      </c>
      <c r="F38" s="1" t="s">
        <v>1086</v>
      </c>
      <c r="G38" s="1" t="s">
        <v>1087</v>
      </c>
      <c r="H38" s="1" t="s">
        <v>1088</v>
      </c>
      <c r="I38" s="1" t="s">
        <v>1089</v>
      </c>
      <c r="J38" s="1" t="s">
        <v>200</v>
      </c>
      <c r="K38" s="1" t="s">
        <v>1089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3">
        <v>0</v>
      </c>
      <c r="U38" s="1"/>
      <c r="V38" s="1"/>
      <c r="W38" s="1" t="s">
        <v>63</v>
      </c>
      <c r="X38" s="1" t="s">
        <v>248</v>
      </c>
      <c r="Y38" s="1">
        <v>36</v>
      </c>
      <c r="Z38" s="1"/>
      <c r="AA38" s="1" t="s">
        <v>975</v>
      </c>
      <c r="AB38" s="1">
        <v>3008249135</v>
      </c>
    </row>
    <row r="39" spans="1:28" ht="13.8">
      <c r="A39" s="331">
        <v>36031</v>
      </c>
      <c r="B39" s="331">
        <v>25781</v>
      </c>
      <c r="C39" s="115">
        <v>46055</v>
      </c>
      <c r="D39" s="1" t="s">
        <v>1090</v>
      </c>
      <c r="E39" s="1" t="s">
        <v>1091</v>
      </c>
      <c r="F39" s="1" t="s">
        <v>3</v>
      </c>
      <c r="G39" s="1">
        <v>890242</v>
      </c>
      <c r="H39" s="1" t="s">
        <v>331</v>
      </c>
      <c r="I39" s="1" t="s">
        <v>972</v>
      </c>
      <c r="J39" s="1" t="s">
        <v>223</v>
      </c>
      <c r="K39" s="1"/>
      <c r="L39" s="2">
        <v>250000</v>
      </c>
      <c r="M39" s="2">
        <v>125000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125000</v>
      </c>
      <c r="T39" s="3">
        <v>0.5</v>
      </c>
      <c r="U39" s="1"/>
      <c r="V39" s="1" t="s">
        <v>1092</v>
      </c>
      <c r="W39" s="1" t="s">
        <v>202</v>
      </c>
      <c r="X39" s="1" t="s">
        <v>213</v>
      </c>
      <c r="Y39" s="1">
        <v>13</v>
      </c>
      <c r="Z39" s="1" t="s">
        <v>1093</v>
      </c>
      <c r="AA39" s="1" t="s">
        <v>975</v>
      </c>
      <c r="AB39" s="1">
        <v>3113894613</v>
      </c>
    </row>
    <row r="40" spans="1:28" ht="13.8">
      <c r="A40" s="331">
        <v>34985</v>
      </c>
      <c r="B40" s="331">
        <v>24219</v>
      </c>
      <c r="C40" s="115">
        <v>46055</v>
      </c>
      <c r="D40" s="1" t="s">
        <v>1094</v>
      </c>
      <c r="E40" s="1" t="s">
        <v>1095</v>
      </c>
      <c r="F40" s="1" t="s">
        <v>4</v>
      </c>
      <c r="G40" s="1" t="s">
        <v>324</v>
      </c>
      <c r="H40" s="1" t="s">
        <v>325</v>
      </c>
      <c r="I40" s="1" t="s">
        <v>1097</v>
      </c>
      <c r="J40" s="1" t="s">
        <v>210</v>
      </c>
      <c r="K40" s="1" t="s">
        <v>1097</v>
      </c>
      <c r="L40" s="2">
        <v>650000</v>
      </c>
      <c r="M40" s="2">
        <v>318500</v>
      </c>
      <c r="N40" s="2">
        <v>0</v>
      </c>
      <c r="O40" s="2">
        <v>13000</v>
      </c>
      <c r="P40" s="2">
        <v>0</v>
      </c>
      <c r="Q40" s="2">
        <v>0</v>
      </c>
      <c r="R40" s="2">
        <v>0</v>
      </c>
      <c r="S40" s="2">
        <v>318500</v>
      </c>
      <c r="T40" s="3">
        <v>0.49</v>
      </c>
      <c r="U40" s="1"/>
      <c r="V40" s="1" t="s">
        <v>1098</v>
      </c>
      <c r="W40" s="1" t="s">
        <v>202</v>
      </c>
      <c r="X40" s="1" t="s">
        <v>225</v>
      </c>
      <c r="Y40" s="1">
        <v>27</v>
      </c>
      <c r="Z40" s="1" t="s">
        <v>1099</v>
      </c>
      <c r="AA40" s="1" t="s">
        <v>975</v>
      </c>
      <c r="AB40" s="1">
        <v>3122689563</v>
      </c>
    </row>
    <row r="41" spans="1:28" ht="13.8">
      <c r="A41" s="331">
        <v>36050</v>
      </c>
      <c r="B41" s="331">
        <v>25817</v>
      </c>
      <c r="C41" s="115">
        <v>46055</v>
      </c>
      <c r="D41" s="1" t="s">
        <v>986</v>
      </c>
      <c r="E41" s="1" t="s">
        <v>987</v>
      </c>
      <c r="F41" s="1" t="s">
        <v>4</v>
      </c>
      <c r="G41" s="1" t="s">
        <v>324</v>
      </c>
      <c r="H41" s="1" t="s">
        <v>325</v>
      </c>
      <c r="I41" s="1" t="s">
        <v>1097</v>
      </c>
      <c r="J41" s="1" t="s">
        <v>210</v>
      </c>
      <c r="K41" s="1" t="s">
        <v>1097</v>
      </c>
      <c r="L41" s="2">
        <v>650000</v>
      </c>
      <c r="M41" s="2">
        <v>318500</v>
      </c>
      <c r="N41" s="2">
        <v>0</v>
      </c>
      <c r="O41" s="2">
        <v>13000</v>
      </c>
      <c r="P41" s="2">
        <v>0</v>
      </c>
      <c r="Q41" s="2">
        <v>0</v>
      </c>
      <c r="R41" s="2">
        <v>0</v>
      </c>
      <c r="S41" s="2">
        <v>318500</v>
      </c>
      <c r="T41" s="3">
        <v>0.49</v>
      </c>
      <c r="U41" s="1"/>
      <c r="V41" s="1" t="s">
        <v>1100</v>
      </c>
      <c r="W41" s="1" t="s">
        <v>202</v>
      </c>
      <c r="X41" s="1" t="s">
        <v>213</v>
      </c>
      <c r="Y41" s="1">
        <v>35</v>
      </c>
      <c r="Z41" s="1" t="s">
        <v>1101</v>
      </c>
      <c r="AA41" s="1" t="s">
        <v>975</v>
      </c>
      <c r="AB41" s="1" t="s">
        <v>990</v>
      </c>
    </row>
    <row r="42" spans="1:28" ht="13.8">
      <c r="A42" s="331">
        <v>36055</v>
      </c>
      <c r="B42" s="331">
        <v>25826</v>
      </c>
      <c r="C42" s="115">
        <v>46055</v>
      </c>
      <c r="D42" s="1" t="s">
        <v>999</v>
      </c>
      <c r="E42" s="1" t="s">
        <v>1000</v>
      </c>
      <c r="F42" s="1" t="s">
        <v>4</v>
      </c>
      <c r="G42" s="1" t="s">
        <v>362</v>
      </c>
      <c r="H42" s="1" t="s">
        <v>363</v>
      </c>
      <c r="I42" s="1" t="s">
        <v>1062</v>
      </c>
      <c r="J42" s="1" t="s">
        <v>210</v>
      </c>
      <c r="K42" s="1"/>
      <c r="L42" s="2">
        <v>640000</v>
      </c>
      <c r="M42" s="2">
        <v>19483</v>
      </c>
      <c r="N42" s="2">
        <v>499953.07</v>
      </c>
      <c r="O42" s="2">
        <v>12800</v>
      </c>
      <c r="P42" s="2">
        <v>0</v>
      </c>
      <c r="Q42" s="2">
        <v>88280.93</v>
      </c>
      <c r="R42" s="2">
        <v>0</v>
      </c>
      <c r="S42" s="2">
        <v>107763.93</v>
      </c>
      <c r="T42" s="3">
        <v>0.16838114062500001</v>
      </c>
      <c r="U42" s="1"/>
      <c r="V42" s="1" t="s">
        <v>1102</v>
      </c>
      <c r="W42" s="1" t="s">
        <v>202</v>
      </c>
      <c r="X42" s="1" t="s">
        <v>225</v>
      </c>
      <c r="Y42" s="1">
        <v>45</v>
      </c>
      <c r="Z42" s="1" t="s">
        <v>1103</v>
      </c>
      <c r="AA42" s="1" t="s">
        <v>975</v>
      </c>
      <c r="AB42" s="1">
        <v>3146065700</v>
      </c>
    </row>
    <row r="43" spans="1:28" ht="13.8">
      <c r="A43" s="331">
        <v>21286</v>
      </c>
      <c r="B43" s="331">
        <v>25845</v>
      </c>
      <c r="C43" s="115">
        <v>46055</v>
      </c>
      <c r="D43" s="1" t="s">
        <v>1104</v>
      </c>
      <c r="E43" s="1" t="s">
        <v>1105</v>
      </c>
      <c r="F43" s="1" t="s">
        <v>4</v>
      </c>
      <c r="G43" s="1">
        <v>861411</v>
      </c>
      <c r="H43" s="1" t="s">
        <v>406</v>
      </c>
      <c r="I43" s="1" t="s">
        <v>1081</v>
      </c>
      <c r="J43" s="1" t="s">
        <v>210</v>
      </c>
      <c r="K43" s="1"/>
      <c r="L43" s="2">
        <v>1077000</v>
      </c>
      <c r="M43" s="2">
        <v>338880</v>
      </c>
      <c r="N43" s="2">
        <v>266400</v>
      </c>
      <c r="O43" s="2">
        <v>21540</v>
      </c>
      <c r="P43" s="2">
        <v>0</v>
      </c>
      <c r="Q43" s="2">
        <v>111300</v>
      </c>
      <c r="R43" s="2">
        <v>0</v>
      </c>
      <c r="S43" s="2">
        <v>450180</v>
      </c>
      <c r="T43" s="3">
        <v>0.41799442896936001</v>
      </c>
      <c r="U43" s="1"/>
      <c r="V43" s="1" t="s">
        <v>1106</v>
      </c>
      <c r="W43" s="1" t="s">
        <v>202</v>
      </c>
      <c r="X43" s="1" t="s">
        <v>213</v>
      </c>
      <c r="Y43" s="1">
        <v>52</v>
      </c>
      <c r="Z43" s="1" t="s">
        <v>1107</v>
      </c>
      <c r="AA43" s="1" t="s">
        <v>975</v>
      </c>
      <c r="AB43" s="1">
        <v>3155617242</v>
      </c>
    </row>
    <row r="44" spans="1:28" ht="13.8">
      <c r="A44" s="331">
        <v>21286</v>
      </c>
      <c r="B44" s="331">
        <v>25844</v>
      </c>
      <c r="C44" s="115">
        <v>46055</v>
      </c>
      <c r="D44" s="1" t="s">
        <v>1104</v>
      </c>
      <c r="E44" s="1" t="s">
        <v>1105</v>
      </c>
      <c r="F44" s="1" t="s">
        <v>4</v>
      </c>
      <c r="G44" s="1" t="s">
        <v>1108</v>
      </c>
      <c r="H44" s="1" t="s">
        <v>1109</v>
      </c>
      <c r="I44" s="1" t="s">
        <v>1081</v>
      </c>
      <c r="J44" s="1" t="s">
        <v>210</v>
      </c>
      <c r="K44" s="1"/>
      <c r="L44" s="2">
        <v>1650000</v>
      </c>
      <c r="M44" s="2">
        <v>429535</v>
      </c>
      <c r="N44" s="2">
        <v>590411.16</v>
      </c>
      <c r="O44" s="2">
        <v>33000</v>
      </c>
      <c r="P44" s="2">
        <v>0</v>
      </c>
      <c r="Q44" s="2">
        <v>167518.84</v>
      </c>
      <c r="R44" s="2">
        <v>0</v>
      </c>
      <c r="S44" s="2">
        <v>597053.84</v>
      </c>
      <c r="T44" s="3">
        <v>0.36185081212121001</v>
      </c>
      <c r="U44" s="1"/>
      <c r="V44" s="1" t="s">
        <v>1110</v>
      </c>
      <c r="W44" s="1" t="s">
        <v>202</v>
      </c>
      <c r="X44" s="1" t="s">
        <v>213</v>
      </c>
      <c r="Y44" s="1">
        <v>52</v>
      </c>
      <c r="Z44" s="1" t="s">
        <v>1111</v>
      </c>
      <c r="AA44" s="1" t="s">
        <v>975</v>
      </c>
      <c r="AB44" s="1">
        <v>3155617242</v>
      </c>
    </row>
    <row r="45" spans="1:28" ht="13.8">
      <c r="A45" s="331">
        <v>26439</v>
      </c>
      <c r="B45" s="331">
        <v>10577</v>
      </c>
      <c r="C45" s="115">
        <v>46055</v>
      </c>
      <c r="D45" s="1" t="s">
        <v>853</v>
      </c>
      <c r="E45" s="1" t="s">
        <v>854</v>
      </c>
      <c r="F45" s="1" t="s">
        <v>4</v>
      </c>
      <c r="G45" s="1">
        <v>890242</v>
      </c>
      <c r="H45" s="1" t="s">
        <v>331</v>
      </c>
      <c r="I45" s="1" t="s">
        <v>972</v>
      </c>
      <c r="J45" s="1" t="s">
        <v>223</v>
      </c>
      <c r="K45" s="1"/>
      <c r="L45" s="2">
        <v>250000</v>
      </c>
      <c r="M45" s="2">
        <v>125000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125000</v>
      </c>
      <c r="T45" s="3">
        <v>0.5</v>
      </c>
      <c r="U45" s="1"/>
      <c r="V45" s="1" t="s">
        <v>1112</v>
      </c>
      <c r="W45" s="1" t="s">
        <v>202</v>
      </c>
      <c r="X45" s="1" t="s">
        <v>855</v>
      </c>
      <c r="Y45" s="1">
        <v>47</v>
      </c>
      <c r="Z45" s="1" t="s">
        <v>1113</v>
      </c>
      <c r="AA45" s="1" t="s">
        <v>975</v>
      </c>
      <c r="AB45" s="1">
        <v>3182964679</v>
      </c>
    </row>
    <row r="46" spans="1:28" ht="13.8">
      <c r="A46" s="331">
        <v>36081</v>
      </c>
      <c r="B46" s="331">
        <v>25866</v>
      </c>
      <c r="C46" s="115">
        <v>46055</v>
      </c>
      <c r="D46" s="1" t="s">
        <v>1114</v>
      </c>
      <c r="E46" s="1" t="s">
        <v>1115</v>
      </c>
      <c r="F46" s="1" t="s">
        <v>3</v>
      </c>
      <c r="G46" s="1" t="s">
        <v>391</v>
      </c>
      <c r="H46" s="1" t="s">
        <v>392</v>
      </c>
      <c r="I46" s="1" t="s">
        <v>1065</v>
      </c>
      <c r="J46" s="1" t="s">
        <v>210</v>
      </c>
      <c r="K46" s="1"/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3">
        <v>0</v>
      </c>
      <c r="U46" s="1"/>
      <c r="V46" s="1"/>
      <c r="W46" s="1" t="s">
        <v>63</v>
      </c>
      <c r="X46" s="1" t="s">
        <v>248</v>
      </c>
      <c r="Y46" s="1">
        <v>25</v>
      </c>
      <c r="Z46" s="1"/>
      <c r="AA46" s="1" t="s">
        <v>975</v>
      </c>
      <c r="AB46" s="1">
        <v>3143055337</v>
      </c>
    </row>
    <row r="47" spans="1:28" ht="13.8">
      <c r="A47" s="331">
        <v>35892</v>
      </c>
      <c r="B47" s="331">
        <v>25508</v>
      </c>
      <c r="C47" s="115">
        <v>46055</v>
      </c>
      <c r="D47" s="1" t="s">
        <v>895</v>
      </c>
      <c r="E47" s="1" t="s">
        <v>896</v>
      </c>
      <c r="F47" s="1" t="s">
        <v>126</v>
      </c>
      <c r="G47" s="1" t="s">
        <v>255</v>
      </c>
      <c r="H47" s="1" t="s">
        <v>256</v>
      </c>
      <c r="I47" s="1" t="s">
        <v>256</v>
      </c>
      <c r="J47" s="1" t="s">
        <v>210</v>
      </c>
      <c r="K47" s="1" t="s">
        <v>1066</v>
      </c>
      <c r="L47" s="2">
        <v>650000</v>
      </c>
      <c r="M47" s="2">
        <v>286300</v>
      </c>
      <c r="N47" s="2">
        <v>67284.679999999993</v>
      </c>
      <c r="O47" s="2">
        <v>0</v>
      </c>
      <c r="P47" s="2">
        <v>0</v>
      </c>
      <c r="Q47" s="2">
        <v>10115.32</v>
      </c>
      <c r="R47" s="2">
        <v>0</v>
      </c>
      <c r="S47" s="2">
        <v>296415.32</v>
      </c>
      <c r="T47" s="3">
        <v>0.45602356923076998</v>
      </c>
      <c r="U47" s="1"/>
      <c r="V47" s="1" t="s">
        <v>1116</v>
      </c>
      <c r="W47" s="1" t="s">
        <v>202</v>
      </c>
      <c r="X47" s="1" t="s">
        <v>213</v>
      </c>
      <c r="Y47" s="1">
        <v>15</v>
      </c>
      <c r="Z47" s="1" t="s">
        <v>1117</v>
      </c>
      <c r="AA47" s="1" t="s">
        <v>975</v>
      </c>
      <c r="AB47" s="1">
        <v>3011196577</v>
      </c>
    </row>
    <row r="48" spans="1:28" ht="13.8">
      <c r="A48" s="331">
        <v>36069</v>
      </c>
      <c r="B48" s="331">
        <v>25851</v>
      </c>
      <c r="C48" s="115">
        <v>46055</v>
      </c>
      <c r="D48" s="1" t="s">
        <v>1118</v>
      </c>
      <c r="E48" s="1" t="s">
        <v>1119</v>
      </c>
      <c r="F48" s="1" t="s">
        <v>3</v>
      </c>
      <c r="G48" s="1">
        <v>890242</v>
      </c>
      <c r="H48" s="1" t="s">
        <v>331</v>
      </c>
      <c r="I48" s="1" t="s">
        <v>972</v>
      </c>
      <c r="J48" s="1" t="s">
        <v>223</v>
      </c>
      <c r="K48" s="1"/>
      <c r="L48" s="2">
        <v>250000</v>
      </c>
      <c r="M48" s="2">
        <v>122500</v>
      </c>
      <c r="N48" s="2">
        <v>0</v>
      </c>
      <c r="O48" s="2">
        <v>5000</v>
      </c>
      <c r="P48" s="2">
        <v>0</v>
      </c>
      <c r="Q48" s="2">
        <v>0</v>
      </c>
      <c r="R48" s="2">
        <v>0</v>
      </c>
      <c r="S48" s="2">
        <v>122500</v>
      </c>
      <c r="T48" s="3">
        <v>0.49</v>
      </c>
      <c r="U48" s="1"/>
      <c r="V48" s="1" t="s">
        <v>1120</v>
      </c>
      <c r="W48" s="1" t="s">
        <v>202</v>
      </c>
      <c r="X48" s="1" t="s">
        <v>225</v>
      </c>
      <c r="Y48" s="1">
        <v>68</v>
      </c>
      <c r="Z48" s="1" t="s">
        <v>1121</v>
      </c>
      <c r="AA48" s="1" t="s">
        <v>975</v>
      </c>
      <c r="AB48" s="1">
        <v>3177662672</v>
      </c>
    </row>
    <row r="49" spans="1:28" ht="13.8">
      <c r="A49" s="331">
        <v>35835</v>
      </c>
      <c r="B49" s="331">
        <v>25416</v>
      </c>
      <c r="C49" s="115">
        <v>46055</v>
      </c>
      <c r="D49" s="1" t="s">
        <v>899</v>
      </c>
      <c r="E49" s="1" t="s">
        <v>900</v>
      </c>
      <c r="F49" s="1" t="s">
        <v>127</v>
      </c>
      <c r="G49" s="1">
        <v>890242</v>
      </c>
      <c r="H49" s="1" t="s">
        <v>331</v>
      </c>
      <c r="I49" s="1" t="s">
        <v>972</v>
      </c>
      <c r="J49" s="1" t="s">
        <v>223</v>
      </c>
      <c r="K49" s="1"/>
      <c r="L49" s="2">
        <v>250000</v>
      </c>
      <c r="M49" s="2">
        <v>122500</v>
      </c>
      <c r="N49" s="2">
        <v>0</v>
      </c>
      <c r="O49" s="2">
        <v>5000</v>
      </c>
      <c r="P49" s="2">
        <v>0</v>
      </c>
      <c r="Q49" s="2">
        <v>0</v>
      </c>
      <c r="R49" s="2">
        <v>0</v>
      </c>
      <c r="S49" s="2">
        <v>122500</v>
      </c>
      <c r="T49" s="3">
        <v>0.49</v>
      </c>
      <c r="U49" s="1"/>
      <c r="V49" s="1" t="s">
        <v>1122</v>
      </c>
      <c r="W49" s="1" t="s">
        <v>202</v>
      </c>
      <c r="X49" s="1" t="s">
        <v>529</v>
      </c>
      <c r="Y49" s="1">
        <v>15</v>
      </c>
      <c r="Z49" s="1" t="s">
        <v>1123</v>
      </c>
      <c r="AA49" s="1" t="s">
        <v>975</v>
      </c>
      <c r="AB49" s="1">
        <v>3012131391</v>
      </c>
    </row>
    <row r="50" spans="1:28" ht="13.8">
      <c r="A50" s="331">
        <v>33850</v>
      </c>
      <c r="B50" s="331">
        <v>25878</v>
      </c>
      <c r="C50" s="115">
        <v>46055</v>
      </c>
      <c r="D50" s="1" t="s">
        <v>1124</v>
      </c>
      <c r="E50" s="1" t="s">
        <v>127</v>
      </c>
      <c r="F50" s="1" t="s">
        <v>126</v>
      </c>
      <c r="G50" s="1" t="s">
        <v>499</v>
      </c>
      <c r="H50" s="1" t="s">
        <v>500</v>
      </c>
      <c r="I50" s="1" t="s">
        <v>1125</v>
      </c>
      <c r="J50" s="1" t="s">
        <v>210</v>
      </c>
      <c r="K50" s="1" t="s">
        <v>1126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3">
        <v>0</v>
      </c>
      <c r="U50" s="1"/>
      <c r="V50" s="1"/>
      <c r="W50" s="1" t="s">
        <v>63</v>
      </c>
      <c r="X50" s="1" t="s">
        <v>225</v>
      </c>
      <c r="Y50" s="1">
        <v>27</v>
      </c>
      <c r="Z50" s="1"/>
      <c r="AA50" s="1" t="s">
        <v>975</v>
      </c>
      <c r="AB50" s="1">
        <v>3106069476</v>
      </c>
    </row>
    <row r="51" spans="1:28" ht="13.8">
      <c r="A51" s="331">
        <v>35708</v>
      </c>
      <c r="B51" s="331">
        <v>25849</v>
      </c>
      <c r="C51" s="115">
        <v>46055</v>
      </c>
      <c r="D51" s="1" t="s">
        <v>879</v>
      </c>
      <c r="E51" s="1" t="s">
        <v>880</v>
      </c>
      <c r="F51" s="1" t="s">
        <v>2</v>
      </c>
      <c r="G51" s="1" t="s">
        <v>499</v>
      </c>
      <c r="H51" s="1" t="s">
        <v>500</v>
      </c>
      <c r="I51" s="1" t="s">
        <v>1125</v>
      </c>
      <c r="J51" s="1" t="s">
        <v>210</v>
      </c>
      <c r="K51" s="1" t="s">
        <v>1126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3">
        <v>0</v>
      </c>
      <c r="U51" s="1"/>
      <c r="V51" s="1"/>
      <c r="W51" s="1" t="s">
        <v>63</v>
      </c>
      <c r="X51" s="1" t="s">
        <v>277</v>
      </c>
      <c r="Y51" s="1">
        <v>37</v>
      </c>
      <c r="Z51" s="1"/>
      <c r="AA51" s="1" t="s">
        <v>975</v>
      </c>
      <c r="AB51" s="1">
        <v>3117114819</v>
      </c>
    </row>
    <row r="52" spans="1:28" ht="13.8">
      <c r="A52" s="331">
        <v>35708</v>
      </c>
      <c r="B52" s="331">
        <v>25850</v>
      </c>
      <c r="C52" s="115">
        <v>46055</v>
      </c>
      <c r="D52" s="1" t="s">
        <v>879</v>
      </c>
      <c r="E52" s="1" t="s">
        <v>880</v>
      </c>
      <c r="F52" s="1" t="s">
        <v>2</v>
      </c>
      <c r="G52" s="1" t="s">
        <v>326</v>
      </c>
      <c r="H52" s="1" t="s">
        <v>327</v>
      </c>
      <c r="I52" s="1" t="s">
        <v>1047</v>
      </c>
      <c r="J52" s="1" t="s">
        <v>210</v>
      </c>
      <c r="K52" s="1" t="s">
        <v>1048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3">
        <v>0</v>
      </c>
      <c r="U52" s="1"/>
      <c r="V52" s="1"/>
      <c r="W52" s="1" t="s">
        <v>63</v>
      </c>
      <c r="X52" s="1" t="s">
        <v>277</v>
      </c>
      <c r="Y52" s="1">
        <v>37</v>
      </c>
      <c r="Z52" s="1"/>
      <c r="AA52" s="1" t="s">
        <v>975</v>
      </c>
      <c r="AB52" s="1">
        <v>3117114819</v>
      </c>
    </row>
    <row r="53" spans="1:28" ht="13.8">
      <c r="A53" s="331">
        <v>36047</v>
      </c>
      <c r="B53" s="331">
        <v>25811</v>
      </c>
      <c r="C53" s="115">
        <v>46056</v>
      </c>
      <c r="D53" s="1" t="s">
        <v>1127</v>
      </c>
      <c r="E53" s="1" t="s">
        <v>1128</v>
      </c>
      <c r="F53" s="1" t="s">
        <v>127</v>
      </c>
      <c r="G53" s="1">
        <v>890242</v>
      </c>
      <c r="H53" s="1" t="s">
        <v>331</v>
      </c>
      <c r="I53" s="1" t="s">
        <v>972</v>
      </c>
      <c r="J53" s="1" t="s">
        <v>223</v>
      </c>
      <c r="K53" s="1"/>
      <c r="L53" s="2">
        <v>250000</v>
      </c>
      <c r="M53" s="2">
        <v>122500</v>
      </c>
      <c r="N53" s="2">
        <v>0</v>
      </c>
      <c r="O53" s="2">
        <v>5000</v>
      </c>
      <c r="P53" s="2">
        <v>0</v>
      </c>
      <c r="Q53" s="2">
        <v>0</v>
      </c>
      <c r="R53" s="2">
        <v>0</v>
      </c>
      <c r="S53" s="2">
        <v>122500</v>
      </c>
      <c r="T53" s="3">
        <v>0.49</v>
      </c>
      <c r="U53" s="1"/>
      <c r="V53" s="1" t="s">
        <v>1129</v>
      </c>
      <c r="W53" s="1" t="s">
        <v>202</v>
      </c>
      <c r="X53" s="1" t="s">
        <v>225</v>
      </c>
      <c r="Y53" s="1">
        <v>56</v>
      </c>
      <c r="Z53" s="1" t="s">
        <v>1130</v>
      </c>
      <c r="AA53" s="1" t="s">
        <v>975</v>
      </c>
      <c r="AB53" s="1">
        <v>3163034459</v>
      </c>
    </row>
    <row r="54" spans="1:28" ht="13.8">
      <c r="A54" s="331">
        <v>34323</v>
      </c>
      <c r="B54" s="331">
        <v>25477</v>
      </c>
      <c r="C54" s="115">
        <v>46056</v>
      </c>
      <c r="D54" s="1" t="s">
        <v>1131</v>
      </c>
      <c r="E54" s="1" t="s">
        <v>1132</v>
      </c>
      <c r="F54" s="1" t="s">
        <v>126</v>
      </c>
      <c r="G54" s="1" t="s">
        <v>324</v>
      </c>
      <c r="H54" s="1" t="s">
        <v>325</v>
      </c>
      <c r="I54" s="1" t="s">
        <v>1097</v>
      </c>
      <c r="J54" s="1" t="s">
        <v>210</v>
      </c>
      <c r="K54" s="1" t="s">
        <v>1097</v>
      </c>
      <c r="L54" s="2">
        <v>650000</v>
      </c>
      <c r="M54" s="2">
        <v>325000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325000</v>
      </c>
      <c r="T54" s="3">
        <v>0.5</v>
      </c>
      <c r="U54" s="1"/>
      <c r="V54" s="1" t="s">
        <v>1133</v>
      </c>
      <c r="W54" s="1" t="s">
        <v>202</v>
      </c>
      <c r="X54" s="1" t="s">
        <v>213</v>
      </c>
      <c r="Y54" s="1">
        <v>28</v>
      </c>
      <c r="Z54" s="1" t="s">
        <v>1134</v>
      </c>
      <c r="AA54" s="1" t="s">
        <v>975</v>
      </c>
      <c r="AB54" s="1">
        <v>3136379158</v>
      </c>
    </row>
    <row r="55" spans="1:28" ht="13.8">
      <c r="A55" s="331">
        <v>34323</v>
      </c>
      <c r="B55" s="331">
        <v>25895</v>
      </c>
      <c r="C55" s="115">
        <v>46056</v>
      </c>
      <c r="D55" s="1" t="s">
        <v>1131</v>
      </c>
      <c r="E55" s="1" t="s">
        <v>1132</v>
      </c>
      <c r="F55" s="1" t="s">
        <v>126</v>
      </c>
      <c r="G55" s="1">
        <v>861401</v>
      </c>
      <c r="H55" s="1" t="s">
        <v>307</v>
      </c>
      <c r="I55" s="1" t="s">
        <v>983</v>
      </c>
      <c r="J55" s="1" t="s">
        <v>210</v>
      </c>
      <c r="K55" s="1"/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3">
        <v>0</v>
      </c>
      <c r="U55" s="1"/>
      <c r="V55" s="1"/>
      <c r="W55" s="1" t="s">
        <v>63</v>
      </c>
      <c r="X55" s="1" t="s">
        <v>213</v>
      </c>
      <c r="Y55" s="1">
        <v>28</v>
      </c>
      <c r="Z55" s="1"/>
      <c r="AA55" s="1" t="s">
        <v>975</v>
      </c>
      <c r="AB55" s="1">
        <v>3136379158</v>
      </c>
    </row>
    <row r="56" spans="1:28" ht="13.8">
      <c r="A56" s="331">
        <v>34654</v>
      </c>
      <c r="B56" s="331">
        <v>23552</v>
      </c>
      <c r="C56" s="115">
        <v>46056</v>
      </c>
      <c r="D56" s="1" t="s">
        <v>1135</v>
      </c>
      <c r="E56" s="1" t="s">
        <v>1136</v>
      </c>
      <c r="F56" s="1" t="s">
        <v>127</v>
      </c>
      <c r="G56" s="1">
        <v>890302</v>
      </c>
      <c r="H56" s="1" t="s">
        <v>244</v>
      </c>
      <c r="I56" s="1" t="s">
        <v>1012</v>
      </c>
      <c r="J56" s="1" t="s">
        <v>223</v>
      </c>
      <c r="K56" s="1"/>
      <c r="L56" s="2">
        <v>180000</v>
      </c>
      <c r="M56" s="2">
        <v>88200</v>
      </c>
      <c r="N56" s="2">
        <v>0</v>
      </c>
      <c r="O56" s="2">
        <v>3600</v>
      </c>
      <c r="P56" s="2">
        <v>0</v>
      </c>
      <c r="Q56" s="2">
        <v>0</v>
      </c>
      <c r="R56" s="2">
        <v>0</v>
      </c>
      <c r="S56" s="2">
        <v>88200</v>
      </c>
      <c r="T56" s="3">
        <v>0.49</v>
      </c>
      <c r="U56" s="1"/>
      <c r="V56" s="1" t="s">
        <v>1137</v>
      </c>
      <c r="W56" s="1" t="s">
        <v>202</v>
      </c>
      <c r="X56" s="1" t="s">
        <v>213</v>
      </c>
      <c r="Y56" s="1">
        <v>30</v>
      </c>
      <c r="Z56" s="1" t="s">
        <v>1138</v>
      </c>
      <c r="AA56" s="1" t="s">
        <v>975</v>
      </c>
      <c r="AB56" s="1">
        <v>3192828156</v>
      </c>
    </row>
    <row r="57" spans="1:28" ht="13.8">
      <c r="A57" s="331">
        <v>35386</v>
      </c>
      <c r="B57" s="331">
        <v>24998</v>
      </c>
      <c r="C57" s="115">
        <v>46056</v>
      </c>
      <c r="D57" s="1" t="s">
        <v>453</v>
      </c>
      <c r="E57" s="1" t="s">
        <v>454</v>
      </c>
      <c r="F57" s="1" t="s">
        <v>127</v>
      </c>
      <c r="G57" s="1" t="s">
        <v>451</v>
      </c>
      <c r="H57" s="1" t="s">
        <v>452</v>
      </c>
      <c r="I57" s="1" t="s">
        <v>2566</v>
      </c>
      <c r="J57" s="1" t="s">
        <v>210</v>
      </c>
      <c r="K57" s="1" t="s">
        <v>1097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3">
        <v>0</v>
      </c>
      <c r="U57" s="1"/>
      <c r="V57" s="1"/>
      <c r="W57" s="1" t="s">
        <v>63</v>
      </c>
      <c r="X57" s="1" t="s">
        <v>277</v>
      </c>
      <c r="Y57" s="1">
        <v>54</v>
      </c>
      <c r="Z57" s="1"/>
      <c r="AA57" s="1" t="s">
        <v>975</v>
      </c>
      <c r="AB57" s="1" t="s">
        <v>1139</v>
      </c>
    </row>
    <row r="58" spans="1:28" ht="13.8">
      <c r="A58" s="331">
        <v>36104</v>
      </c>
      <c r="B58" s="331">
        <v>25896</v>
      </c>
      <c r="C58" s="115">
        <v>46056</v>
      </c>
      <c r="D58" s="1" t="s">
        <v>1127</v>
      </c>
      <c r="E58" s="1" t="s">
        <v>1128</v>
      </c>
      <c r="F58" s="1" t="s">
        <v>127</v>
      </c>
      <c r="G58" s="1" t="s">
        <v>499</v>
      </c>
      <c r="H58" s="1" t="s">
        <v>500</v>
      </c>
      <c r="I58" s="1" t="s">
        <v>1125</v>
      </c>
      <c r="J58" s="1" t="s">
        <v>210</v>
      </c>
      <c r="K58" s="1" t="s">
        <v>1126</v>
      </c>
      <c r="L58" s="2">
        <v>200000</v>
      </c>
      <c r="M58" s="2">
        <v>98000</v>
      </c>
      <c r="N58" s="2">
        <v>0</v>
      </c>
      <c r="O58" s="2">
        <v>4000</v>
      </c>
      <c r="P58" s="2">
        <v>0</v>
      </c>
      <c r="Q58" s="2">
        <v>0</v>
      </c>
      <c r="R58" s="2">
        <v>0</v>
      </c>
      <c r="S58" s="2">
        <v>98000</v>
      </c>
      <c r="T58" s="3">
        <v>0.49</v>
      </c>
      <c r="U58" s="1"/>
      <c r="V58" s="1" t="s">
        <v>1140</v>
      </c>
      <c r="W58" s="1" t="s">
        <v>202</v>
      </c>
      <c r="X58" s="1" t="s">
        <v>225</v>
      </c>
      <c r="Y58" s="1">
        <v>56</v>
      </c>
      <c r="Z58" s="1" t="s">
        <v>1141</v>
      </c>
      <c r="AA58" s="1" t="s">
        <v>975</v>
      </c>
      <c r="AB58" s="1">
        <v>3163034459</v>
      </c>
    </row>
    <row r="59" spans="1:28" ht="13.8">
      <c r="A59" s="331">
        <v>34338</v>
      </c>
      <c r="B59" s="331">
        <v>24427</v>
      </c>
      <c r="C59" s="115">
        <v>46056</v>
      </c>
      <c r="D59" s="1" t="s">
        <v>1142</v>
      </c>
      <c r="E59" s="1" t="s">
        <v>1143</v>
      </c>
      <c r="F59" s="1" t="s">
        <v>127</v>
      </c>
      <c r="G59" s="1" t="s">
        <v>499</v>
      </c>
      <c r="H59" s="1" t="s">
        <v>500</v>
      </c>
      <c r="I59" s="1" t="s">
        <v>1125</v>
      </c>
      <c r="J59" s="1" t="s">
        <v>210</v>
      </c>
      <c r="K59" s="1" t="s">
        <v>1126</v>
      </c>
      <c r="L59" s="2">
        <v>450000</v>
      </c>
      <c r="M59" s="2">
        <v>225000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225000</v>
      </c>
      <c r="T59" s="3">
        <v>0.5</v>
      </c>
      <c r="U59" s="1"/>
      <c r="V59" s="1" t="s">
        <v>1144</v>
      </c>
      <c r="W59" s="1" t="s">
        <v>202</v>
      </c>
      <c r="X59" s="1" t="s">
        <v>213</v>
      </c>
      <c r="Y59" s="1">
        <v>20</v>
      </c>
      <c r="Z59" s="1" t="s">
        <v>1145</v>
      </c>
      <c r="AA59" s="1" t="s">
        <v>975</v>
      </c>
      <c r="AB59" s="1">
        <v>3102387803</v>
      </c>
    </row>
    <row r="60" spans="1:28" ht="13.8">
      <c r="A60" s="331">
        <v>36097</v>
      </c>
      <c r="B60" s="331">
        <v>25887</v>
      </c>
      <c r="C60" s="115">
        <v>46056</v>
      </c>
      <c r="D60" s="1" t="s">
        <v>1146</v>
      </c>
      <c r="E60" s="1" t="s">
        <v>1147</v>
      </c>
      <c r="F60" s="1" t="s">
        <v>2</v>
      </c>
      <c r="G60" s="1">
        <v>890242</v>
      </c>
      <c r="H60" s="1" t="s">
        <v>331</v>
      </c>
      <c r="I60" s="1" t="s">
        <v>972</v>
      </c>
      <c r="J60" s="1" t="s">
        <v>223</v>
      </c>
      <c r="K60" s="1"/>
      <c r="L60" s="2">
        <v>250000</v>
      </c>
      <c r="M60" s="2">
        <v>122500</v>
      </c>
      <c r="N60" s="2">
        <v>0</v>
      </c>
      <c r="O60" s="2">
        <v>5000</v>
      </c>
      <c r="P60" s="2">
        <v>0</v>
      </c>
      <c r="Q60" s="2">
        <v>0</v>
      </c>
      <c r="R60" s="2">
        <v>0</v>
      </c>
      <c r="S60" s="2">
        <v>122500</v>
      </c>
      <c r="T60" s="3">
        <v>0.49</v>
      </c>
      <c r="U60" s="1"/>
      <c r="V60" s="1" t="s">
        <v>1148</v>
      </c>
      <c r="W60" s="1" t="s">
        <v>202</v>
      </c>
      <c r="X60" s="1" t="s">
        <v>277</v>
      </c>
      <c r="Y60" s="1">
        <v>28</v>
      </c>
      <c r="Z60" s="1" t="s">
        <v>1149</v>
      </c>
      <c r="AA60" s="1" t="s">
        <v>975</v>
      </c>
      <c r="AB60" s="1">
        <v>3107358639</v>
      </c>
    </row>
    <row r="61" spans="1:28" ht="13.8">
      <c r="A61" s="331">
        <v>36071</v>
      </c>
      <c r="B61" s="331">
        <v>25853</v>
      </c>
      <c r="C61" s="115">
        <v>46056</v>
      </c>
      <c r="D61" s="1" t="s">
        <v>1150</v>
      </c>
      <c r="E61" s="1" t="s">
        <v>1151</v>
      </c>
      <c r="F61" s="1" t="s">
        <v>3</v>
      </c>
      <c r="G61" s="1">
        <v>890242</v>
      </c>
      <c r="H61" s="1" t="s">
        <v>331</v>
      </c>
      <c r="I61" s="1" t="s">
        <v>972</v>
      </c>
      <c r="J61" s="1" t="s">
        <v>223</v>
      </c>
      <c r="K61" s="1"/>
      <c r="L61" s="2">
        <v>250000</v>
      </c>
      <c r="M61" s="2">
        <v>125000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125000</v>
      </c>
      <c r="T61" s="3">
        <v>0.5</v>
      </c>
      <c r="U61" s="1"/>
      <c r="V61" s="1" t="s">
        <v>1152</v>
      </c>
      <c r="W61" s="1" t="s">
        <v>202</v>
      </c>
      <c r="X61" s="1" t="s">
        <v>213</v>
      </c>
      <c r="Y61" s="1">
        <v>19</v>
      </c>
      <c r="Z61" s="1" t="s">
        <v>1153</v>
      </c>
      <c r="AA61" s="1" t="s">
        <v>975</v>
      </c>
      <c r="AB61" s="1">
        <v>3233132090</v>
      </c>
    </row>
    <row r="62" spans="1:28" ht="13.8">
      <c r="A62" s="331">
        <v>36113</v>
      </c>
      <c r="B62" s="331">
        <v>25906</v>
      </c>
      <c r="C62" s="115">
        <v>46056</v>
      </c>
      <c r="D62" s="1" t="s">
        <v>1154</v>
      </c>
      <c r="E62" s="1" t="s">
        <v>1155</v>
      </c>
      <c r="F62" s="1" t="s">
        <v>126</v>
      </c>
      <c r="G62" s="1">
        <v>890242</v>
      </c>
      <c r="H62" s="1" t="s">
        <v>331</v>
      </c>
      <c r="I62" s="1" t="s">
        <v>972</v>
      </c>
      <c r="J62" s="1" t="s">
        <v>223</v>
      </c>
      <c r="K62" s="1"/>
      <c r="L62" s="2">
        <v>250000</v>
      </c>
      <c r="M62" s="2">
        <v>125000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125000</v>
      </c>
      <c r="T62" s="3">
        <v>0.5</v>
      </c>
      <c r="U62" s="1"/>
      <c r="V62" s="1" t="s">
        <v>1156</v>
      </c>
      <c r="W62" s="1" t="s">
        <v>202</v>
      </c>
      <c r="X62" s="1" t="s">
        <v>277</v>
      </c>
      <c r="Y62" s="1">
        <v>41</v>
      </c>
      <c r="Z62" s="1" t="s">
        <v>1157</v>
      </c>
      <c r="AA62" s="1" t="s">
        <v>975</v>
      </c>
      <c r="AB62" s="1">
        <v>3136157440</v>
      </c>
    </row>
    <row r="63" spans="1:28" ht="13.8">
      <c r="A63" s="331">
        <v>23794</v>
      </c>
      <c r="B63" s="331">
        <v>25138</v>
      </c>
      <c r="C63" s="115">
        <v>46056</v>
      </c>
      <c r="D63" s="1" t="s">
        <v>581</v>
      </c>
      <c r="E63" s="1" t="s">
        <v>582</v>
      </c>
      <c r="F63" s="1" t="s">
        <v>3</v>
      </c>
      <c r="G63" s="1" t="s">
        <v>583</v>
      </c>
      <c r="H63" s="1" t="s">
        <v>584</v>
      </c>
      <c r="I63" s="1" t="s">
        <v>1065</v>
      </c>
      <c r="J63" s="1" t="s">
        <v>210</v>
      </c>
      <c r="K63" s="1"/>
      <c r="L63" s="2">
        <v>0</v>
      </c>
      <c r="M63" s="2">
        <v>0</v>
      </c>
      <c r="N63" s="2">
        <v>178225.36</v>
      </c>
      <c r="O63" s="2">
        <v>0</v>
      </c>
      <c r="P63" s="2">
        <v>0</v>
      </c>
      <c r="Q63" s="2">
        <v>32874.639999999999</v>
      </c>
      <c r="R63" s="2">
        <v>0</v>
      </c>
      <c r="S63" s="2">
        <v>-178225.36</v>
      </c>
      <c r="T63" s="3">
        <v>0</v>
      </c>
      <c r="U63" s="1"/>
      <c r="V63" s="1"/>
      <c r="W63" s="1" t="s">
        <v>63</v>
      </c>
      <c r="X63" s="1" t="s">
        <v>225</v>
      </c>
      <c r="Y63" s="1">
        <v>36</v>
      </c>
      <c r="Z63" s="1"/>
      <c r="AA63" s="1" t="s">
        <v>975</v>
      </c>
      <c r="AB63" s="1">
        <v>3167430922</v>
      </c>
    </row>
    <row r="64" spans="1:28" ht="13.8">
      <c r="A64" s="331">
        <v>34158</v>
      </c>
      <c r="B64" s="331">
        <v>25615</v>
      </c>
      <c r="C64" s="115">
        <v>46056</v>
      </c>
      <c r="D64" s="1" t="s">
        <v>915</v>
      </c>
      <c r="E64" s="1" t="s">
        <v>916</v>
      </c>
      <c r="F64" s="1" t="s">
        <v>2</v>
      </c>
      <c r="G64" s="1">
        <v>861426</v>
      </c>
      <c r="H64" s="1" t="s">
        <v>299</v>
      </c>
      <c r="I64" s="1" t="s">
        <v>1081</v>
      </c>
      <c r="J64" s="1" t="s">
        <v>210</v>
      </c>
      <c r="K64" s="1"/>
      <c r="L64" s="2">
        <v>1300000</v>
      </c>
      <c r="M64" s="2">
        <v>297600</v>
      </c>
      <c r="N64" s="2">
        <v>599010</v>
      </c>
      <c r="O64" s="2">
        <v>0</v>
      </c>
      <c r="P64" s="2">
        <v>0</v>
      </c>
      <c r="Q64" s="2">
        <v>105790</v>
      </c>
      <c r="R64" s="2">
        <v>0</v>
      </c>
      <c r="S64" s="2">
        <v>403390</v>
      </c>
      <c r="T64" s="3">
        <v>0.31030000000000002</v>
      </c>
      <c r="U64" s="1"/>
      <c r="V64" s="1" t="s">
        <v>1158</v>
      </c>
      <c r="W64" s="1" t="s">
        <v>203</v>
      </c>
      <c r="X64" s="1" t="s">
        <v>213</v>
      </c>
      <c r="Y64" s="1">
        <v>67</v>
      </c>
      <c r="Z64" s="1" t="s">
        <v>1159</v>
      </c>
      <c r="AA64" s="1" t="s">
        <v>975</v>
      </c>
      <c r="AB64" s="1">
        <v>3148779647</v>
      </c>
    </row>
    <row r="65" spans="1:28" ht="13.8">
      <c r="A65" s="331">
        <v>35148</v>
      </c>
      <c r="B65" s="331">
        <v>24273</v>
      </c>
      <c r="C65" s="115">
        <v>46056</v>
      </c>
      <c r="D65" s="1" t="s">
        <v>919</v>
      </c>
      <c r="E65" s="1" t="s">
        <v>920</v>
      </c>
      <c r="F65" s="1" t="s">
        <v>2</v>
      </c>
      <c r="G65" s="1">
        <v>861411</v>
      </c>
      <c r="H65" s="1" t="s">
        <v>406</v>
      </c>
      <c r="I65" s="1" t="s">
        <v>1081</v>
      </c>
      <c r="J65" s="1" t="s">
        <v>210</v>
      </c>
      <c r="K65" s="1"/>
      <c r="L65" s="2">
        <v>1150000</v>
      </c>
      <c r="M65" s="2">
        <v>404831</v>
      </c>
      <c r="N65" s="2">
        <v>208370.46</v>
      </c>
      <c r="O65" s="2">
        <v>23000</v>
      </c>
      <c r="P65" s="2">
        <v>0</v>
      </c>
      <c r="Q65" s="2">
        <v>108967.54</v>
      </c>
      <c r="R65" s="2">
        <v>0</v>
      </c>
      <c r="S65" s="2">
        <v>513798.54</v>
      </c>
      <c r="T65" s="3">
        <v>0.44678133913043</v>
      </c>
      <c r="U65" s="1"/>
      <c r="V65" s="1" t="s">
        <v>1160</v>
      </c>
      <c r="W65" s="1" t="s">
        <v>202</v>
      </c>
      <c r="X65" s="1" t="s">
        <v>213</v>
      </c>
      <c r="Y65" s="1">
        <v>37</v>
      </c>
      <c r="Z65" s="1" t="s">
        <v>1161</v>
      </c>
      <c r="AA65" s="1" t="s">
        <v>1038</v>
      </c>
      <c r="AB65" s="1" t="s">
        <v>1162</v>
      </c>
    </row>
    <row r="66" spans="1:28" ht="13.8">
      <c r="A66" s="331">
        <v>36067</v>
      </c>
      <c r="B66" s="331">
        <v>25847</v>
      </c>
      <c r="C66" s="115">
        <v>46056</v>
      </c>
      <c r="D66" s="1" t="s">
        <v>1163</v>
      </c>
      <c r="E66" s="1" t="s">
        <v>1164</v>
      </c>
      <c r="F66" s="1" t="s">
        <v>2</v>
      </c>
      <c r="G66" s="1">
        <v>890242</v>
      </c>
      <c r="H66" s="1" t="s">
        <v>331</v>
      </c>
      <c r="I66" s="1" t="s">
        <v>972</v>
      </c>
      <c r="J66" s="1" t="s">
        <v>223</v>
      </c>
      <c r="K66" s="1"/>
      <c r="L66" s="2">
        <v>250000</v>
      </c>
      <c r="M66" s="2">
        <v>122500</v>
      </c>
      <c r="N66" s="2">
        <v>0</v>
      </c>
      <c r="O66" s="2">
        <v>5000</v>
      </c>
      <c r="P66" s="2">
        <v>0</v>
      </c>
      <c r="Q66" s="2">
        <v>0</v>
      </c>
      <c r="R66" s="2">
        <v>0</v>
      </c>
      <c r="S66" s="2">
        <v>122500</v>
      </c>
      <c r="T66" s="3">
        <v>0.49</v>
      </c>
      <c r="U66" s="1"/>
      <c r="V66" s="1" t="s">
        <v>1165</v>
      </c>
      <c r="W66" s="1" t="s">
        <v>202</v>
      </c>
      <c r="X66" s="1" t="s">
        <v>213</v>
      </c>
      <c r="Y66" s="1">
        <v>32</v>
      </c>
      <c r="Z66" s="1" t="s">
        <v>1166</v>
      </c>
      <c r="AA66" s="1" t="s">
        <v>975</v>
      </c>
      <c r="AB66" s="1">
        <v>3166218289</v>
      </c>
    </row>
    <row r="67" spans="1:28" ht="13.8">
      <c r="A67" s="331">
        <v>36120</v>
      </c>
      <c r="B67" s="331">
        <v>25915</v>
      </c>
      <c r="C67" s="115">
        <v>46056</v>
      </c>
      <c r="D67" s="1" t="s">
        <v>1167</v>
      </c>
      <c r="E67" s="1" t="s">
        <v>1168</v>
      </c>
      <c r="F67" s="1" t="s">
        <v>3</v>
      </c>
      <c r="G67" s="1">
        <v>890242</v>
      </c>
      <c r="H67" s="1" t="s">
        <v>331</v>
      </c>
      <c r="I67" s="1" t="s">
        <v>972</v>
      </c>
      <c r="J67" s="1" t="s">
        <v>223</v>
      </c>
      <c r="K67" s="1"/>
      <c r="L67" s="2">
        <v>250000</v>
      </c>
      <c r="M67" s="2">
        <v>122500</v>
      </c>
      <c r="N67" s="2">
        <v>0</v>
      </c>
      <c r="O67" s="2">
        <v>5000</v>
      </c>
      <c r="P67" s="2">
        <v>0</v>
      </c>
      <c r="Q67" s="2">
        <v>0</v>
      </c>
      <c r="R67" s="2">
        <v>0</v>
      </c>
      <c r="S67" s="2">
        <v>122500</v>
      </c>
      <c r="T67" s="3">
        <v>0.49</v>
      </c>
      <c r="U67" s="1"/>
      <c r="V67" s="1" t="s">
        <v>1169</v>
      </c>
      <c r="W67" s="1" t="s">
        <v>202</v>
      </c>
      <c r="X67" s="1" t="s">
        <v>213</v>
      </c>
      <c r="Y67" s="1">
        <v>46</v>
      </c>
      <c r="Z67" s="1" t="s">
        <v>1170</v>
      </c>
      <c r="AA67" s="1" t="s">
        <v>975</v>
      </c>
      <c r="AB67" s="1" t="s">
        <v>1171</v>
      </c>
    </row>
    <row r="68" spans="1:28" ht="13.8">
      <c r="A68" s="331">
        <v>36110</v>
      </c>
      <c r="B68" s="331">
        <v>25903</v>
      </c>
      <c r="C68" s="115">
        <v>46056</v>
      </c>
      <c r="D68" s="1" t="s">
        <v>1172</v>
      </c>
      <c r="E68" s="1" t="s">
        <v>1173</v>
      </c>
      <c r="F68" s="1" t="s">
        <v>126</v>
      </c>
      <c r="G68" s="1">
        <v>890242</v>
      </c>
      <c r="H68" s="1" t="s">
        <v>331</v>
      </c>
      <c r="I68" s="1" t="s">
        <v>972</v>
      </c>
      <c r="J68" s="1" t="s">
        <v>223</v>
      </c>
      <c r="K68" s="1"/>
      <c r="L68" s="2">
        <v>250000</v>
      </c>
      <c r="M68" s="2">
        <v>122500</v>
      </c>
      <c r="N68" s="2">
        <v>0</v>
      </c>
      <c r="O68" s="2">
        <v>5000</v>
      </c>
      <c r="P68" s="2">
        <v>0</v>
      </c>
      <c r="Q68" s="2">
        <v>0</v>
      </c>
      <c r="R68" s="2">
        <v>0</v>
      </c>
      <c r="S68" s="2">
        <v>122500</v>
      </c>
      <c r="T68" s="3">
        <v>0.49</v>
      </c>
      <c r="U68" s="1"/>
      <c r="V68" s="1" t="s">
        <v>1174</v>
      </c>
      <c r="W68" s="1" t="s">
        <v>202</v>
      </c>
      <c r="X68" s="1" t="s">
        <v>277</v>
      </c>
      <c r="Y68" s="1">
        <v>34</v>
      </c>
      <c r="Z68" s="1" t="s">
        <v>1175</v>
      </c>
      <c r="AA68" s="1" t="s">
        <v>975</v>
      </c>
      <c r="AB68" s="1">
        <v>59897992403</v>
      </c>
    </row>
    <row r="69" spans="1:28" ht="13.8">
      <c r="A69" s="331">
        <v>36083</v>
      </c>
      <c r="B69" s="331">
        <v>25868</v>
      </c>
      <c r="C69" s="115">
        <v>46056</v>
      </c>
      <c r="D69" s="1" t="s">
        <v>1176</v>
      </c>
      <c r="E69" s="1" t="s">
        <v>1177</v>
      </c>
      <c r="F69" s="1" t="s">
        <v>5</v>
      </c>
      <c r="G69" s="1">
        <v>890303</v>
      </c>
      <c r="H69" s="1" t="s">
        <v>221</v>
      </c>
      <c r="I69" s="1" t="s">
        <v>1012</v>
      </c>
      <c r="J69" s="1" t="s">
        <v>223</v>
      </c>
      <c r="K69" s="1"/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3">
        <v>0</v>
      </c>
      <c r="U69" s="1"/>
      <c r="V69" s="1"/>
      <c r="W69" s="1" t="s">
        <v>63</v>
      </c>
      <c r="X69" s="1" t="s">
        <v>213</v>
      </c>
      <c r="Y69" s="1">
        <v>59</v>
      </c>
      <c r="Z69" s="1"/>
      <c r="AA69" s="1" t="s">
        <v>975</v>
      </c>
      <c r="AB69" s="1">
        <v>3218009726</v>
      </c>
    </row>
    <row r="70" spans="1:28" ht="13.8">
      <c r="A70" s="331">
        <v>36082</v>
      </c>
      <c r="B70" s="331">
        <v>25867</v>
      </c>
      <c r="C70" s="115">
        <v>46056</v>
      </c>
      <c r="D70" s="1" t="s">
        <v>1178</v>
      </c>
      <c r="E70" s="1" t="s">
        <v>1179</v>
      </c>
      <c r="F70" s="1" t="s">
        <v>3</v>
      </c>
      <c r="G70" s="1">
        <v>890242</v>
      </c>
      <c r="H70" s="1" t="s">
        <v>331</v>
      </c>
      <c r="I70" s="1" t="s">
        <v>972</v>
      </c>
      <c r="J70" s="1" t="s">
        <v>223</v>
      </c>
      <c r="K70" s="1"/>
      <c r="L70" s="2">
        <v>250000</v>
      </c>
      <c r="M70" s="2">
        <v>122500</v>
      </c>
      <c r="N70" s="2">
        <v>0</v>
      </c>
      <c r="O70" s="2">
        <v>5000</v>
      </c>
      <c r="P70" s="2">
        <v>0</v>
      </c>
      <c r="Q70" s="2">
        <v>0</v>
      </c>
      <c r="R70" s="2">
        <v>0</v>
      </c>
      <c r="S70" s="2">
        <v>122500</v>
      </c>
      <c r="T70" s="3">
        <v>0.49</v>
      </c>
      <c r="U70" s="1"/>
      <c r="V70" s="1" t="s">
        <v>1180</v>
      </c>
      <c r="W70" s="1" t="s">
        <v>202</v>
      </c>
      <c r="X70" s="1" t="s">
        <v>225</v>
      </c>
      <c r="Y70" s="1">
        <v>11</v>
      </c>
      <c r="Z70" s="1" t="s">
        <v>1181</v>
      </c>
      <c r="AA70" s="1" t="s">
        <v>975</v>
      </c>
      <c r="AB70" s="1">
        <v>3193909428</v>
      </c>
    </row>
    <row r="71" spans="1:28" ht="13.8">
      <c r="A71" s="331">
        <v>36121</v>
      </c>
      <c r="B71" s="331">
        <v>25916</v>
      </c>
      <c r="C71" s="115">
        <v>46056</v>
      </c>
      <c r="D71" s="1" t="s">
        <v>1182</v>
      </c>
      <c r="E71" s="1" t="s">
        <v>1183</v>
      </c>
      <c r="F71" s="1" t="s">
        <v>3</v>
      </c>
      <c r="G71" s="1">
        <v>861401</v>
      </c>
      <c r="H71" s="1" t="s">
        <v>307</v>
      </c>
      <c r="I71" s="1" t="s">
        <v>983</v>
      </c>
      <c r="J71" s="1" t="s">
        <v>210</v>
      </c>
      <c r="K71" s="1"/>
      <c r="L71" s="2">
        <v>300000</v>
      </c>
      <c r="M71" s="2">
        <v>147000</v>
      </c>
      <c r="N71" s="2">
        <v>0</v>
      </c>
      <c r="O71" s="2">
        <v>6000</v>
      </c>
      <c r="P71" s="2">
        <v>0</v>
      </c>
      <c r="Q71" s="2">
        <v>0</v>
      </c>
      <c r="R71" s="2">
        <v>0</v>
      </c>
      <c r="S71" s="2">
        <v>147000</v>
      </c>
      <c r="T71" s="3">
        <v>0.49</v>
      </c>
      <c r="U71" s="1"/>
      <c r="V71" s="1" t="s">
        <v>1184</v>
      </c>
      <c r="W71" s="1" t="s">
        <v>202</v>
      </c>
      <c r="X71" s="1" t="s">
        <v>277</v>
      </c>
      <c r="Y71" s="1">
        <v>29</v>
      </c>
      <c r="Z71" s="1" t="s">
        <v>1185</v>
      </c>
      <c r="AA71" s="1" t="s">
        <v>1007</v>
      </c>
      <c r="AB71" s="1">
        <v>19172441986</v>
      </c>
    </row>
    <row r="72" spans="1:28" ht="13.8">
      <c r="A72" s="331">
        <v>36064</v>
      </c>
      <c r="B72" s="331">
        <v>25841</v>
      </c>
      <c r="C72" s="115">
        <v>46056</v>
      </c>
      <c r="D72" s="1" t="s">
        <v>1186</v>
      </c>
      <c r="E72" s="1" t="s">
        <v>1187</v>
      </c>
      <c r="F72" s="1" t="s">
        <v>3</v>
      </c>
      <c r="G72" s="1">
        <v>890242</v>
      </c>
      <c r="H72" s="1" t="s">
        <v>331</v>
      </c>
      <c r="I72" s="1" t="s">
        <v>972</v>
      </c>
      <c r="J72" s="1" t="s">
        <v>223</v>
      </c>
      <c r="K72" s="1"/>
      <c r="L72" s="2">
        <v>250000</v>
      </c>
      <c r="M72" s="2">
        <v>125000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125000</v>
      </c>
      <c r="T72" s="3">
        <v>0.5</v>
      </c>
      <c r="U72" s="1"/>
      <c r="V72" s="1" t="s">
        <v>1188</v>
      </c>
      <c r="W72" s="1" t="s">
        <v>202</v>
      </c>
      <c r="X72" s="1" t="s">
        <v>213</v>
      </c>
      <c r="Y72" s="1">
        <v>30</v>
      </c>
      <c r="Z72" s="1" t="s">
        <v>1189</v>
      </c>
      <c r="AA72" s="1" t="s">
        <v>975</v>
      </c>
      <c r="AB72" s="1">
        <v>3122368103</v>
      </c>
    </row>
    <row r="73" spans="1:28" ht="13.8">
      <c r="A73" s="331">
        <v>36080</v>
      </c>
      <c r="B73" s="331">
        <v>25865</v>
      </c>
      <c r="C73" s="115">
        <v>46056</v>
      </c>
      <c r="D73" s="1" t="s">
        <v>1190</v>
      </c>
      <c r="E73" s="1" t="s">
        <v>1191</v>
      </c>
      <c r="F73" s="1" t="s">
        <v>3</v>
      </c>
      <c r="G73" s="1">
        <v>861411</v>
      </c>
      <c r="H73" s="1" t="s">
        <v>406</v>
      </c>
      <c r="I73" s="1" t="s">
        <v>1081</v>
      </c>
      <c r="J73" s="1" t="s">
        <v>210</v>
      </c>
      <c r="K73" s="1"/>
      <c r="L73" s="2">
        <v>0</v>
      </c>
      <c r="M73" s="2">
        <v>0</v>
      </c>
      <c r="N73" s="2">
        <v>16462.88</v>
      </c>
      <c r="O73" s="2">
        <v>0</v>
      </c>
      <c r="P73" s="2">
        <v>0</v>
      </c>
      <c r="Q73" s="2">
        <v>8717.1200000000008</v>
      </c>
      <c r="R73" s="2">
        <v>0</v>
      </c>
      <c r="S73" s="2">
        <v>-16462.88</v>
      </c>
      <c r="T73" s="3">
        <v>0</v>
      </c>
      <c r="U73" s="1"/>
      <c r="V73" s="1"/>
      <c r="W73" s="1" t="s">
        <v>63</v>
      </c>
      <c r="X73" s="1" t="s">
        <v>213</v>
      </c>
      <c r="Y73" s="1">
        <v>41</v>
      </c>
      <c r="Z73" s="1"/>
      <c r="AA73" s="1" t="s">
        <v>975</v>
      </c>
      <c r="AB73" s="1">
        <v>3185777775</v>
      </c>
    </row>
    <row r="74" spans="1:28" ht="13.8">
      <c r="A74" s="331">
        <v>36118</v>
      </c>
      <c r="B74" s="331">
        <v>25912</v>
      </c>
      <c r="C74" s="115">
        <v>46056</v>
      </c>
      <c r="D74" s="1" t="s">
        <v>1192</v>
      </c>
      <c r="E74" s="1" t="s">
        <v>1193</v>
      </c>
      <c r="F74" s="1" t="s">
        <v>3</v>
      </c>
      <c r="G74" s="1">
        <v>890242</v>
      </c>
      <c r="H74" s="1" t="s">
        <v>331</v>
      </c>
      <c r="I74" s="1" t="s">
        <v>972</v>
      </c>
      <c r="J74" s="1" t="s">
        <v>223</v>
      </c>
      <c r="K74" s="1"/>
      <c r="L74" s="2">
        <v>250000</v>
      </c>
      <c r="M74" s="2">
        <v>122500</v>
      </c>
      <c r="N74" s="2">
        <v>0</v>
      </c>
      <c r="O74" s="2">
        <v>5000</v>
      </c>
      <c r="P74" s="2">
        <v>0</v>
      </c>
      <c r="Q74" s="2">
        <v>0</v>
      </c>
      <c r="R74" s="2">
        <v>0</v>
      </c>
      <c r="S74" s="2">
        <v>122500</v>
      </c>
      <c r="T74" s="3">
        <v>0.49</v>
      </c>
      <c r="U74" s="1"/>
      <c r="V74" s="1" t="s">
        <v>1194</v>
      </c>
      <c r="W74" s="1" t="s">
        <v>202</v>
      </c>
      <c r="X74" s="1" t="s">
        <v>213</v>
      </c>
      <c r="Y74" s="1">
        <v>37</v>
      </c>
      <c r="Z74" s="1" t="s">
        <v>1195</v>
      </c>
      <c r="AA74" s="1" t="s">
        <v>975</v>
      </c>
      <c r="AB74" s="1">
        <v>3122870388</v>
      </c>
    </row>
    <row r="75" spans="1:28" ht="13.8">
      <c r="A75" s="331">
        <v>22514</v>
      </c>
      <c r="B75" s="331">
        <v>25520</v>
      </c>
      <c r="C75" s="115">
        <v>46056</v>
      </c>
      <c r="D75" s="1" t="s">
        <v>1196</v>
      </c>
      <c r="E75" s="1" t="s">
        <v>1197</v>
      </c>
      <c r="F75" s="1" t="s">
        <v>5</v>
      </c>
      <c r="G75" s="1" t="s">
        <v>1108</v>
      </c>
      <c r="H75" s="1" t="s">
        <v>1109</v>
      </c>
      <c r="I75" s="1" t="s">
        <v>1081</v>
      </c>
      <c r="J75" s="1" t="s">
        <v>210</v>
      </c>
      <c r="K75" s="1"/>
      <c r="L75" s="2">
        <v>1650000</v>
      </c>
      <c r="M75" s="2">
        <v>429535</v>
      </c>
      <c r="N75" s="2">
        <v>601502.28</v>
      </c>
      <c r="O75" s="2">
        <v>33000</v>
      </c>
      <c r="P75" s="2">
        <v>0</v>
      </c>
      <c r="Q75" s="2">
        <v>156427.72</v>
      </c>
      <c r="R75" s="2">
        <v>0</v>
      </c>
      <c r="S75" s="2">
        <v>585962.72</v>
      </c>
      <c r="T75" s="3">
        <v>0.35512892121211997</v>
      </c>
      <c r="U75" s="1"/>
      <c r="V75" s="1" t="s">
        <v>1174</v>
      </c>
      <c r="W75" s="1" t="s">
        <v>202</v>
      </c>
      <c r="X75" s="1" t="s">
        <v>204</v>
      </c>
      <c r="Y75" s="1">
        <v>78</v>
      </c>
      <c r="Z75" s="1" t="s">
        <v>1198</v>
      </c>
      <c r="AA75" s="1" t="s">
        <v>975</v>
      </c>
      <c r="AB75" s="1">
        <v>3112781679</v>
      </c>
    </row>
    <row r="76" spans="1:28" ht="13.8">
      <c r="A76" s="331">
        <v>35899</v>
      </c>
      <c r="B76" s="331">
        <v>25522</v>
      </c>
      <c r="C76" s="115">
        <v>46056</v>
      </c>
      <c r="D76" s="1" t="s">
        <v>966</v>
      </c>
      <c r="E76" s="1" t="s">
        <v>967</v>
      </c>
      <c r="F76" s="1" t="s">
        <v>5</v>
      </c>
      <c r="G76" s="1">
        <v>861414</v>
      </c>
      <c r="H76" s="1" t="s">
        <v>405</v>
      </c>
      <c r="I76" s="1" t="s">
        <v>1081</v>
      </c>
      <c r="J76" s="1" t="s">
        <v>210</v>
      </c>
      <c r="K76" s="1"/>
      <c r="L76" s="2">
        <v>1170000</v>
      </c>
      <c r="M76" s="2">
        <v>379950.5</v>
      </c>
      <c r="N76" s="2">
        <v>248277.09</v>
      </c>
      <c r="O76" s="2">
        <v>23400</v>
      </c>
      <c r="P76" s="2">
        <v>0</v>
      </c>
      <c r="Q76" s="2">
        <v>138421.91</v>
      </c>
      <c r="R76" s="2">
        <v>0</v>
      </c>
      <c r="S76" s="2">
        <v>518372.41</v>
      </c>
      <c r="T76" s="3">
        <v>0.44305334188034001</v>
      </c>
      <c r="U76" s="1"/>
      <c r="V76" s="1" t="s">
        <v>1199</v>
      </c>
      <c r="W76" s="1" t="s">
        <v>202</v>
      </c>
      <c r="X76" s="1" t="s">
        <v>225</v>
      </c>
      <c r="Y76" s="1">
        <v>54</v>
      </c>
      <c r="Z76" s="1" t="s">
        <v>1200</v>
      </c>
      <c r="AA76" s="1" t="s">
        <v>975</v>
      </c>
      <c r="AB76" s="1">
        <v>3136159166</v>
      </c>
    </row>
    <row r="77" spans="1:28" ht="13.8">
      <c r="A77" s="331">
        <v>32352</v>
      </c>
      <c r="B77" s="331">
        <v>25085</v>
      </c>
      <c r="C77" s="115">
        <v>46056</v>
      </c>
      <c r="D77" s="1" t="s">
        <v>1201</v>
      </c>
      <c r="E77" s="1" t="s">
        <v>1202</v>
      </c>
      <c r="F77" s="1" t="s">
        <v>2</v>
      </c>
      <c r="G77" s="1" t="s">
        <v>459</v>
      </c>
      <c r="H77" s="1" t="s">
        <v>460</v>
      </c>
      <c r="I77" s="1" t="s">
        <v>1125</v>
      </c>
      <c r="J77" s="1" t="s">
        <v>210</v>
      </c>
      <c r="K77" s="1" t="s">
        <v>1126</v>
      </c>
      <c r="L77" s="2">
        <v>650000</v>
      </c>
      <c r="M77" s="2">
        <v>318500</v>
      </c>
      <c r="N77" s="2">
        <v>0</v>
      </c>
      <c r="O77" s="2">
        <v>13000</v>
      </c>
      <c r="P77" s="2">
        <v>0</v>
      </c>
      <c r="Q77" s="2">
        <v>0</v>
      </c>
      <c r="R77" s="2">
        <v>0</v>
      </c>
      <c r="S77" s="2">
        <v>318500</v>
      </c>
      <c r="T77" s="3">
        <v>0.49</v>
      </c>
      <c r="U77" s="1"/>
      <c r="V77" s="1" t="s">
        <v>1203</v>
      </c>
      <c r="W77" s="1" t="s">
        <v>202</v>
      </c>
      <c r="X77" s="1" t="s">
        <v>225</v>
      </c>
      <c r="Y77" s="1">
        <v>33</v>
      </c>
      <c r="Z77" s="1" t="s">
        <v>1204</v>
      </c>
      <c r="AA77" s="1" t="s">
        <v>975</v>
      </c>
      <c r="AB77" s="1">
        <v>3113593846</v>
      </c>
    </row>
    <row r="78" spans="1:28" ht="13.8">
      <c r="A78" s="331">
        <v>31327</v>
      </c>
      <c r="B78" s="331">
        <v>19094</v>
      </c>
      <c r="C78" s="115">
        <v>46056</v>
      </c>
      <c r="D78" s="1" t="s">
        <v>1205</v>
      </c>
      <c r="E78" s="1" t="s">
        <v>1206</v>
      </c>
      <c r="F78" s="1" t="s">
        <v>4</v>
      </c>
      <c r="G78" s="1" t="s">
        <v>499</v>
      </c>
      <c r="H78" s="1" t="s">
        <v>500</v>
      </c>
      <c r="I78" s="1" t="s">
        <v>1125</v>
      </c>
      <c r="J78" s="1" t="s">
        <v>210</v>
      </c>
      <c r="K78" s="1" t="s">
        <v>1126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3">
        <v>0</v>
      </c>
      <c r="U78" s="1"/>
      <c r="V78" s="1"/>
      <c r="W78" s="1" t="s">
        <v>63</v>
      </c>
      <c r="X78" s="1" t="s">
        <v>225</v>
      </c>
      <c r="Y78" s="1">
        <v>35</v>
      </c>
      <c r="Z78" s="1"/>
      <c r="AA78" s="1" t="s">
        <v>975</v>
      </c>
      <c r="AB78" s="1">
        <v>3192720309</v>
      </c>
    </row>
    <row r="79" spans="1:28" ht="13.8">
      <c r="A79" s="331">
        <v>35358</v>
      </c>
      <c r="B79" s="331">
        <v>24593</v>
      </c>
      <c r="C79" s="115">
        <v>46056</v>
      </c>
      <c r="D79" s="1" t="s">
        <v>1207</v>
      </c>
      <c r="E79" s="1" t="s">
        <v>1208</v>
      </c>
      <c r="F79" s="1" t="s">
        <v>4</v>
      </c>
      <c r="G79" s="1" t="s">
        <v>228</v>
      </c>
      <c r="H79" s="1" t="s">
        <v>229</v>
      </c>
      <c r="I79" s="1" t="s">
        <v>1209</v>
      </c>
      <c r="J79" s="1" t="s">
        <v>210</v>
      </c>
      <c r="K79" s="1" t="s">
        <v>1209</v>
      </c>
      <c r="L79" s="2">
        <v>350000</v>
      </c>
      <c r="M79" s="2">
        <v>175000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175000</v>
      </c>
      <c r="T79" s="3">
        <v>0.5</v>
      </c>
      <c r="U79" s="1"/>
      <c r="V79" s="1" t="s">
        <v>1210</v>
      </c>
      <c r="W79" s="1" t="s">
        <v>202</v>
      </c>
      <c r="X79" s="1" t="s">
        <v>213</v>
      </c>
      <c r="Y79" s="1">
        <v>31</v>
      </c>
      <c r="Z79" s="1" t="s">
        <v>1211</v>
      </c>
      <c r="AA79" s="1" t="s">
        <v>975</v>
      </c>
      <c r="AB79" s="1">
        <v>3117670140</v>
      </c>
    </row>
    <row r="80" spans="1:28" ht="13.8">
      <c r="A80" s="331">
        <v>35358</v>
      </c>
      <c r="B80" s="331">
        <v>25891</v>
      </c>
      <c r="C80" s="115">
        <v>46056</v>
      </c>
      <c r="D80" s="1" t="s">
        <v>1207</v>
      </c>
      <c r="E80" s="1" t="s">
        <v>1208</v>
      </c>
      <c r="F80" s="1" t="s">
        <v>4</v>
      </c>
      <c r="G80" s="1" t="s">
        <v>324</v>
      </c>
      <c r="H80" s="1" t="s">
        <v>325</v>
      </c>
      <c r="I80" s="1" t="s">
        <v>1097</v>
      </c>
      <c r="J80" s="1" t="s">
        <v>210</v>
      </c>
      <c r="K80" s="1" t="s">
        <v>1097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3">
        <v>0</v>
      </c>
      <c r="U80" s="1"/>
      <c r="V80" s="1"/>
      <c r="W80" s="1" t="s">
        <v>63</v>
      </c>
      <c r="X80" s="1" t="s">
        <v>213</v>
      </c>
      <c r="Y80" s="1">
        <v>31</v>
      </c>
      <c r="Z80" s="1"/>
      <c r="AA80" s="1" t="s">
        <v>975</v>
      </c>
      <c r="AB80" s="1">
        <v>3117670140</v>
      </c>
    </row>
    <row r="81" spans="1:28" ht="13.8">
      <c r="A81" s="331">
        <v>35668</v>
      </c>
      <c r="B81" s="331">
        <v>25107</v>
      </c>
      <c r="C81" s="115">
        <v>46056</v>
      </c>
      <c r="D81" s="1" t="s">
        <v>521</v>
      </c>
      <c r="E81" s="1" t="s">
        <v>522</v>
      </c>
      <c r="F81" s="1" t="s">
        <v>4</v>
      </c>
      <c r="G81" s="1" t="s">
        <v>324</v>
      </c>
      <c r="H81" s="1" t="s">
        <v>325</v>
      </c>
      <c r="I81" s="1" t="s">
        <v>1097</v>
      </c>
      <c r="J81" s="1" t="s">
        <v>210</v>
      </c>
      <c r="K81" s="1" t="s">
        <v>1097</v>
      </c>
      <c r="L81" s="2">
        <v>650000</v>
      </c>
      <c r="M81" s="2">
        <v>318500</v>
      </c>
      <c r="N81" s="2">
        <v>0</v>
      </c>
      <c r="O81" s="2">
        <v>13000</v>
      </c>
      <c r="P81" s="2">
        <v>0</v>
      </c>
      <c r="Q81" s="2">
        <v>0</v>
      </c>
      <c r="R81" s="2">
        <v>0</v>
      </c>
      <c r="S81" s="2">
        <v>318500</v>
      </c>
      <c r="T81" s="3">
        <v>0.49</v>
      </c>
      <c r="U81" s="1"/>
      <c r="V81" s="1" t="s">
        <v>1212</v>
      </c>
      <c r="W81" s="1" t="s">
        <v>202</v>
      </c>
      <c r="X81" s="1" t="s">
        <v>213</v>
      </c>
      <c r="Y81" s="1">
        <v>32</v>
      </c>
      <c r="Z81" s="1" t="s">
        <v>1213</v>
      </c>
      <c r="AA81" s="1" t="s">
        <v>975</v>
      </c>
      <c r="AB81" s="1">
        <v>3215637931</v>
      </c>
    </row>
    <row r="82" spans="1:28" ht="13.8">
      <c r="A82" s="331">
        <v>35470</v>
      </c>
      <c r="B82" s="331">
        <v>25022</v>
      </c>
      <c r="C82" s="115">
        <v>46056</v>
      </c>
      <c r="D82" s="1" t="s">
        <v>1214</v>
      </c>
      <c r="E82" s="1" t="s">
        <v>1215</v>
      </c>
      <c r="F82" s="1" t="s">
        <v>4</v>
      </c>
      <c r="G82" s="1" t="s">
        <v>326</v>
      </c>
      <c r="H82" s="1" t="s">
        <v>327</v>
      </c>
      <c r="I82" s="1" t="s">
        <v>1047</v>
      </c>
      <c r="J82" s="1" t="s">
        <v>210</v>
      </c>
      <c r="K82" s="1" t="s">
        <v>1048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3">
        <v>0</v>
      </c>
      <c r="U82" s="1"/>
      <c r="V82" s="1"/>
      <c r="W82" s="1" t="s">
        <v>63</v>
      </c>
      <c r="X82" s="1" t="s">
        <v>204</v>
      </c>
      <c r="Y82" s="1">
        <v>74</v>
      </c>
      <c r="Z82" s="1"/>
      <c r="AA82" s="1" t="s">
        <v>975</v>
      </c>
      <c r="AB82" s="1">
        <v>3206977603</v>
      </c>
    </row>
    <row r="83" spans="1:28" ht="13.8">
      <c r="A83" s="331">
        <v>30870</v>
      </c>
      <c r="B83" s="331">
        <v>25884</v>
      </c>
      <c r="C83" s="115">
        <v>46056</v>
      </c>
      <c r="D83" s="1" t="s">
        <v>950</v>
      </c>
      <c r="E83" s="1" t="s">
        <v>951</v>
      </c>
      <c r="F83" s="1" t="s">
        <v>4</v>
      </c>
      <c r="G83" s="1">
        <v>861411</v>
      </c>
      <c r="H83" s="1" t="s">
        <v>406</v>
      </c>
      <c r="I83" s="1" t="s">
        <v>1081</v>
      </c>
      <c r="J83" s="1" t="s">
        <v>210</v>
      </c>
      <c r="K83" s="1"/>
      <c r="L83" s="2">
        <v>1150000</v>
      </c>
      <c r="M83" s="2">
        <v>406125</v>
      </c>
      <c r="N83" s="2">
        <v>205786</v>
      </c>
      <c r="O83" s="2">
        <v>23000</v>
      </c>
      <c r="P83" s="2">
        <v>0</v>
      </c>
      <c r="Q83" s="2">
        <v>108964</v>
      </c>
      <c r="R83" s="2">
        <v>0</v>
      </c>
      <c r="S83" s="2">
        <v>515089</v>
      </c>
      <c r="T83" s="3">
        <v>0.44790347826087001</v>
      </c>
      <c r="U83" s="1"/>
      <c r="V83" s="1" t="s">
        <v>1216</v>
      </c>
      <c r="W83" s="1" t="s">
        <v>202</v>
      </c>
      <c r="X83" s="1" t="s">
        <v>213</v>
      </c>
      <c r="Y83" s="1">
        <v>30</v>
      </c>
      <c r="Z83" s="1" t="s">
        <v>1217</v>
      </c>
      <c r="AA83" s="1" t="s">
        <v>975</v>
      </c>
      <c r="AB83" s="1">
        <v>3168431103</v>
      </c>
    </row>
    <row r="84" spans="1:28" ht="13.8">
      <c r="A84" s="331">
        <v>30870</v>
      </c>
      <c r="B84" s="331">
        <v>25940</v>
      </c>
      <c r="C84" s="115">
        <v>46056</v>
      </c>
      <c r="D84" s="1" t="s">
        <v>950</v>
      </c>
      <c r="E84" s="1" t="s">
        <v>951</v>
      </c>
      <c r="F84" s="1" t="s">
        <v>4</v>
      </c>
      <c r="G84" s="1" t="s">
        <v>499</v>
      </c>
      <c r="H84" s="1" t="s">
        <v>500</v>
      </c>
      <c r="I84" s="1" t="s">
        <v>1125</v>
      </c>
      <c r="J84" s="1" t="s">
        <v>210</v>
      </c>
      <c r="K84" s="1" t="s">
        <v>1126</v>
      </c>
      <c r="L84" s="2">
        <v>650000</v>
      </c>
      <c r="M84" s="2">
        <v>318500</v>
      </c>
      <c r="N84" s="2">
        <v>0</v>
      </c>
      <c r="O84" s="2">
        <v>13000</v>
      </c>
      <c r="P84" s="2">
        <v>0</v>
      </c>
      <c r="Q84" s="2">
        <v>0</v>
      </c>
      <c r="R84" s="2">
        <v>0</v>
      </c>
      <c r="S84" s="2">
        <v>318500</v>
      </c>
      <c r="T84" s="3">
        <v>0.49</v>
      </c>
      <c r="U84" s="1"/>
      <c r="V84" s="1" t="s">
        <v>1218</v>
      </c>
      <c r="W84" s="1" t="s">
        <v>202</v>
      </c>
      <c r="X84" s="1" t="s">
        <v>213</v>
      </c>
      <c r="Y84" s="1">
        <v>30</v>
      </c>
      <c r="Z84" s="1" t="s">
        <v>1219</v>
      </c>
      <c r="AA84" s="1" t="s">
        <v>975</v>
      </c>
      <c r="AB84" s="1">
        <v>3168431103</v>
      </c>
    </row>
    <row r="85" spans="1:28" ht="13.8">
      <c r="A85" s="331">
        <v>35001</v>
      </c>
      <c r="B85" s="331">
        <v>24896</v>
      </c>
      <c r="C85" s="115">
        <v>46056</v>
      </c>
      <c r="D85" s="1" t="s">
        <v>929</v>
      </c>
      <c r="E85" s="1" t="s">
        <v>930</v>
      </c>
      <c r="F85" s="1" t="s">
        <v>4</v>
      </c>
      <c r="G85" s="1" t="s">
        <v>923</v>
      </c>
      <c r="H85" s="1" t="s">
        <v>924</v>
      </c>
      <c r="I85" s="1" t="s">
        <v>256</v>
      </c>
      <c r="J85" s="1" t="s">
        <v>210</v>
      </c>
      <c r="K85" s="1" t="s">
        <v>1058</v>
      </c>
      <c r="L85" s="2">
        <v>200000</v>
      </c>
      <c r="M85" s="2">
        <v>89657.5</v>
      </c>
      <c r="N85" s="2">
        <v>14500</v>
      </c>
      <c r="O85" s="2">
        <v>4000</v>
      </c>
      <c r="P85" s="2">
        <v>0</v>
      </c>
      <c r="Q85" s="2">
        <v>2185</v>
      </c>
      <c r="R85" s="2">
        <v>0</v>
      </c>
      <c r="S85" s="2">
        <v>91842.5</v>
      </c>
      <c r="T85" s="3">
        <v>0.45921250000000002</v>
      </c>
      <c r="U85" s="1"/>
      <c r="V85" s="1" t="s">
        <v>1220</v>
      </c>
      <c r="W85" s="1" t="s">
        <v>202</v>
      </c>
      <c r="X85" s="1" t="s">
        <v>213</v>
      </c>
      <c r="Y85" s="1">
        <v>19</v>
      </c>
      <c r="Z85" s="1" t="s">
        <v>1221</v>
      </c>
      <c r="AA85" s="1" t="s">
        <v>975</v>
      </c>
      <c r="AB85" s="1">
        <v>3122875859</v>
      </c>
    </row>
    <row r="86" spans="1:28" ht="13.8">
      <c r="A86" s="331">
        <v>31342</v>
      </c>
      <c r="B86" s="331">
        <v>23319</v>
      </c>
      <c r="C86" s="115">
        <v>46056</v>
      </c>
      <c r="D86" s="1" t="s">
        <v>1222</v>
      </c>
      <c r="E86" s="1" t="s">
        <v>1223</v>
      </c>
      <c r="F86" s="1" t="s">
        <v>4</v>
      </c>
      <c r="G86" s="1" t="s">
        <v>555</v>
      </c>
      <c r="H86" s="1" t="s">
        <v>556</v>
      </c>
      <c r="I86" s="1" t="s">
        <v>1065</v>
      </c>
      <c r="J86" s="1" t="s">
        <v>210</v>
      </c>
      <c r="K86" s="1"/>
      <c r="L86" s="2">
        <v>500000</v>
      </c>
      <c r="M86" s="2">
        <v>239852.5</v>
      </c>
      <c r="N86" s="2">
        <v>8750</v>
      </c>
      <c r="O86" s="2">
        <v>10000</v>
      </c>
      <c r="P86" s="2">
        <v>0</v>
      </c>
      <c r="Q86" s="2">
        <v>1545</v>
      </c>
      <c r="R86" s="2">
        <v>0</v>
      </c>
      <c r="S86" s="2">
        <v>241397.5</v>
      </c>
      <c r="T86" s="3">
        <v>0.48279499999999997</v>
      </c>
      <c r="U86" s="1"/>
      <c r="V86" s="1" t="s">
        <v>1224</v>
      </c>
      <c r="W86" s="1" t="s">
        <v>202</v>
      </c>
      <c r="X86" s="1" t="s">
        <v>277</v>
      </c>
      <c r="Y86" s="1">
        <v>24</v>
      </c>
      <c r="Z86" s="1" t="s">
        <v>1225</v>
      </c>
      <c r="AA86" s="1" t="s">
        <v>975</v>
      </c>
      <c r="AB86" s="1">
        <v>3134061176</v>
      </c>
    </row>
    <row r="87" spans="1:28" ht="13.8">
      <c r="A87" s="331">
        <v>36123</v>
      </c>
      <c r="B87" s="331">
        <v>25918</v>
      </c>
      <c r="C87" s="115">
        <v>46057</v>
      </c>
      <c r="D87" s="1" t="s">
        <v>1424</v>
      </c>
      <c r="E87" s="1" t="s">
        <v>1425</v>
      </c>
      <c r="F87" s="1" t="s">
        <v>126</v>
      </c>
      <c r="G87" s="1">
        <v>890242</v>
      </c>
      <c r="H87" s="1" t="s">
        <v>331</v>
      </c>
      <c r="I87" s="1" t="s">
        <v>972</v>
      </c>
      <c r="J87" s="1" t="s">
        <v>223</v>
      </c>
      <c r="K87" s="1"/>
      <c r="L87" s="2">
        <v>250000</v>
      </c>
      <c r="M87" s="2">
        <v>122500</v>
      </c>
      <c r="N87" s="2">
        <v>0</v>
      </c>
      <c r="O87" s="2">
        <v>5000</v>
      </c>
      <c r="P87" s="2">
        <v>0</v>
      </c>
      <c r="Q87" s="2">
        <v>0</v>
      </c>
      <c r="R87" s="2">
        <v>0</v>
      </c>
      <c r="S87" s="2">
        <v>122500</v>
      </c>
      <c r="T87" s="3">
        <v>0.49</v>
      </c>
      <c r="U87" s="1"/>
      <c r="V87" s="1" t="s">
        <v>1426</v>
      </c>
      <c r="W87" s="1" t="s">
        <v>202</v>
      </c>
      <c r="X87" s="1" t="s">
        <v>225</v>
      </c>
      <c r="Y87" s="1">
        <v>23</v>
      </c>
      <c r="Z87" s="1" t="s">
        <v>1427</v>
      </c>
      <c r="AA87" s="1" t="s">
        <v>975</v>
      </c>
      <c r="AB87" s="1">
        <v>3217220533</v>
      </c>
    </row>
    <row r="88" spans="1:28" ht="13.8">
      <c r="A88" s="331">
        <v>35989</v>
      </c>
      <c r="B88" s="331">
        <v>25696</v>
      </c>
      <c r="C88" s="115">
        <v>46057</v>
      </c>
      <c r="D88" s="1" t="s">
        <v>1310</v>
      </c>
      <c r="E88" s="1" t="s">
        <v>1311</v>
      </c>
      <c r="F88" s="1" t="s">
        <v>127</v>
      </c>
      <c r="G88" s="1">
        <v>890242</v>
      </c>
      <c r="H88" s="1" t="s">
        <v>331</v>
      </c>
      <c r="I88" s="1" t="s">
        <v>972</v>
      </c>
      <c r="J88" s="1" t="s">
        <v>223</v>
      </c>
      <c r="K88" s="1"/>
      <c r="L88" s="2">
        <v>250000</v>
      </c>
      <c r="M88" s="2">
        <v>122500</v>
      </c>
      <c r="N88" s="2">
        <v>0</v>
      </c>
      <c r="O88" s="2">
        <v>5000</v>
      </c>
      <c r="P88" s="2">
        <v>0</v>
      </c>
      <c r="Q88" s="2">
        <v>0</v>
      </c>
      <c r="R88" s="2">
        <v>0</v>
      </c>
      <c r="S88" s="2">
        <v>122500</v>
      </c>
      <c r="T88" s="3">
        <v>0.49</v>
      </c>
      <c r="U88" s="1"/>
      <c r="V88" s="1" t="s">
        <v>1428</v>
      </c>
      <c r="W88" s="1" t="s">
        <v>202</v>
      </c>
      <c r="X88" s="1" t="s">
        <v>213</v>
      </c>
      <c r="Y88" s="1">
        <v>51</v>
      </c>
      <c r="Z88" s="1" t="s">
        <v>1429</v>
      </c>
      <c r="AA88" s="1" t="s">
        <v>975</v>
      </c>
      <c r="AB88" s="1">
        <v>3104098415</v>
      </c>
    </row>
    <row r="89" spans="1:28" ht="13.8">
      <c r="A89" s="331">
        <v>35824</v>
      </c>
      <c r="B89" s="331">
        <v>25978</v>
      </c>
      <c r="C89" s="115">
        <v>46057</v>
      </c>
      <c r="D89" s="1" t="s">
        <v>1430</v>
      </c>
      <c r="E89" s="1" t="s">
        <v>1431</v>
      </c>
      <c r="F89" s="1" t="s">
        <v>107</v>
      </c>
      <c r="G89" s="1">
        <v>861411</v>
      </c>
      <c r="H89" s="1" t="s">
        <v>406</v>
      </c>
      <c r="I89" s="1" t="s">
        <v>1081</v>
      </c>
      <c r="J89" s="1" t="s">
        <v>210</v>
      </c>
      <c r="K89" s="1"/>
      <c r="L89" s="2">
        <v>1265000</v>
      </c>
      <c r="M89" s="2">
        <v>446737.5</v>
      </c>
      <c r="N89" s="2">
        <v>226364.6</v>
      </c>
      <c r="O89" s="2">
        <v>25300</v>
      </c>
      <c r="P89" s="2">
        <v>0</v>
      </c>
      <c r="Q89" s="2">
        <v>119860.4</v>
      </c>
      <c r="R89" s="2">
        <v>0</v>
      </c>
      <c r="S89" s="2">
        <v>566597.9</v>
      </c>
      <c r="T89" s="3">
        <v>0.44790347826087001</v>
      </c>
      <c r="U89" s="1"/>
      <c r="V89" s="1" t="s">
        <v>1432</v>
      </c>
      <c r="W89" s="1" t="s">
        <v>202</v>
      </c>
      <c r="X89" s="1" t="s">
        <v>204</v>
      </c>
      <c r="Y89" s="1">
        <v>84</v>
      </c>
      <c r="Z89" s="1" t="s">
        <v>1433</v>
      </c>
      <c r="AA89" s="1" t="s">
        <v>975</v>
      </c>
      <c r="AB89" s="1">
        <v>3017770852</v>
      </c>
    </row>
    <row r="90" spans="1:28" ht="13.8">
      <c r="A90" s="331">
        <v>33293</v>
      </c>
      <c r="B90" s="331">
        <v>25582</v>
      </c>
      <c r="C90" s="115">
        <v>46057</v>
      </c>
      <c r="D90" s="1" t="s">
        <v>1434</v>
      </c>
      <c r="E90" s="1" t="s">
        <v>1435</v>
      </c>
      <c r="F90" s="1" t="s">
        <v>127</v>
      </c>
      <c r="G90" s="1" t="s">
        <v>597</v>
      </c>
      <c r="H90" s="1" t="s">
        <v>598</v>
      </c>
      <c r="I90" s="1" t="s">
        <v>1033</v>
      </c>
      <c r="J90" s="1" t="s">
        <v>210</v>
      </c>
      <c r="K90" s="1" t="s">
        <v>1033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3">
        <v>0</v>
      </c>
      <c r="U90" s="1"/>
      <c r="V90" s="1"/>
      <c r="W90" s="1" t="s">
        <v>63</v>
      </c>
      <c r="X90" s="1" t="s">
        <v>225</v>
      </c>
      <c r="Y90" s="1">
        <v>67</v>
      </c>
      <c r="Z90" s="1"/>
      <c r="AA90" s="1" t="s">
        <v>975</v>
      </c>
      <c r="AB90" s="1">
        <v>3148121576</v>
      </c>
    </row>
    <row r="91" spans="1:28" ht="13.8">
      <c r="A91" s="331">
        <v>33292</v>
      </c>
      <c r="B91" s="331">
        <v>25580</v>
      </c>
      <c r="C91" s="115">
        <v>46057</v>
      </c>
      <c r="D91" s="1" t="s">
        <v>1436</v>
      </c>
      <c r="E91" s="1" t="s">
        <v>1437</v>
      </c>
      <c r="F91" s="1" t="s">
        <v>127</v>
      </c>
      <c r="G91" s="1">
        <v>868115</v>
      </c>
      <c r="H91" s="1" t="s">
        <v>838</v>
      </c>
      <c r="I91" s="1" t="s">
        <v>983</v>
      </c>
      <c r="J91" s="1" t="s">
        <v>210</v>
      </c>
      <c r="K91" s="1"/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3">
        <v>0</v>
      </c>
      <c r="U91" s="1"/>
      <c r="V91" s="1"/>
      <c r="W91" s="1" t="s">
        <v>63</v>
      </c>
      <c r="X91" s="1" t="s">
        <v>225</v>
      </c>
      <c r="Y91" s="1">
        <v>67</v>
      </c>
      <c r="Z91" s="1"/>
      <c r="AA91" s="1" t="s">
        <v>975</v>
      </c>
      <c r="AB91" s="1">
        <v>3148121602</v>
      </c>
    </row>
    <row r="92" spans="1:28" ht="13.8">
      <c r="A92" s="331">
        <v>36136</v>
      </c>
      <c r="B92" s="331">
        <v>25937</v>
      </c>
      <c r="C92" s="115">
        <v>46057</v>
      </c>
      <c r="D92" s="1" t="s">
        <v>1438</v>
      </c>
      <c r="E92" s="1" t="s">
        <v>1439</v>
      </c>
      <c r="F92" s="1" t="s">
        <v>127</v>
      </c>
      <c r="G92" s="1">
        <v>890242</v>
      </c>
      <c r="H92" s="1" t="s">
        <v>331</v>
      </c>
      <c r="I92" s="1" t="s">
        <v>972</v>
      </c>
      <c r="J92" s="1" t="s">
        <v>223</v>
      </c>
      <c r="K92" s="1"/>
      <c r="L92" s="2">
        <v>250000</v>
      </c>
      <c r="M92" s="2">
        <v>125000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125000</v>
      </c>
      <c r="T92" s="3">
        <v>0.5</v>
      </c>
      <c r="U92" s="1"/>
      <c r="V92" s="1" t="s">
        <v>1440</v>
      </c>
      <c r="W92" s="1" t="s">
        <v>202</v>
      </c>
      <c r="X92" s="1" t="s">
        <v>213</v>
      </c>
      <c r="Y92" s="1">
        <v>33</v>
      </c>
      <c r="Z92" s="1" t="s">
        <v>1441</v>
      </c>
      <c r="AA92" s="1" t="s">
        <v>975</v>
      </c>
      <c r="AB92" s="1">
        <v>3001352138</v>
      </c>
    </row>
    <row r="93" spans="1:28" ht="13.8">
      <c r="A93" s="331">
        <v>35450</v>
      </c>
      <c r="B93" s="331">
        <v>24753</v>
      </c>
      <c r="C93" s="115">
        <v>46057</v>
      </c>
      <c r="D93" s="1" t="s">
        <v>1345</v>
      </c>
      <c r="E93" s="1" t="s">
        <v>1346</v>
      </c>
      <c r="F93" s="1" t="s">
        <v>2</v>
      </c>
      <c r="G93" s="1">
        <v>890242</v>
      </c>
      <c r="H93" s="1" t="s">
        <v>331</v>
      </c>
      <c r="I93" s="1" t="s">
        <v>972</v>
      </c>
      <c r="J93" s="1" t="s">
        <v>223</v>
      </c>
      <c r="K93" s="1"/>
      <c r="L93" s="2">
        <v>250000</v>
      </c>
      <c r="M93" s="2">
        <v>122500</v>
      </c>
      <c r="N93" s="2">
        <v>0</v>
      </c>
      <c r="O93" s="2">
        <v>5000</v>
      </c>
      <c r="P93" s="2">
        <v>0</v>
      </c>
      <c r="Q93" s="2">
        <v>0</v>
      </c>
      <c r="R93" s="2">
        <v>0</v>
      </c>
      <c r="S93" s="2">
        <v>122500</v>
      </c>
      <c r="T93" s="3">
        <v>0.49</v>
      </c>
      <c r="U93" s="1"/>
      <c r="V93" s="1" t="s">
        <v>1442</v>
      </c>
      <c r="W93" s="1" t="s">
        <v>202</v>
      </c>
      <c r="X93" s="1" t="s">
        <v>213</v>
      </c>
      <c r="Y93" s="1">
        <v>33</v>
      </c>
      <c r="Z93" s="1" t="s">
        <v>1443</v>
      </c>
      <c r="AA93" s="1" t="s">
        <v>975</v>
      </c>
      <c r="AB93" s="1">
        <v>3007923178</v>
      </c>
    </row>
    <row r="94" spans="1:28" ht="13.8">
      <c r="A94" s="331">
        <v>36089</v>
      </c>
      <c r="B94" s="331">
        <v>25877</v>
      </c>
      <c r="C94" s="115">
        <v>46057</v>
      </c>
      <c r="D94" s="1" t="s">
        <v>1321</v>
      </c>
      <c r="E94" s="1" t="s">
        <v>1322</v>
      </c>
      <c r="F94" s="1" t="s">
        <v>126</v>
      </c>
      <c r="G94" s="1">
        <v>890242</v>
      </c>
      <c r="H94" s="1" t="s">
        <v>331</v>
      </c>
      <c r="I94" s="1" t="s">
        <v>972</v>
      </c>
      <c r="J94" s="1" t="s">
        <v>223</v>
      </c>
      <c r="K94" s="1"/>
      <c r="L94" s="2">
        <v>250000</v>
      </c>
      <c r="M94" s="2">
        <v>122500</v>
      </c>
      <c r="N94" s="2">
        <v>0</v>
      </c>
      <c r="O94" s="2">
        <v>5000</v>
      </c>
      <c r="P94" s="2">
        <v>0</v>
      </c>
      <c r="Q94" s="2">
        <v>0</v>
      </c>
      <c r="R94" s="2">
        <v>0</v>
      </c>
      <c r="S94" s="2">
        <v>122500</v>
      </c>
      <c r="T94" s="3">
        <v>0.49</v>
      </c>
      <c r="U94" s="1"/>
      <c r="V94" s="1" t="s">
        <v>1444</v>
      </c>
      <c r="W94" s="1" t="s">
        <v>202</v>
      </c>
      <c r="X94" s="1" t="s">
        <v>277</v>
      </c>
      <c r="Y94" s="1">
        <v>25</v>
      </c>
      <c r="Z94" s="1" t="s">
        <v>1445</v>
      </c>
      <c r="AA94" s="1" t="s">
        <v>975</v>
      </c>
      <c r="AB94" s="1">
        <v>3008407086</v>
      </c>
    </row>
    <row r="95" spans="1:28" ht="13.8">
      <c r="A95" s="331">
        <v>36160</v>
      </c>
      <c r="B95" s="331">
        <v>25991</v>
      </c>
      <c r="C95" s="115">
        <v>46057</v>
      </c>
      <c r="D95" s="1" t="s">
        <v>1446</v>
      </c>
      <c r="E95" s="1" t="s">
        <v>1447</v>
      </c>
      <c r="F95" s="1" t="s">
        <v>2</v>
      </c>
      <c r="G95" s="1">
        <v>890242</v>
      </c>
      <c r="H95" s="1" t="s">
        <v>331</v>
      </c>
      <c r="I95" s="1" t="s">
        <v>972</v>
      </c>
      <c r="J95" s="1" t="s">
        <v>223</v>
      </c>
      <c r="K95" s="1"/>
      <c r="L95" s="2">
        <v>250000</v>
      </c>
      <c r="M95" s="2">
        <v>122500</v>
      </c>
      <c r="N95" s="2">
        <v>0</v>
      </c>
      <c r="O95" s="2">
        <v>5000</v>
      </c>
      <c r="P95" s="2">
        <v>0</v>
      </c>
      <c r="Q95" s="2">
        <v>0</v>
      </c>
      <c r="R95" s="2">
        <v>0</v>
      </c>
      <c r="S95" s="2">
        <v>122500</v>
      </c>
      <c r="T95" s="3">
        <v>0.49</v>
      </c>
      <c r="U95" s="1"/>
      <c r="V95" s="1" t="s">
        <v>1448</v>
      </c>
      <c r="W95" s="1" t="s">
        <v>202</v>
      </c>
      <c r="X95" s="1" t="s">
        <v>277</v>
      </c>
      <c r="Y95" s="1">
        <v>31</v>
      </c>
      <c r="Z95" s="1" t="s">
        <v>1449</v>
      </c>
      <c r="AA95" s="1" t="s">
        <v>1028</v>
      </c>
      <c r="AB95" s="1">
        <v>17869732559</v>
      </c>
    </row>
    <row r="96" spans="1:28" ht="13.8">
      <c r="A96" s="331">
        <v>34511</v>
      </c>
      <c r="B96" s="331">
        <v>23359</v>
      </c>
      <c r="C96" s="115">
        <v>46057</v>
      </c>
      <c r="D96" s="1" t="s">
        <v>1450</v>
      </c>
      <c r="E96" s="1" t="s">
        <v>1451</v>
      </c>
      <c r="F96" s="1" t="s">
        <v>127</v>
      </c>
      <c r="G96" s="1">
        <v>861401</v>
      </c>
      <c r="H96" s="1" t="s">
        <v>307</v>
      </c>
      <c r="I96" s="1" t="s">
        <v>983</v>
      </c>
      <c r="J96" s="1" t="s">
        <v>210</v>
      </c>
      <c r="K96" s="1"/>
      <c r="L96" s="2">
        <v>250000</v>
      </c>
      <c r="M96" s="2">
        <v>122500</v>
      </c>
      <c r="N96" s="2">
        <v>0</v>
      </c>
      <c r="O96" s="2">
        <v>5000</v>
      </c>
      <c r="P96" s="2">
        <v>0</v>
      </c>
      <c r="Q96" s="2">
        <v>0</v>
      </c>
      <c r="R96" s="2">
        <v>0</v>
      </c>
      <c r="S96" s="2">
        <v>122500</v>
      </c>
      <c r="T96" s="3">
        <v>0.49</v>
      </c>
      <c r="U96" s="1"/>
      <c r="V96" s="1" t="s">
        <v>1452</v>
      </c>
      <c r="W96" s="1" t="s">
        <v>202</v>
      </c>
      <c r="X96" s="1" t="s">
        <v>213</v>
      </c>
      <c r="Y96" s="1">
        <v>23</v>
      </c>
      <c r="Z96" s="1" t="s">
        <v>1453</v>
      </c>
      <c r="AA96" s="1" t="s">
        <v>975</v>
      </c>
      <c r="AB96" s="1">
        <v>3126869957</v>
      </c>
    </row>
    <row r="97" spans="1:28" ht="13.8">
      <c r="A97" s="331">
        <v>36077</v>
      </c>
      <c r="B97" s="331">
        <v>25861</v>
      </c>
      <c r="C97" s="115">
        <v>46057</v>
      </c>
      <c r="D97" s="1" t="s">
        <v>1454</v>
      </c>
      <c r="E97" s="1" t="s">
        <v>1455</v>
      </c>
      <c r="F97" s="1" t="s">
        <v>2</v>
      </c>
      <c r="G97" s="1">
        <v>890242</v>
      </c>
      <c r="H97" s="1" t="s">
        <v>331</v>
      </c>
      <c r="I97" s="1" t="s">
        <v>972</v>
      </c>
      <c r="J97" s="1" t="s">
        <v>223</v>
      </c>
      <c r="K97" s="1"/>
      <c r="L97" s="2">
        <v>250000</v>
      </c>
      <c r="M97" s="2">
        <v>125000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125000</v>
      </c>
      <c r="T97" s="3">
        <v>0.5</v>
      </c>
      <c r="U97" s="1"/>
      <c r="V97" s="1" t="s">
        <v>1456</v>
      </c>
      <c r="W97" s="1" t="s">
        <v>202</v>
      </c>
      <c r="X97" s="1" t="s">
        <v>225</v>
      </c>
      <c r="Y97" s="1">
        <v>15</v>
      </c>
      <c r="Z97" s="1" t="s">
        <v>1457</v>
      </c>
      <c r="AA97" s="1" t="s">
        <v>975</v>
      </c>
      <c r="AB97" s="1">
        <v>3232896211</v>
      </c>
    </row>
    <row r="98" spans="1:28" ht="13.8">
      <c r="A98" s="331">
        <v>36027</v>
      </c>
      <c r="B98" s="331">
        <v>25769</v>
      </c>
      <c r="C98" s="115">
        <v>46057</v>
      </c>
      <c r="D98" s="1" t="s">
        <v>1458</v>
      </c>
      <c r="E98" s="1" t="s">
        <v>1459</v>
      </c>
      <c r="F98" s="1" t="s">
        <v>5</v>
      </c>
      <c r="G98" s="1">
        <v>861414</v>
      </c>
      <c r="H98" s="1" t="s">
        <v>405</v>
      </c>
      <c r="I98" s="1" t="s">
        <v>1081</v>
      </c>
      <c r="J98" s="1" t="s">
        <v>210</v>
      </c>
      <c r="K98" s="1"/>
      <c r="L98" s="2">
        <v>0</v>
      </c>
      <c r="M98" s="2">
        <v>0</v>
      </c>
      <c r="N98" s="2">
        <v>467388.18</v>
      </c>
      <c r="O98" s="2">
        <v>0</v>
      </c>
      <c r="P98" s="2">
        <v>0</v>
      </c>
      <c r="Q98" s="2">
        <v>272469.82</v>
      </c>
      <c r="R98" s="2">
        <v>0</v>
      </c>
      <c r="S98" s="2">
        <v>-467388.18</v>
      </c>
      <c r="T98" s="3">
        <v>0</v>
      </c>
      <c r="U98" s="1"/>
      <c r="V98" s="1"/>
      <c r="W98" s="1" t="s">
        <v>63</v>
      </c>
      <c r="X98" s="1" t="s">
        <v>225</v>
      </c>
      <c r="Y98" s="1">
        <v>55</v>
      </c>
      <c r="Z98" s="1"/>
      <c r="AA98" s="1" t="s">
        <v>975</v>
      </c>
      <c r="AB98" s="1">
        <v>3246848573</v>
      </c>
    </row>
    <row r="99" spans="1:28" ht="13.8">
      <c r="A99" s="331">
        <v>36027</v>
      </c>
      <c r="B99" s="331">
        <v>25984</v>
      </c>
      <c r="C99" s="115">
        <v>46057</v>
      </c>
      <c r="D99" s="1" t="s">
        <v>1458</v>
      </c>
      <c r="E99" s="1" t="s">
        <v>1459</v>
      </c>
      <c r="F99" s="1" t="s">
        <v>5</v>
      </c>
      <c r="G99" s="1">
        <v>861417</v>
      </c>
      <c r="H99" s="1" t="s">
        <v>1460</v>
      </c>
      <c r="I99" s="1" t="s">
        <v>1081</v>
      </c>
      <c r="J99" s="1" t="s">
        <v>210</v>
      </c>
      <c r="K99" s="1"/>
      <c r="L99" s="2">
        <v>0</v>
      </c>
      <c r="M99" s="2">
        <v>0</v>
      </c>
      <c r="N99" s="2">
        <v>791707</v>
      </c>
      <c r="O99" s="2">
        <v>0</v>
      </c>
      <c r="P99" s="2">
        <v>0</v>
      </c>
      <c r="Q99" s="2">
        <v>139713</v>
      </c>
      <c r="R99" s="2">
        <v>0</v>
      </c>
      <c r="S99" s="2">
        <v>-791707</v>
      </c>
      <c r="T99" s="3">
        <v>0</v>
      </c>
      <c r="U99" s="1"/>
      <c r="V99" s="1"/>
      <c r="W99" s="1" t="s">
        <v>63</v>
      </c>
      <c r="X99" s="1" t="s">
        <v>225</v>
      </c>
      <c r="Y99" s="1">
        <v>55</v>
      </c>
      <c r="Z99" s="1"/>
      <c r="AA99" s="1" t="s">
        <v>975</v>
      </c>
      <c r="AB99" s="1">
        <v>3246848573</v>
      </c>
    </row>
    <row r="100" spans="1:28" ht="13.8">
      <c r="A100" s="331">
        <v>36163</v>
      </c>
      <c r="B100" s="331">
        <v>25997</v>
      </c>
      <c r="C100" s="115">
        <v>46057</v>
      </c>
      <c r="D100" s="1" t="s">
        <v>1446</v>
      </c>
      <c r="E100" s="1" t="s">
        <v>1447</v>
      </c>
      <c r="F100" s="1" t="s">
        <v>2</v>
      </c>
      <c r="G100" s="1" t="s">
        <v>255</v>
      </c>
      <c r="H100" s="1" t="s">
        <v>256</v>
      </c>
      <c r="I100" s="1" t="s">
        <v>256</v>
      </c>
      <c r="J100" s="1" t="s">
        <v>210</v>
      </c>
      <c r="K100" s="1" t="s">
        <v>1066</v>
      </c>
      <c r="L100" s="2">
        <v>650000</v>
      </c>
      <c r="M100" s="2">
        <v>279800</v>
      </c>
      <c r="N100" s="2">
        <v>68135.570000000007</v>
      </c>
      <c r="O100" s="2">
        <v>13000</v>
      </c>
      <c r="P100" s="2">
        <v>0</v>
      </c>
      <c r="Q100" s="2">
        <v>9264.43</v>
      </c>
      <c r="R100" s="2">
        <v>0</v>
      </c>
      <c r="S100" s="2">
        <v>289064.43</v>
      </c>
      <c r="T100" s="3">
        <v>0.44471450769231002</v>
      </c>
      <c r="U100" s="1"/>
      <c r="V100" s="1" t="s">
        <v>1461</v>
      </c>
      <c r="W100" s="1" t="s">
        <v>202</v>
      </c>
      <c r="X100" s="1" t="s">
        <v>277</v>
      </c>
      <c r="Y100" s="1">
        <v>31</v>
      </c>
      <c r="Z100" s="1" t="s">
        <v>1462</v>
      </c>
      <c r="AA100" s="1" t="s">
        <v>1028</v>
      </c>
      <c r="AB100" s="1">
        <v>17869732559</v>
      </c>
    </row>
    <row r="101" spans="1:28" ht="13.8">
      <c r="A101" s="331">
        <v>36159</v>
      </c>
      <c r="B101" s="331">
        <v>25990</v>
      </c>
      <c r="C101" s="115">
        <v>46057</v>
      </c>
      <c r="D101" s="1" t="s">
        <v>1345</v>
      </c>
      <c r="E101" s="1" t="s">
        <v>1346</v>
      </c>
      <c r="F101" s="1" t="s">
        <v>2</v>
      </c>
      <c r="G101" s="1" t="s">
        <v>255</v>
      </c>
      <c r="H101" s="1" t="s">
        <v>256</v>
      </c>
      <c r="I101" s="1" t="s">
        <v>256</v>
      </c>
      <c r="J101" s="1" t="s">
        <v>210</v>
      </c>
      <c r="K101" s="1" t="s">
        <v>1066</v>
      </c>
      <c r="L101" s="2">
        <v>650000</v>
      </c>
      <c r="M101" s="2">
        <v>279800</v>
      </c>
      <c r="N101" s="2">
        <v>67284.679999999993</v>
      </c>
      <c r="O101" s="2">
        <v>13000</v>
      </c>
      <c r="P101" s="2">
        <v>0</v>
      </c>
      <c r="Q101" s="2">
        <v>10115.32</v>
      </c>
      <c r="R101" s="2">
        <v>0</v>
      </c>
      <c r="S101" s="2">
        <v>289915.32</v>
      </c>
      <c r="T101" s="3">
        <v>0.44602356923077002</v>
      </c>
      <c r="U101" s="1"/>
      <c r="V101" s="1" t="s">
        <v>1463</v>
      </c>
      <c r="W101" s="1" t="s">
        <v>202</v>
      </c>
      <c r="X101" s="1" t="s">
        <v>213</v>
      </c>
      <c r="Y101" s="1">
        <v>33</v>
      </c>
      <c r="Z101" s="1" t="s">
        <v>1464</v>
      </c>
      <c r="AA101" s="1" t="s">
        <v>975</v>
      </c>
      <c r="AB101" s="1">
        <v>3007923178</v>
      </c>
    </row>
    <row r="102" spans="1:28" ht="13.8">
      <c r="A102" s="331">
        <v>36166</v>
      </c>
      <c r="B102" s="331">
        <v>26001</v>
      </c>
      <c r="C102" s="115">
        <v>46058</v>
      </c>
      <c r="D102" s="1" t="s">
        <v>1327</v>
      </c>
      <c r="E102" s="1" t="s">
        <v>1328</v>
      </c>
      <c r="F102" s="1" t="s">
        <v>126</v>
      </c>
      <c r="G102" s="1">
        <v>890242</v>
      </c>
      <c r="H102" s="1" t="s">
        <v>331</v>
      </c>
      <c r="I102" s="1" t="s">
        <v>972</v>
      </c>
      <c r="J102" s="1" t="s">
        <v>223</v>
      </c>
      <c r="K102" s="1"/>
      <c r="L102" s="2">
        <v>250000</v>
      </c>
      <c r="M102" s="2">
        <v>122500</v>
      </c>
      <c r="N102" s="2">
        <v>0</v>
      </c>
      <c r="O102" s="2">
        <v>5000</v>
      </c>
      <c r="P102" s="2">
        <v>0</v>
      </c>
      <c r="Q102" s="2">
        <v>0</v>
      </c>
      <c r="R102" s="2">
        <v>0</v>
      </c>
      <c r="S102" s="2">
        <v>122500</v>
      </c>
      <c r="T102" s="3">
        <v>0.49</v>
      </c>
      <c r="U102" s="1"/>
      <c r="V102" s="1" t="s">
        <v>1465</v>
      </c>
      <c r="W102" s="1" t="s">
        <v>202</v>
      </c>
      <c r="X102" s="1" t="s">
        <v>277</v>
      </c>
      <c r="Y102" s="1">
        <v>31</v>
      </c>
      <c r="Z102" s="1" t="s">
        <v>1466</v>
      </c>
      <c r="AA102" s="1" t="s">
        <v>975</v>
      </c>
      <c r="AB102" s="1">
        <v>3122329568</v>
      </c>
    </row>
    <row r="103" spans="1:28" ht="13.8">
      <c r="A103" s="331">
        <v>36181</v>
      </c>
      <c r="B103" s="331">
        <v>26025</v>
      </c>
      <c r="C103" s="115">
        <v>46058</v>
      </c>
      <c r="D103" s="1" t="s">
        <v>1467</v>
      </c>
      <c r="E103" s="1" t="s">
        <v>1468</v>
      </c>
      <c r="F103" s="1" t="s">
        <v>2</v>
      </c>
      <c r="G103" s="1">
        <v>890242</v>
      </c>
      <c r="H103" s="1" t="s">
        <v>331</v>
      </c>
      <c r="I103" s="1" t="s">
        <v>972</v>
      </c>
      <c r="J103" s="1" t="s">
        <v>223</v>
      </c>
      <c r="K103" s="1"/>
      <c r="L103" s="2">
        <v>250000</v>
      </c>
      <c r="M103" s="2">
        <v>125000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125000</v>
      </c>
      <c r="T103" s="3">
        <v>0.5</v>
      </c>
      <c r="U103" s="1"/>
      <c r="V103" s="1" t="s">
        <v>1469</v>
      </c>
      <c r="W103" s="1" t="s">
        <v>202</v>
      </c>
      <c r="X103" s="1" t="s">
        <v>319</v>
      </c>
      <c r="Y103" s="1">
        <v>29</v>
      </c>
      <c r="Z103" s="1" t="s">
        <v>1470</v>
      </c>
      <c r="AA103" s="1" t="s">
        <v>975</v>
      </c>
      <c r="AB103" s="1">
        <v>3148316783</v>
      </c>
    </row>
    <row r="104" spans="1:28" ht="13.8">
      <c r="A104" s="331">
        <v>36182</v>
      </c>
      <c r="B104" s="331">
        <v>26026</v>
      </c>
      <c r="C104" s="115">
        <v>46058</v>
      </c>
      <c r="D104" s="1" t="s">
        <v>1471</v>
      </c>
      <c r="E104" s="1" t="s">
        <v>1472</v>
      </c>
      <c r="F104" s="1" t="s">
        <v>2</v>
      </c>
      <c r="G104" s="1">
        <v>890242</v>
      </c>
      <c r="H104" s="1" t="s">
        <v>331</v>
      </c>
      <c r="I104" s="1" t="s">
        <v>972</v>
      </c>
      <c r="J104" s="1" t="s">
        <v>223</v>
      </c>
      <c r="K104" s="1"/>
      <c r="L104" s="2">
        <v>250000</v>
      </c>
      <c r="M104" s="2">
        <v>125000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125000</v>
      </c>
      <c r="T104" s="3">
        <v>0.5</v>
      </c>
      <c r="U104" s="1"/>
      <c r="V104" s="1" t="s">
        <v>1473</v>
      </c>
      <c r="W104" s="1" t="s">
        <v>202</v>
      </c>
      <c r="X104" s="1" t="s">
        <v>319</v>
      </c>
      <c r="Y104" s="1">
        <v>16</v>
      </c>
      <c r="Z104" s="1" t="s">
        <v>1474</v>
      </c>
      <c r="AA104" s="1" t="s">
        <v>975</v>
      </c>
      <c r="AB104" s="1">
        <v>3148316783</v>
      </c>
    </row>
    <row r="105" spans="1:28" ht="13.8">
      <c r="A105" s="331">
        <v>31807</v>
      </c>
      <c r="B105" s="331">
        <v>25913</v>
      </c>
      <c r="C105" s="115">
        <v>46058</v>
      </c>
      <c r="D105" s="1" t="s">
        <v>917</v>
      </c>
      <c r="E105" s="1" t="s">
        <v>918</v>
      </c>
      <c r="F105" s="1" t="s">
        <v>127</v>
      </c>
      <c r="G105" s="1" t="s">
        <v>324</v>
      </c>
      <c r="H105" s="1" t="s">
        <v>325</v>
      </c>
      <c r="I105" s="1" t="s">
        <v>1097</v>
      </c>
      <c r="J105" s="1" t="s">
        <v>210</v>
      </c>
      <c r="K105" s="1" t="s">
        <v>1097</v>
      </c>
      <c r="L105" s="2">
        <v>650000</v>
      </c>
      <c r="M105" s="2">
        <v>318500</v>
      </c>
      <c r="N105" s="2">
        <v>0</v>
      </c>
      <c r="O105" s="2">
        <v>13000</v>
      </c>
      <c r="P105" s="2">
        <v>0</v>
      </c>
      <c r="Q105" s="2">
        <v>0</v>
      </c>
      <c r="R105" s="2">
        <v>0</v>
      </c>
      <c r="S105" s="2">
        <v>318500</v>
      </c>
      <c r="T105" s="3">
        <v>0.49</v>
      </c>
      <c r="U105" s="1"/>
      <c r="V105" s="1" t="s">
        <v>1475</v>
      </c>
      <c r="W105" s="1" t="s">
        <v>202</v>
      </c>
      <c r="X105" s="1" t="s">
        <v>319</v>
      </c>
      <c r="Y105" s="1">
        <v>28</v>
      </c>
      <c r="Z105" s="1" t="s">
        <v>1476</v>
      </c>
      <c r="AA105" s="1" t="s">
        <v>975</v>
      </c>
      <c r="AB105" s="1">
        <v>17606854445</v>
      </c>
    </row>
    <row r="106" spans="1:28" ht="13.8">
      <c r="A106" s="331">
        <v>36145</v>
      </c>
      <c r="B106" s="331">
        <v>25964</v>
      </c>
      <c r="C106" s="115">
        <v>46058</v>
      </c>
      <c r="D106" s="1" t="s">
        <v>1477</v>
      </c>
      <c r="E106" s="1" t="s">
        <v>1478</v>
      </c>
      <c r="F106" s="1" t="s">
        <v>126</v>
      </c>
      <c r="G106" s="1">
        <v>861411</v>
      </c>
      <c r="H106" s="1" t="s">
        <v>406</v>
      </c>
      <c r="I106" s="1" t="s">
        <v>1081</v>
      </c>
      <c r="J106" s="1" t="s">
        <v>210</v>
      </c>
      <c r="K106" s="1"/>
      <c r="L106" s="2">
        <v>972000</v>
      </c>
      <c r="M106" s="2">
        <v>306315</v>
      </c>
      <c r="N106" s="2">
        <v>222248.88</v>
      </c>
      <c r="O106" s="2">
        <v>19440</v>
      </c>
      <c r="P106" s="2">
        <v>0</v>
      </c>
      <c r="Q106" s="2">
        <v>117681.12</v>
      </c>
      <c r="R106" s="2">
        <v>0</v>
      </c>
      <c r="S106" s="2">
        <v>423996.12</v>
      </c>
      <c r="T106" s="3">
        <v>0.43620999999999999</v>
      </c>
      <c r="U106" s="1"/>
      <c r="V106" s="1" t="s">
        <v>1479</v>
      </c>
      <c r="W106" s="1" t="s">
        <v>202</v>
      </c>
      <c r="X106" s="1" t="s">
        <v>225</v>
      </c>
      <c r="Y106" s="1">
        <v>26</v>
      </c>
      <c r="Z106" s="1" t="s">
        <v>1480</v>
      </c>
      <c r="AA106" s="1" t="s">
        <v>975</v>
      </c>
      <c r="AB106" s="1" t="s">
        <v>1481</v>
      </c>
    </row>
    <row r="107" spans="1:28" ht="13.8">
      <c r="A107" s="331">
        <v>35118</v>
      </c>
      <c r="B107" s="331">
        <v>24224</v>
      </c>
      <c r="C107" s="115">
        <v>46058</v>
      </c>
      <c r="D107" s="1" t="s">
        <v>389</v>
      </c>
      <c r="E107" s="1" t="s">
        <v>390</v>
      </c>
      <c r="F107" s="1" t="s">
        <v>126</v>
      </c>
      <c r="G107" s="1" t="s">
        <v>391</v>
      </c>
      <c r="H107" s="1" t="s">
        <v>392</v>
      </c>
      <c r="I107" s="1" t="s">
        <v>1065</v>
      </c>
      <c r="J107" s="1" t="s">
        <v>210</v>
      </c>
      <c r="K107" s="1"/>
      <c r="L107" s="2">
        <v>500000</v>
      </c>
      <c r="M107" s="2">
        <v>213587.5</v>
      </c>
      <c r="N107" s="2">
        <v>50051.07</v>
      </c>
      <c r="O107" s="2">
        <v>0</v>
      </c>
      <c r="P107" s="2">
        <v>0</v>
      </c>
      <c r="Q107" s="2">
        <v>22773.93</v>
      </c>
      <c r="R107" s="2">
        <v>0</v>
      </c>
      <c r="S107" s="2">
        <v>236361.43</v>
      </c>
      <c r="T107" s="3">
        <v>0.47272286000000002</v>
      </c>
      <c r="U107" s="1"/>
      <c r="V107" s="1" t="s">
        <v>1482</v>
      </c>
      <c r="W107" s="1" t="s">
        <v>202</v>
      </c>
      <c r="X107" s="1" t="s">
        <v>225</v>
      </c>
      <c r="Y107" s="1">
        <v>36</v>
      </c>
      <c r="Z107" s="1" t="s">
        <v>1483</v>
      </c>
      <c r="AA107" s="1" t="s">
        <v>975</v>
      </c>
      <c r="AB107" s="1">
        <v>3152046847</v>
      </c>
    </row>
    <row r="108" spans="1:28" ht="13.8">
      <c r="A108" s="331">
        <v>35560</v>
      </c>
      <c r="B108" s="331">
        <v>24923</v>
      </c>
      <c r="C108" s="115">
        <v>46058</v>
      </c>
      <c r="D108" s="1" t="s">
        <v>518</v>
      </c>
      <c r="E108" s="1" t="s">
        <v>1484</v>
      </c>
      <c r="F108" s="1" t="s">
        <v>2</v>
      </c>
      <c r="G108" s="1">
        <v>890242</v>
      </c>
      <c r="H108" s="1" t="s">
        <v>331</v>
      </c>
      <c r="I108" s="1" t="s">
        <v>972</v>
      </c>
      <c r="J108" s="1" t="s">
        <v>223</v>
      </c>
      <c r="K108" s="1"/>
      <c r="L108" s="2">
        <v>250000</v>
      </c>
      <c r="M108" s="2">
        <v>122500</v>
      </c>
      <c r="N108" s="2">
        <v>0</v>
      </c>
      <c r="O108" s="2">
        <v>5000</v>
      </c>
      <c r="P108" s="2">
        <v>0</v>
      </c>
      <c r="Q108" s="2">
        <v>0</v>
      </c>
      <c r="R108" s="2">
        <v>0</v>
      </c>
      <c r="S108" s="2">
        <v>122500</v>
      </c>
      <c r="T108" s="3">
        <v>0.49</v>
      </c>
      <c r="U108" s="1"/>
      <c r="V108" s="1" t="s">
        <v>1485</v>
      </c>
      <c r="W108" s="1" t="s">
        <v>202</v>
      </c>
      <c r="X108" s="1" t="s">
        <v>225</v>
      </c>
      <c r="Y108" s="1">
        <v>32</v>
      </c>
      <c r="Z108" s="1" t="s">
        <v>1486</v>
      </c>
      <c r="AA108" s="1" t="s">
        <v>975</v>
      </c>
      <c r="AB108" s="1">
        <v>18093225659</v>
      </c>
    </row>
    <row r="109" spans="1:28" ht="13.8">
      <c r="A109" s="331">
        <v>35736</v>
      </c>
      <c r="B109" s="331">
        <v>25223</v>
      </c>
      <c r="C109" s="115">
        <v>46058</v>
      </c>
      <c r="D109" s="1" t="s">
        <v>603</v>
      </c>
      <c r="E109" s="1" t="s">
        <v>604</v>
      </c>
      <c r="F109" s="1" t="s">
        <v>127</v>
      </c>
      <c r="G109" s="1">
        <v>861426</v>
      </c>
      <c r="H109" s="1" t="s">
        <v>299</v>
      </c>
      <c r="I109" s="1" t="s">
        <v>1081</v>
      </c>
      <c r="J109" s="1" t="s">
        <v>210</v>
      </c>
      <c r="K109" s="1"/>
      <c r="L109" s="2">
        <v>1300000</v>
      </c>
      <c r="M109" s="2">
        <v>284600</v>
      </c>
      <c r="N109" s="2">
        <v>599010</v>
      </c>
      <c r="O109" s="2">
        <v>26000</v>
      </c>
      <c r="P109" s="2">
        <v>0</v>
      </c>
      <c r="Q109" s="2">
        <v>105790</v>
      </c>
      <c r="R109" s="2">
        <v>0</v>
      </c>
      <c r="S109" s="2">
        <v>390390</v>
      </c>
      <c r="T109" s="3">
        <v>0.30030000000000001</v>
      </c>
      <c r="U109" s="1"/>
      <c r="V109" s="1" t="s">
        <v>605</v>
      </c>
      <c r="W109" s="1" t="s">
        <v>203</v>
      </c>
      <c r="X109" s="1" t="s">
        <v>213</v>
      </c>
      <c r="Y109" s="1">
        <v>32</v>
      </c>
      <c r="Z109" s="1" t="s">
        <v>606</v>
      </c>
      <c r="AA109" s="1" t="s">
        <v>975</v>
      </c>
      <c r="AB109" s="1">
        <v>3145205835</v>
      </c>
    </row>
    <row r="110" spans="1:28" ht="13.8">
      <c r="A110" s="331">
        <v>36126</v>
      </c>
      <c r="B110" s="331">
        <v>25921</v>
      </c>
      <c r="C110" s="115">
        <v>46058</v>
      </c>
      <c r="D110" s="1" t="s">
        <v>925</v>
      </c>
      <c r="E110" s="1" t="s">
        <v>926</v>
      </c>
      <c r="F110" s="1" t="s">
        <v>127</v>
      </c>
      <c r="G110" s="1">
        <v>890303</v>
      </c>
      <c r="H110" s="1" t="s">
        <v>281</v>
      </c>
      <c r="I110" s="1" t="s">
        <v>983</v>
      </c>
      <c r="J110" s="1" t="s">
        <v>210</v>
      </c>
      <c r="K110" s="1"/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3">
        <v>0</v>
      </c>
      <c r="U110" s="1"/>
      <c r="V110" s="1"/>
      <c r="W110" s="1" t="s">
        <v>63</v>
      </c>
      <c r="X110" s="1" t="s">
        <v>213</v>
      </c>
      <c r="Y110" s="1">
        <v>22</v>
      </c>
      <c r="Z110" s="1"/>
      <c r="AA110" s="1" t="s">
        <v>975</v>
      </c>
      <c r="AB110" s="1">
        <v>3008831848</v>
      </c>
    </row>
    <row r="111" spans="1:28" ht="13.8">
      <c r="A111" s="331">
        <v>36021</v>
      </c>
      <c r="B111" s="331">
        <v>25747</v>
      </c>
      <c r="C111" s="115">
        <v>46058</v>
      </c>
      <c r="D111" s="1" t="s">
        <v>806</v>
      </c>
      <c r="E111" s="1" t="s">
        <v>807</v>
      </c>
      <c r="F111" s="1" t="s">
        <v>2</v>
      </c>
      <c r="G111" s="1">
        <v>890242</v>
      </c>
      <c r="H111" s="1" t="s">
        <v>331</v>
      </c>
      <c r="I111" s="1" t="s">
        <v>972</v>
      </c>
      <c r="J111" s="1" t="s">
        <v>223</v>
      </c>
      <c r="K111" s="1"/>
      <c r="L111" s="2">
        <v>250000</v>
      </c>
      <c r="M111" s="2">
        <v>122500</v>
      </c>
      <c r="N111" s="2">
        <v>0</v>
      </c>
      <c r="O111" s="2">
        <v>5000</v>
      </c>
      <c r="P111" s="2">
        <v>0</v>
      </c>
      <c r="Q111" s="2">
        <v>0</v>
      </c>
      <c r="R111" s="2">
        <v>0</v>
      </c>
      <c r="S111" s="2">
        <v>122500</v>
      </c>
      <c r="T111" s="3">
        <v>0.49</v>
      </c>
      <c r="U111" s="1"/>
      <c r="V111" s="1" t="s">
        <v>1487</v>
      </c>
      <c r="W111" s="1" t="s">
        <v>202</v>
      </c>
      <c r="X111" s="1" t="s">
        <v>225</v>
      </c>
      <c r="Y111" s="1">
        <v>17</v>
      </c>
      <c r="Z111" s="1" t="s">
        <v>1488</v>
      </c>
      <c r="AA111" s="1" t="s">
        <v>975</v>
      </c>
      <c r="AB111" s="1">
        <v>3105266639</v>
      </c>
    </row>
    <row r="112" spans="1:28" ht="13.8">
      <c r="A112" s="331">
        <v>36164</v>
      </c>
      <c r="B112" s="331">
        <v>25998</v>
      </c>
      <c r="C112" s="115">
        <v>46058</v>
      </c>
      <c r="D112" s="1" t="s">
        <v>1489</v>
      </c>
      <c r="E112" s="1" t="s">
        <v>1490</v>
      </c>
      <c r="F112" s="1" t="s">
        <v>3</v>
      </c>
      <c r="G112" s="1">
        <v>890242</v>
      </c>
      <c r="H112" s="1" t="s">
        <v>331</v>
      </c>
      <c r="I112" s="1" t="s">
        <v>972</v>
      </c>
      <c r="J112" s="1" t="s">
        <v>223</v>
      </c>
      <c r="K112" s="1"/>
      <c r="L112" s="2">
        <v>250000</v>
      </c>
      <c r="M112" s="2">
        <v>122500</v>
      </c>
      <c r="N112" s="2">
        <v>0</v>
      </c>
      <c r="O112" s="2">
        <v>5000</v>
      </c>
      <c r="P112" s="2">
        <v>0</v>
      </c>
      <c r="Q112" s="2">
        <v>0</v>
      </c>
      <c r="R112" s="2">
        <v>0</v>
      </c>
      <c r="S112" s="2">
        <v>122500</v>
      </c>
      <c r="T112" s="3">
        <v>0.49</v>
      </c>
      <c r="U112" s="1"/>
      <c r="V112" s="1" t="s">
        <v>1491</v>
      </c>
      <c r="W112" s="1" t="s">
        <v>202</v>
      </c>
      <c r="X112" s="1" t="s">
        <v>213</v>
      </c>
      <c r="Y112" s="1">
        <v>37</v>
      </c>
      <c r="Z112" s="1" t="s">
        <v>1492</v>
      </c>
      <c r="AA112" s="1" t="s">
        <v>975</v>
      </c>
      <c r="AB112" s="1">
        <v>3207258078</v>
      </c>
    </row>
    <row r="113" spans="1:28" ht="13.8">
      <c r="A113" s="331">
        <v>36191</v>
      </c>
      <c r="B113" s="331">
        <v>26047</v>
      </c>
      <c r="C113" s="115">
        <v>46058</v>
      </c>
      <c r="D113" s="1" t="s">
        <v>1493</v>
      </c>
      <c r="E113" s="1" t="s">
        <v>1494</v>
      </c>
      <c r="F113" s="1" t="s">
        <v>127</v>
      </c>
      <c r="G113" s="1">
        <v>890242</v>
      </c>
      <c r="H113" s="1" t="s">
        <v>331</v>
      </c>
      <c r="I113" s="1" t="s">
        <v>972</v>
      </c>
      <c r="J113" s="1" t="s">
        <v>223</v>
      </c>
      <c r="K113" s="1"/>
      <c r="L113" s="2">
        <v>250000</v>
      </c>
      <c r="M113" s="2">
        <v>125000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125000</v>
      </c>
      <c r="T113" s="3">
        <v>0.5</v>
      </c>
      <c r="U113" s="1"/>
      <c r="V113" s="1" t="s">
        <v>1495</v>
      </c>
      <c r="W113" s="1" t="s">
        <v>202</v>
      </c>
      <c r="X113" s="1" t="s">
        <v>213</v>
      </c>
      <c r="Y113" s="1">
        <v>57</v>
      </c>
      <c r="Z113" s="1" t="s">
        <v>1496</v>
      </c>
      <c r="AA113" s="1" t="s">
        <v>975</v>
      </c>
      <c r="AB113" s="1">
        <v>3128508139</v>
      </c>
    </row>
    <row r="114" spans="1:28" ht="13.8">
      <c r="A114" s="331">
        <v>36148</v>
      </c>
      <c r="B114" s="331">
        <v>25967</v>
      </c>
      <c r="C114" s="115">
        <v>46058</v>
      </c>
      <c r="D114" s="1" t="s">
        <v>1497</v>
      </c>
      <c r="E114" s="1" t="s">
        <v>1498</v>
      </c>
      <c r="F114" s="1" t="s">
        <v>3</v>
      </c>
      <c r="G114" s="1">
        <v>890242</v>
      </c>
      <c r="H114" s="1" t="s">
        <v>331</v>
      </c>
      <c r="I114" s="1" t="s">
        <v>972</v>
      </c>
      <c r="J114" s="1" t="s">
        <v>223</v>
      </c>
      <c r="K114" s="1"/>
      <c r="L114" s="2">
        <v>250000</v>
      </c>
      <c r="M114" s="2">
        <v>122500</v>
      </c>
      <c r="N114" s="2">
        <v>0</v>
      </c>
      <c r="O114" s="2">
        <v>5000</v>
      </c>
      <c r="P114" s="2">
        <v>0</v>
      </c>
      <c r="Q114" s="2">
        <v>0</v>
      </c>
      <c r="R114" s="2">
        <v>0</v>
      </c>
      <c r="S114" s="2">
        <v>122500</v>
      </c>
      <c r="T114" s="3">
        <v>0.49</v>
      </c>
      <c r="U114" s="1"/>
      <c r="V114" s="1" t="s">
        <v>1499</v>
      </c>
      <c r="W114" s="1" t="s">
        <v>202</v>
      </c>
      <c r="X114" s="1" t="s">
        <v>213</v>
      </c>
      <c r="Y114" s="1">
        <v>26</v>
      </c>
      <c r="Z114" s="1" t="s">
        <v>1500</v>
      </c>
      <c r="AA114" s="1" t="s">
        <v>975</v>
      </c>
      <c r="AB114" s="1">
        <v>3212356031</v>
      </c>
    </row>
    <row r="115" spans="1:28" ht="13.8">
      <c r="A115" s="331">
        <v>36156</v>
      </c>
      <c r="B115" s="331">
        <v>25987</v>
      </c>
      <c r="C115" s="115">
        <v>46058</v>
      </c>
      <c r="D115" s="1" t="s">
        <v>1501</v>
      </c>
      <c r="E115" s="1" t="s">
        <v>1502</v>
      </c>
      <c r="F115" s="1" t="s">
        <v>127</v>
      </c>
      <c r="G115" s="1">
        <v>890242</v>
      </c>
      <c r="H115" s="1" t="s">
        <v>331</v>
      </c>
      <c r="I115" s="1" t="s">
        <v>972</v>
      </c>
      <c r="J115" s="1" t="s">
        <v>223</v>
      </c>
      <c r="K115" s="1"/>
      <c r="L115" s="2">
        <v>250000</v>
      </c>
      <c r="M115" s="2">
        <v>122500</v>
      </c>
      <c r="N115" s="2">
        <v>0</v>
      </c>
      <c r="O115" s="2">
        <v>5000</v>
      </c>
      <c r="P115" s="2">
        <v>0</v>
      </c>
      <c r="Q115" s="2">
        <v>0</v>
      </c>
      <c r="R115" s="2">
        <v>0</v>
      </c>
      <c r="S115" s="2">
        <v>122500</v>
      </c>
      <c r="T115" s="3">
        <v>0.49</v>
      </c>
      <c r="U115" s="1"/>
      <c r="V115" s="1" t="s">
        <v>1503</v>
      </c>
      <c r="W115" s="1" t="s">
        <v>202</v>
      </c>
      <c r="X115" s="1" t="s">
        <v>225</v>
      </c>
      <c r="Y115" s="1">
        <v>62</v>
      </c>
      <c r="Z115" s="1" t="s">
        <v>1504</v>
      </c>
      <c r="AA115" s="1" t="s">
        <v>975</v>
      </c>
      <c r="AB115" s="1">
        <v>3148979926</v>
      </c>
    </row>
    <row r="116" spans="1:28" ht="13.8">
      <c r="A116" s="331">
        <v>36040</v>
      </c>
      <c r="B116" s="331">
        <v>26055</v>
      </c>
      <c r="C116" s="115">
        <v>46058</v>
      </c>
      <c r="D116" s="1" t="s">
        <v>1505</v>
      </c>
      <c r="E116" s="1" t="s">
        <v>1506</v>
      </c>
      <c r="F116" s="1" t="s">
        <v>107</v>
      </c>
      <c r="G116" s="1">
        <v>861414</v>
      </c>
      <c r="H116" s="1" t="s">
        <v>405</v>
      </c>
      <c r="I116" s="1" t="s">
        <v>1081</v>
      </c>
      <c r="J116" s="1" t="s">
        <v>210</v>
      </c>
      <c r="K116" s="1"/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3">
        <v>0</v>
      </c>
      <c r="U116" s="1"/>
      <c r="V116" s="1"/>
      <c r="W116" s="1" t="s">
        <v>63</v>
      </c>
      <c r="X116" s="1" t="s">
        <v>213</v>
      </c>
      <c r="Y116" s="1">
        <v>32</v>
      </c>
      <c r="Z116" s="1"/>
      <c r="AA116" s="1" t="s">
        <v>975</v>
      </c>
      <c r="AB116" s="1">
        <v>3004998924</v>
      </c>
    </row>
    <row r="117" spans="1:28" ht="13.8">
      <c r="A117" s="331">
        <v>36150</v>
      </c>
      <c r="B117" s="331">
        <v>25971</v>
      </c>
      <c r="C117" s="115">
        <v>46058</v>
      </c>
      <c r="D117" s="1" t="s">
        <v>1505</v>
      </c>
      <c r="E117" s="1" t="s">
        <v>1506</v>
      </c>
      <c r="F117" s="1" t="s">
        <v>107</v>
      </c>
      <c r="G117" s="1">
        <v>890303</v>
      </c>
      <c r="H117" s="1" t="s">
        <v>221</v>
      </c>
      <c r="I117" s="1" t="s">
        <v>1012</v>
      </c>
      <c r="J117" s="1" t="s">
        <v>223</v>
      </c>
      <c r="K117" s="1"/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3">
        <v>0</v>
      </c>
      <c r="U117" s="1"/>
      <c r="V117" s="1"/>
      <c r="W117" s="1" t="s">
        <v>63</v>
      </c>
      <c r="X117" s="1" t="s">
        <v>213</v>
      </c>
      <c r="Y117" s="1">
        <v>32</v>
      </c>
      <c r="Z117" s="1"/>
      <c r="AA117" s="1" t="s">
        <v>975</v>
      </c>
      <c r="AB117" s="1">
        <v>3004998924</v>
      </c>
    </row>
    <row r="118" spans="1:28" ht="13.8">
      <c r="A118" s="331">
        <v>36130</v>
      </c>
      <c r="B118" s="331">
        <v>25930</v>
      </c>
      <c r="C118" s="115">
        <v>46058</v>
      </c>
      <c r="D118" s="1" t="s">
        <v>943</v>
      </c>
      <c r="E118" s="1" t="s">
        <v>944</v>
      </c>
      <c r="F118" s="1" t="s">
        <v>2</v>
      </c>
      <c r="G118" s="1" t="s">
        <v>289</v>
      </c>
      <c r="H118" s="1" t="s">
        <v>290</v>
      </c>
      <c r="I118" s="1" t="s">
        <v>1065</v>
      </c>
      <c r="J118" s="1" t="s">
        <v>210</v>
      </c>
      <c r="K118" s="1"/>
      <c r="L118" s="2">
        <v>500000</v>
      </c>
      <c r="M118" s="2">
        <v>220725</v>
      </c>
      <c r="N118" s="2">
        <v>33367.379999999997</v>
      </c>
      <c r="O118" s="2">
        <v>10000</v>
      </c>
      <c r="P118" s="2">
        <v>0</v>
      </c>
      <c r="Q118" s="2">
        <v>15182.62</v>
      </c>
      <c r="R118" s="2">
        <v>0</v>
      </c>
      <c r="S118" s="2">
        <v>235907.62</v>
      </c>
      <c r="T118" s="3">
        <v>0.47181524000000002</v>
      </c>
      <c r="U118" s="1"/>
      <c r="V118" s="1" t="s">
        <v>1507</v>
      </c>
      <c r="W118" s="1" t="s">
        <v>202</v>
      </c>
      <c r="X118" s="1" t="s">
        <v>213</v>
      </c>
      <c r="Y118" s="1">
        <v>20</v>
      </c>
      <c r="Z118" s="1" t="s">
        <v>1508</v>
      </c>
      <c r="AA118" s="1" t="s">
        <v>975</v>
      </c>
      <c r="AB118" s="1">
        <v>3164700253</v>
      </c>
    </row>
    <row r="119" spans="1:28" ht="13.8">
      <c r="A119" s="331">
        <v>36144</v>
      </c>
      <c r="B119" s="331">
        <v>25963</v>
      </c>
      <c r="C119" s="115">
        <v>46058</v>
      </c>
      <c r="D119" s="1" t="s">
        <v>1378</v>
      </c>
      <c r="E119" s="1" t="s">
        <v>1379</v>
      </c>
      <c r="F119" s="1" t="s">
        <v>3</v>
      </c>
      <c r="G119" s="1">
        <v>890242</v>
      </c>
      <c r="H119" s="1" t="s">
        <v>331</v>
      </c>
      <c r="I119" s="1" t="s">
        <v>972</v>
      </c>
      <c r="J119" s="1" t="s">
        <v>223</v>
      </c>
      <c r="K119" s="1"/>
      <c r="L119" s="2">
        <v>250000</v>
      </c>
      <c r="M119" s="2">
        <v>122500</v>
      </c>
      <c r="N119" s="2">
        <v>0</v>
      </c>
      <c r="O119" s="2">
        <v>5000</v>
      </c>
      <c r="P119" s="2">
        <v>0</v>
      </c>
      <c r="Q119" s="2">
        <v>0</v>
      </c>
      <c r="R119" s="2">
        <v>0</v>
      </c>
      <c r="S119" s="2">
        <v>122500</v>
      </c>
      <c r="T119" s="3">
        <v>0.49</v>
      </c>
      <c r="U119" s="1"/>
      <c r="V119" s="1" t="s">
        <v>1509</v>
      </c>
      <c r="W119" s="1" t="s">
        <v>202</v>
      </c>
      <c r="X119" s="1" t="s">
        <v>277</v>
      </c>
      <c r="Y119" s="1">
        <v>18</v>
      </c>
      <c r="Z119" s="1" t="s">
        <v>1510</v>
      </c>
      <c r="AA119" s="1" t="s">
        <v>975</v>
      </c>
      <c r="AB119" s="1">
        <v>3153235080</v>
      </c>
    </row>
    <row r="120" spans="1:28" ht="13.8">
      <c r="A120" s="332">
        <v>35909</v>
      </c>
      <c r="B120" s="332">
        <v>25536</v>
      </c>
      <c r="C120" s="38">
        <v>46058</v>
      </c>
      <c r="D120" s="4" t="s">
        <v>729</v>
      </c>
      <c r="E120" s="4" t="s">
        <v>1511</v>
      </c>
      <c r="F120" s="4" t="s">
        <v>107</v>
      </c>
      <c r="G120" s="4" t="s">
        <v>362</v>
      </c>
      <c r="H120" s="4" t="s">
        <v>363</v>
      </c>
      <c r="I120" s="4" t="s">
        <v>1062</v>
      </c>
      <c r="J120" s="4" t="s">
        <v>210</v>
      </c>
      <c r="K120" s="4"/>
      <c r="L120" s="5">
        <v>1500000</v>
      </c>
      <c r="M120" s="5">
        <v>648300</v>
      </c>
      <c r="N120" s="5">
        <v>80270.34</v>
      </c>
      <c r="O120" s="5">
        <v>30000</v>
      </c>
      <c r="P120" s="5">
        <v>0</v>
      </c>
      <c r="Q120" s="5">
        <v>93129.66</v>
      </c>
      <c r="R120" s="5">
        <v>0</v>
      </c>
      <c r="S120" s="5">
        <v>741429.66</v>
      </c>
      <c r="T120" s="6" t="s">
        <v>224</v>
      </c>
      <c r="U120" s="1"/>
      <c r="V120" s="1" t="s">
        <v>1512</v>
      </c>
      <c r="W120" s="1" t="s">
        <v>202</v>
      </c>
      <c r="X120" s="1" t="s">
        <v>248</v>
      </c>
      <c r="Y120" s="1">
        <v>119</v>
      </c>
      <c r="Z120" s="1" t="s">
        <v>1513</v>
      </c>
      <c r="AA120" s="1" t="s">
        <v>975</v>
      </c>
      <c r="AB120" s="1">
        <v>3137083818</v>
      </c>
    </row>
    <row r="121" spans="1:28" ht="13.8">
      <c r="A121" s="331">
        <v>36127</v>
      </c>
      <c r="B121" s="331">
        <v>25922</v>
      </c>
      <c r="C121" s="115">
        <v>46058</v>
      </c>
      <c r="D121" s="1" t="s">
        <v>927</v>
      </c>
      <c r="E121" s="1" t="s">
        <v>928</v>
      </c>
      <c r="F121" s="1" t="s">
        <v>127</v>
      </c>
      <c r="G121" s="1">
        <v>890242</v>
      </c>
      <c r="H121" s="1" t="s">
        <v>331</v>
      </c>
      <c r="I121" s="1" t="s">
        <v>972</v>
      </c>
      <c r="J121" s="1" t="s">
        <v>223</v>
      </c>
      <c r="K121" s="1"/>
      <c r="L121" s="2">
        <v>250000</v>
      </c>
      <c r="M121" s="2">
        <v>125000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125000</v>
      </c>
      <c r="T121" s="3">
        <v>0.5</v>
      </c>
      <c r="U121" s="1"/>
      <c r="V121" s="1" t="s">
        <v>1514</v>
      </c>
      <c r="W121" s="1" t="s">
        <v>202</v>
      </c>
      <c r="X121" s="1" t="s">
        <v>277</v>
      </c>
      <c r="Y121" s="1">
        <v>20</v>
      </c>
      <c r="Z121" s="1" t="s">
        <v>1515</v>
      </c>
      <c r="AA121" s="1" t="s">
        <v>975</v>
      </c>
      <c r="AB121" s="1" t="s">
        <v>1516</v>
      </c>
    </row>
    <row r="122" spans="1:28" ht="13.8">
      <c r="A122" s="331">
        <v>33334</v>
      </c>
      <c r="B122" s="331">
        <v>24758</v>
      </c>
      <c r="C122" s="115">
        <v>46058</v>
      </c>
      <c r="D122" s="1" t="s">
        <v>475</v>
      </c>
      <c r="E122" s="1" t="s">
        <v>476</v>
      </c>
      <c r="F122" s="1" t="s">
        <v>127</v>
      </c>
      <c r="G122" s="1" t="s">
        <v>324</v>
      </c>
      <c r="H122" s="1" t="s">
        <v>325</v>
      </c>
      <c r="I122" s="1" t="s">
        <v>1097</v>
      </c>
      <c r="J122" s="1" t="s">
        <v>210</v>
      </c>
      <c r="K122" s="1" t="s">
        <v>1097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3">
        <v>0</v>
      </c>
      <c r="U122" s="1"/>
      <c r="V122" s="1"/>
      <c r="W122" s="1" t="s">
        <v>63</v>
      </c>
      <c r="X122" s="1" t="s">
        <v>225</v>
      </c>
      <c r="Y122" s="1">
        <v>52</v>
      </c>
      <c r="Z122" s="1"/>
      <c r="AA122" s="1" t="s">
        <v>975</v>
      </c>
      <c r="AB122" s="1">
        <v>3028347455</v>
      </c>
    </row>
    <row r="123" spans="1:28" ht="13.8">
      <c r="A123" s="331">
        <v>36108</v>
      </c>
      <c r="B123" s="331">
        <v>25901</v>
      </c>
      <c r="C123" s="115">
        <v>46058</v>
      </c>
      <c r="D123" s="1" t="s">
        <v>907</v>
      </c>
      <c r="E123" s="1" t="s">
        <v>908</v>
      </c>
      <c r="F123" s="1" t="s">
        <v>3</v>
      </c>
      <c r="G123" s="1">
        <v>890242</v>
      </c>
      <c r="H123" s="1" t="s">
        <v>331</v>
      </c>
      <c r="I123" s="1" t="s">
        <v>972</v>
      </c>
      <c r="J123" s="1" t="s">
        <v>223</v>
      </c>
      <c r="K123" s="1"/>
      <c r="L123" s="2">
        <v>250000</v>
      </c>
      <c r="M123" s="2">
        <v>122500</v>
      </c>
      <c r="N123" s="2">
        <v>0</v>
      </c>
      <c r="O123" s="2">
        <v>5000</v>
      </c>
      <c r="P123" s="2">
        <v>0</v>
      </c>
      <c r="Q123" s="2">
        <v>0</v>
      </c>
      <c r="R123" s="2">
        <v>0</v>
      </c>
      <c r="S123" s="2">
        <v>122500</v>
      </c>
      <c r="T123" s="3">
        <v>0.49</v>
      </c>
      <c r="U123" s="1"/>
      <c r="V123" s="1" t="s">
        <v>1517</v>
      </c>
      <c r="W123" s="1" t="s">
        <v>202</v>
      </c>
      <c r="X123" s="1" t="s">
        <v>213</v>
      </c>
      <c r="Y123" s="1">
        <v>16</v>
      </c>
      <c r="Z123" s="1" t="s">
        <v>1518</v>
      </c>
      <c r="AA123" s="1" t="s">
        <v>975</v>
      </c>
      <c r="AB123" s="1">
        <v>3245763113</v>
      </c>
    </row>
    <row r="124" spans="1:28" ht="13.8">
      <c r="A124" s="331">
        <v>33334</v>
      </c>
      <c r="B124" s="331">
        <v>24759</v>
      </c>
      <c r="C124" s="115">
        <v>46058</v>
      </c>
      <c r="D124" s="1" t="s">
        <v>475</v>
      </c>
      <c r="E124" s="1" t="s">
        <v>476</v>
      </c>
      <c r="F124" s="1" t="s">
        <v>127</v>
      </c>
      <c r="G124" s="1" t="s">
        <v>207</v>
      </c>
      <c r="H124" s="1" t="s">
        <v>208</v>
      </c>
      <c r="I124" s="1" t="s">
        <v>1033</v>
      </c>
      <c r="J124" s="1" t="s">
        <v>210</v>
      </c>
      <c r="K124" s="1" t="s">
        <v>1097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3">
        <v>0</v>
      </c>
      <c r="U124" s="1"/>
      <c r="V124" s="1"/>
      <c r="W124" s="1" t="s">
        <v>63</v>
      </c>
      <c r="X124" s="1" t="s">
        <v>225</v>
      </c>
      <c r="Y124" s="1">
        <v>52</v>
      </c>
      <c r="Z124" s="1"/>
      <c r="AA124" s="1" t="s">
        <v>975</v>
      </c>
      <c r="AB124" s="1">
        <v>3028347455</v>
      </c>
    </row>
    <row r="125" spans="1:28" ht="13.8">
      <c r="A125" s="331">
        <v>35311</v>
      </c>
      <c r="B125" s="331">
        <v>24527</v>
      </c>
      <c r="C125" s="115">
        <v>46058</v>
      </c>
      <c r="D125" s="1" t="s">
        <v>435</v>
      </c>
      <c r="E125" s="1" t="s">
        <v>436</v>
      </c>
      <c r="F125" s="1" t="s">
        <v>127</v>
      </c>
      <c r="G125" s="1">
        <v>890303</v>
      </c>
      <c r="H125" s="1" t="s">
        <v>221</v>
      </c>
      <c r="I125" s="1" t="s">
        <v>1012</v>
      </c>
      <c r="J125" s="1" t="s">
        <v>223</v>
      </c>
      <c r="K125" s="1"/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3">
        <v>0</v>
      </c>
      <c r="U125" s="1"/>
      <c r="V125" s="1"/>
      <c r="W125" s="1" t="s">
        <v>63</v>
      </c>
      <c r="X125" s="1" t="s">
        <v>225</v>
      </c>
      <c r="Y125" s="1">
        <v>52</v>
      </c>
      <c r="Z125" s="1"/>
      <c r="AA125" s="1" t="s">
        <v>975</v>
      </c>
      <c r="AB125" s="1">
        <v>3205601044</v>
      </c>
    </row>
    <row r="126" spans="1:28" ht="13.8">
      <c r="A126" s="331">
        <v>33334</v>
      </c>
      <c r="B126" s="331">
        <v>26065</v>
      </c>
      <c r="C126" s="115">
        <v>46058</v>
      </c>
      <c r="D126" s="1" t="s">
        <v>475</v>
      </c>
      <c r="E126" s="1" t="s">
        <v>476</v>
      </c>
      <c r="F126" s="1" t="s">
        <v>127</v>
      </c>
      <c r="G126" s="1">
        <v>861426</v>
      </c>
      <c r="H126" s="1" t="s">
        <v>517</v>
      </c>
      <c r="I126" s="1" t="s">
        <v>1081</v>
      </c>
      <c r="J126" s="1" t="s">
        <v>210</v>
      </c>
      <c r="K126" s="1"/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3">
        <v>0</v>
      </c>
      <c r="U126" s="1"/>
      <c r="V126" s="1"/>
      <c r="W126" s="1" t="s">
        <v>63</v>
      </c>
      <c r="X126" s="1" t="s">
        <v>225</v>
      </c>
      <c r="Y126" s="1">
        <v>52</v>
      </c>
      <c r="Z126" s="1"/>
      <c r="AA126" s="1" t="s">
        <v>975</v>
      </c>
      <c r="AB126" s="1">
        <v>3028347455</v>
      </c>
    </row>
    <row r="127" spans="1:28" ht="13.8">
      <c r="A127" s="331">
        <v>31916</v>
      </c>
      <c r="B127" s="331">
        <v>25832</v>
      </c>
      <c r="C127" s="115">
        <v>46058</v>
      </c>
      <c r="D127" s="1" t="s">
        <v>856</v>
      </c>
      <c r="E127" s="1" t="s">
        <v>857</v>
      </c>
      <c r="F127" s="1" t="s">
        <v>3</v>
      </c>
      <c r="G127" s="1" t="s">
        <v>324</v>
      </c>
      <c r="H127" s="1" t="s">
        <v>325</v>
      </c>
      <c r="I127" s="1" t="s">
        <v>1097</v>
      </c>
      <c r="J127" s="1" t="s">
        <v>210</v>
      </c>
      <c r="K127" s="1" t="s">
        <v>1097</v>
      </c>
      <c r="L127" s="2">
        <v>650000</v>
      </c>
      <c r="M127" s="2">
        <v>318500</v>
      </c>
      <c r="N127" s="2">
        <v>0</v>
      </c>
      <c r="O127" s="2">
        <v>13000</v>
      </c>
      <c r="P127" s="2">
        <v>0</v>
      </c>
      <c r="Q127" s="2">
        <v>0</v>
      </c>
      <c r="R127" s="2">
        <v>0</v>
      </c>
      <c r="S127" s="2">
        <v>318500</v>
      </c>
      <c r="T127" s="3">
        <v>0.49</v>
      </c>
      <c r="U127" s="1"/>
      <c r="V127" s="1" t="s">
        <v>1519</v>
      </c>
      <c r="W127" s="1" t="s">
        <v>202</v>
      </c>
      <c r="X127" s="1" t="s">
        <v>213</v>
      </c>
      <c r="Y127" s="1">
        <v>14</v>
      </c>
      <c r="Z127" s="1" t="s">
        <v>1520</v>
      </c>
      <c r="AA127" s="1" t="s">
        <v>975</v>
      </c>
      <c r="AB127" s="1">
        <v>3147846647</v>
      </c>
    </row>
    <row r="128" spans="1:28" ht="13.8">
      <c r="A128" s="331">
        <v>35223</v>
      </c>
      <c r="B128" s="331">
        <v>26073</v>
      </c>
      <c r="C128" s="115">
        <v>46058</v>
      </c>
      <c r="D128" s="1" t="s">
        <v>435</v>
      </c>
      <c r="E128" s="1" t="s">
        <v>436</v>
      </c>
      <c r="F128" s="1" t="s">
        <v>127</v>
      </c>
      <c r="G128" s="1" t="s">
        <v>451</v>
      </c>
      <c r="H128" s="1" t="s">
        <v>452</v>
      </c>
      <c r="I128" s="1" t="s">
        <v>2566</v>
      </c>
      <c r="J128" s="1" t="s">
        <v>210</v>
      </c>
      <c r="K128" s="1" t="s">
        <v>1048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3">
        <v>0</v>
      </c>
      <c r="U128" s="1"/>
      <c r="V128" s="1"/>
      <c r="W128" s="1" t="s">
        <v>63</v>
      </c>
      <c r="X128" s="1" t="s">
        <v>225</v>
      </c>
      <c r="Y128" s="1">
        <v>52</v>
      </c>
      <c r="Z128" s="1"/>
      <c r="AA128" s="1" t="s">
        <v>975</v>
      </c>
      <c r="AB128" s="1">
        <v>3205601044</v>
      </c>
    </row>
    <row r="129" spans="1:28" ht="13.8">
      <c r="A129" s="331">
        <v>35223</v>
      </c>
      <c r="B129" s="331">
        <v>26075</v>
      </c>
      <c r="C129" s="115">
        <v>46058</v>
      </c>
      <c r="D129" s="1" t="s">
        <v>435</v>
      </c>
      <c r="E129" s="1" t="s">
        <v>436</v>
      </c>
      <c r="F129" s="1" t="s">
        <v>127</v>
      </c>
      <c r="G129" s="1">
        <v>860101</v>
      </c>
      <c r="H129" s="1" t="s">
        <v>982</v>
      </c>
      <c r="I129" s="1" t="s">
        <v>983</v>
      </c>
      <c r="J129" s="1" t="s">
        <v>210</v>
      </c>
      <c r="K129" s="1"/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3">
        <v>0</v>
      </c>
      <c r="U129" s="1"/>
      <c r="V129" s="1"/>
      <c r="W129" s="1" t="s">
        <v>63</v>
      </c>
      <c r="X129" s="1" t="s">
        <v>225</v>
      </c>
      <c r="Y129" s="1">
        <v>52</v>
      </c>
      <c r="Z129" s="1"/>
      <c r="AA129" s="1" t="s">
        <v>975</v>
      </c>
      <c r="AB129" s="1">
        <v>3205601044</v>
      </c>
    </row>
    <row r="130" spans="1:28" ht="13.8">
      <c r="A130" s="331">
        <v>35822</v>
      </c>
      <c r="B130" s="331">
        <v>25396</v>
      </c>
      <c r="C130" s="115">
        <v>46058</v>
      </c>
      <c r="D130" s="1" t="s">
        <v>692</v>
      </c>
      <c r="E130" s="1" t="s">
        <v>693</v>
      </c>
      <c r="F130" s="1" t="s">
        <v>3</v>
      </c>
      <c r="G130" s="1" t="s">
        <v>496</v>
      </c>
      <c r="H130" s="1" t="s">
        <v>497</v>
      </c>
      <c r="I130" s="1" t="s">
        <v>983</v>
      </c>
      <c r="J130" s="1" t="s">
        <v>210</v>
      </c>
      <c r="K130" s="1" t="s">
        <v>1048</v>
      </c>
      <c r="L130" s="2">
        <v>600000</v>
      </c>
      <c r="M130" s="2">
        <v>294000</v>
      </c>
      <c r="N130" s="2">
        <v>0</v>
      </c>
      <c r="O130" s="2">
        <v>12000</v>
      </c>
      <c r="P130" s="2">
        <v>0</v>
      </c>
      <c r="Q130" s="2">
        <v>0</v>
      </c>
      <c r="R130" s="2">
        <v>0</v>
      </c>
      <c r="S130" s="2">
        <v>294000</v>
      </c>
      <c r="T130" s="3">
        <v>0.49</v>
      </c>
      <c r="U130" s="1"/>
      <c r="V130" s="1" t="s">
        <v>1521</v>
      </c>
      <c r="W130" s="1" t="s">
        <v>202</v>
      </c>
      <c r="X130" s="1" t="s">
        <v>225</v>
      </c>
      <c r="Y130" s="1">
        <v>53</v>
      </c>
      <c r="Z130" s="1" t="s">
        <v>1522</v>
      </c>
      <c r="AA130" s="1" t="s">
        <v>975</v>
      </c>
      <c r="AB130" s="1" t="s">
        <v>1523</v>
      </c>
    </row>
    <row r="131" spans="1:28" ht="13.8">
      <c r="A131" s="331">
        <v>36173</v>
      </c>
      <c r="B131" s="331">
        <v>26013</v>
      </c>
      <c r="C131" s="115">
        <v>46058</v>
      </c>
      <c r="D131" s="1" t="s">
        <v>1524</v>
      </c>
      <c r="E131" s="1" t="s">
        <v>1525</v>
      </c>
      <c r="F131" s="1" t="s">
        <v>2</v>
      </c>
      <c r="G131" s="1">
        <v>861411</v>
      </c>
      <c r="H131" s="1" t="s">
        <v>406</v>
      </c>
      <c r="I131" s="1" t="s">
        <v>1081</v>
      </c>
      <c r="J131" s="1" t="s">
        <v>210</v>
      </c>
      <c r="K131" s="1"/>
      <c r="L131" s="2">
        <v>1150000</v>
      </c>
      <c r="M131" s="2">
        <v>406125</v>
      </c>
      <c r="N131" s="2">
        <v>205786</v>
      </c>
      <c r="O131" s="2">
        <v>23000</v>
      </c>
      <c r="P131" s="2">
        <v>0</v>
      </c>
      <c r="Q131" s="2">
        <v>108964</v>
      </c>
      <c r="R131" s="2">
        <v>0</v>
      </c>
      <c r="S131" s="2">
        <v>515089</v>
      </c>
      <c r="T131" s="3">
        <v>0.44790347826087001</v>
      </c>
      <c r="U131" s="1"/>
      <c r="V131" s="1" t="s">
        <v>1526</v>
      </c>
      <c r="W131" s="1" t="s">
        <v>202</v>
      </c>
      <c r="X131" s="1" t="s">
        <v>225</v>
      </c>
      <c r="Y131" s="1">
        <v>73</v>
      </c>
      <c r="Z131" s="1" t="s">
        <v>1527</v>
      </c>
      <c r="AA131" s="1" t="s">
        <v>975</v>
      </c>
      <c r="AB131" s="1" t="s">
        <v>1528</v>
      </c>
    </row>
    <row r="132" spans="1:28" ht="13.8">
      <c r="A132" s="331">
        <v>25941</v>
      </c>
      <c r="B132" s="331">
        <v>26011</v>
      </c>
      <c r="C132" s="115">
        <v>46058</v>
      </c>
      <c r="D132" s="1" t="s">
        <v>1349</v>
      </c>
      <c r="E132" s="1" t="s">
        <v>1350</v>
      </c>
      <c r="F132" s="1" t="s">
        <v>2</v>
      </c>
      <c r="G132" s="1">
        <v>861411</v>
      </c>
      <c r="H132" s="1" t="s">
        <v>406</v>
      </c>
      <c r="I132" s="1" t="s">
        <v>1081</v>
      </c>
      <c r="J132" s="1" t="s">
        <v>210</v>
      </c>
      <c r="K132" s="1"/>
      <c r="L132" s="2">
        <v>1150000</v>
      </c>
      <c r="M132" s="2">
        <v>406125</v>
      </c>
      <c r="N132" s="2">
        <v>205786</v>
      </c>
      <c r="O132" s="2">
        <v>23000</v>
      </c>
      <c r="P132" s="2">
        <v>0</v>
      </c>
      <c r="Q132" s="2">
        <v>108964</v>
      </c>
      <c r="R132" s="2">
        <v>0</v>
      </c>
      <c r="S132" s="2">
        <v>515089</v>
      </c>
      <c r="T132" s="3">
        <v>0.44790347826087001</v>
      </c>
      <c r="U132" s="1"/>
      <c r="V132" s="1" t="s">
        <v>1529</v>
      </c>
      <c r="W132" s="1" t="s">
        <v>202</v>
      </c>
      <c r="X132" s="1" t="s">
        <v>319</v>
      </c>
      <c r="Y132" s="1">
        <v>44</v>
      </c>
      <c r="Z132" s="1" t="s">
        <v>1530</v>
      </c>
      <c r="AA132" s="1" t="s">
        <v>975</v>
      </c>
      <c r="AB132" s="1">
        <v>3117618480</v>
      </c>
    </row>
    <row r="133" spans="1:28" ht="13.8">
      <c r="A133" s="331">
        <v>32829</v>
      </c>
      <c r="B133" s="331">
        <v>22944</v>
      </c>
      <c r="C133" s="115">
        <v>46058</v>
      </c>
      <c r="D133" s="1" t="s">
        <v>305</v>
      </c>
      <c r="E133" s="1" t="s">
        <v>306</v>
      </c>
      <c r="F133" s="1" t="s">
        <v>2</v>
      </c>
      <c r="G133" s="1">
        <v>861401</v>
      </c>
      <c r="H133" s="1" t="s">
        <v>307</v>
      </c>
      <c r="I133" s="1" t="s">
        <v>983</v>
      </c>
      <c r="J133" s="1" t="s">
        <v>210</v>
      </c>
      <c r="K133" s="1"/>
      <c r="L133" s="2">
        <v>250000</v>
      </c>
      <c r="M133" s="2">
        <v>122500</v>
      </c>
      <c r="N133" s="2">
        <v>0</v>
      </c>
      <c r="O133" s="2">
        <v>5000</v>
      </c>
      <c r="P133" s="2">
        <v>0</v>
      </c>
      <c r="Q133" s="2">
        <v>0</v>
      </c>
      <c r="R133" s="2">
        <v>0</v>
      </c>
      <c r="S133" s="2">
        <v>122500</v>
      </c>
      <c r="T133" s="3">
        <v>0.49</v>
      </c>
      <c r="U133" s="1"/>
      <c r="V133" s="1" t="s">
        <v>1531</v>
      </c>
      <c r="W133" s="1" t="s">
        <v>202</v>
      </c>
      <c r="X133" s="1" t="s">
        <v>213</v>
      </c>
      <c r="Y133" s="1">
        <v>38</v>
      </c>
      <c r="Z133" s="1" t="s">
        <v>1532</v>
      </c>
      <c r="AA133" s="1" t="s">
        <v>975</v>
      </c>
      <c r="AB133" s="1">
        <v>3224944146</v>
      </c>
    </row>
    <row r="134" spans="1:28" ht="13.8">
      <c r="A134" s="331">
        <v>36186</v>
      </c>
      <c r="B134" s="331">
        <v>26033</v>
      </c>
      <c r="C134" s="115">
        <v>46058</v>
      </c>
      <c r="D134" s="1" t="s">
        <v>1533</v>
      </c>
      <c r="E134" s="1" t="s">
        <v>1534</v>
      </c>
      <c r="F134" s="1" t="s">
        <v>2</v>
      </c>
      <c r="G134" s="1" t="s">
        <v>1535</v>
      </c>
      <c r="H134" s="1" t="s">
        <v>1536</v>
      </c>
      <c r="I134" s="1" t="s">
        <v>1033</v>
      </c>
      <c r="J134" s="1" t="s">
        <v>210</v>
      </c>
      <c r="K134" s="1" t="s">
        <v>1033</v>
      </c>
      <c r="L134" s="2">
        <v>900000</v>
      </c>
      <c r="M134" s="2">
        <v>441000</v>
      </c>
      <c r="N134" s="2">
        <v>0</v>
      </c>
      <c r="O134" s="2">
        <v>18000</v>
      </c>
      <c r="P134" s="2">
        <v>0</v>
      </c>
      <c r="Q134" s="2">
        <v>0</v>
      </c>
      <c r="R134" s="2">
        <v>0</v>
      </c>
      <c r="S134" s="2">
        <v>441000</v>
      </c>
      <c r="T134" s="3">
        <v>0.49</v>
      </c>
      <c r="U134" s="1"/>
      <c r="V134" s="1" t="s">
        <v>1537</v>
      </c>
      <c r="W134" s="1" t="s">
        <v>202</v>
      </c>
      <c r="X134" s="1" t="s">
        <v>277</v>
      </c>
      <c r="Y134" s="1">
        <v>30</v>
      </c>
      <c r="Z134" s="1" t="s">
        <v>1538</v>
      </c>
      <c r="AA134" s="1" t="s">
        <v>975</v>
      </c>
      <c r="AB134" s="1">
        <v>3105246330</v>
      </c>
    </row>
    <row r="135" spans="1:28" ht="13.8">
      <c r="A135" s="331">
        <v>33377</v>
      </c>
      <c r="B135" s="331">
        <v>26046</v>
      </c>
      <c r="C135" s="115">
        <v>46058</v>
      </c>
      <c r="D135" s="1" t="s">
        <v>1539</v>
      </c>
      <c r="E135" s="1" t="s">
        <v>1540</v>
      </c>
      <c r="F135" s="1" t="s">
        <v>4</v>
      </c>
      <c r="G135" s="1" t="s">
        <v>324</v>
      </c>
      <c r="H135" s="1" t="s">
        <v>325</v>
      </c>
      <c r="I135" s="1" t="s">
        <v>1097</v>
      </c>
      <c r="J135" s="1" t="s">
        <v>210</v>
      </c>
      <c r="K135" s="1" t="s">
        <v>1097</v>
      </c>
      <c r="L135" s="2">
        <v>50000</v>
      </c>
      <c r="M135" s="2">
        <v>25000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25000</v>
      </c>
      <c r="T135" s="3">
        <v>0.5</v>
      </c>
      <c r="U135" s="1"/>
      <c r="V135" s="1" t="s">
        <v>1541</v>
      </c>
      <c r="W135" s="1" t="s">
        <v>202</v>
      </c>
      <c r="X135" s="1" t="s">
        <v>225</v>
      </c>
      <c r="Y135" s="1">
        <v>35</v>
      </c>
      <c r="Z135" s="1" t="s">
        <v>1542</v>
      </c>
      <c r="AA135" s="1" t="s">
        <v>975</v>
      </c>
      <c r="AB135" s="1">
        <v>3122629744</v>
      </c>
    </row>
    <row r="136" spans="1:28" ht="13.8">
      <c r="A136" s="331">
        <v>21426</v>
      </c>
      <c r="B136" s="331">
        <v>26000</v>
      </c>
      <c r="C136" s="115">
        <v>46058</v>
      </c>
      <c r="D136" s="1" t="s">
        <v>1543</v>
      </c>
      <c r="E136" s="1" t="s">
        <v>1544</v>
      </c>
      <c r="F136" s="1" t="s">
        <v>4</v>
      </c>
      <c r="G136" s="1" t="s">
        <v>324</v>
      </c>
      <c r="H136" s="1" t="s">
        <v>325</v>
      </c>
      <c r="I136" s="1" t="s">
        <v>1097</v>
      </c>
      <c r="J136" s="1" t="s">
        <v>210</v>
      </c>
      <c r="K136" s="1" t="s">
        <v>1097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3">
        <v>0</v>
      </c>
      <c r="U136" s="1"/>
      <c r="V136" s="1"/>
      <c r="W136" s="1" t="s">
        <v>63</v>
      </c>
      <c r="X136" s="1" t="s">
        <v>225</v>
      </c>
      <c r="Y136" s="1">
        <v>33</v>
      </c>
      <c r="Z136" s="1"/>
      <c r="AA136" s="1" t="s">
        <v>975</v>
      </c>
      <c r="AB136" s="1">
        <v>0</v>
      </c>
    </row>
    <row r="137" spans="1:28" ht="13.8">
      <c r="A137" s="331">
        <v>36183</v>
      </c>
      <c r="B137" s="331">
        <v>26056</v>
      </c>
      <c r="C137" s="115">
        <v>46058</v>
      </c>
      <c r="D137" s="1" t="s">
        <v>1545</v>
      </c>
      <c r="E137" s="1" t="s">
        <v>1546</v>
      </c>
      <c r="F137" s="1" t="s">
        <v>4</v>
      </c>
      <c r="G137" s="1" t="s">
        <v>451</v>
      </c>
      <c r="H137" s="1" t="s">
        <v>452</v>
      </c>
      <c r="I137" s="1" t="s">
        <v>2566</v>
      </c>
      <c r="J137" s="1" t="s">
        <v>210</v>
      </c>
      <c r="K137" s="1" t="s">
        <v>1048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3">
        <v>0</v>
      </c>
      <c r="U137" s="1"/>
      <c r="V137" s="1"/>
      <c r="W137" s="1" t="s">
        <v>63</v>
      </c>
      <c r="X137" s="1" t="s">
        <v>248</v>
      </c>
      <c r="Y137" s="1">
        <v>66</v>
      </c>
      <c r="Z137" s="1"/>
      <c r="AA137" s="1" t="s">
        <v>975</v>
      </c>
      <c r="AB137" s="1">
        <v>3012326904</v>
      </c>
    </row>
    <row r="138" spans="1:28" ht="13.8">
      <c r="A138" s="331">
        <v>21426</v>
      </c>
      <c r="B138" s="331">
        <v>26086</v>
      </c>
      <c r="C138" s="115">
        <v>46058</v>
      </c>
      <c r="D138" s="1" t="s">
        <v>1543</v>
      </c>
      <c r="E138" s="1" t="s">
        <v>1544</v>
      </c>
      <c r="F138" s="1" t="s">
        <v>4</v>
      </c>
      <c r="G138" s="1">
        <v>868118</v>
      </c>
      <c r="H138" s="1" t="s">
        <v>618</v>
      </c>
      <c r="I138" s="1" t="s">
        <v>983</v>
      </c>
      <c r="J138" s="1" t="s">
        <v>210</v>
      </c>
      <c r="K138" s="1"/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3">
        <v>0</v>
      </c>
      <c r="U138" s="1"/>
      <c r="V138" s="1"/>
      <c r="W138" s="1" t="s">
        <v>63</v>
      </c>
      <c r="X138" s="1" t="s">
        <v>225</v>
      </c>
      <c r="Y138" s="1">
        <v>33</v>
      </c>
      <c r="Z138" s="1"/>
      <c r="AA138" s="1" t="s">
        <v>975</v>
      </c>
      <c r="AB138" s="1">
        <v>0</v>
      </c>
    </row>
    <row r="139" spans="1:28" ht="13.8">
      <c r="A139" s="331">
        <v>36183</v>
      </c>
      <c r="B139" s="331">
        <v>26041</v>
      </c>
      <c r="C139" s="115">
        <v>46058</v>
      </c>
      <c r="D139" s="1" t="s">
        <v>1545</v>
      </c>
      <c r="E139" s="1" t="s">
        <v>1546</v>
      </c>
      <c r="F139" s="1" t="s">
        <v>4</v>
      </c>
      <c r="G139" s="1" t="s">
        <v>324</v>
      </c>
      <c r="H139" s="1" t="s">
        <v>325</v>
      </c>
      <c r="I139" s="1" t="s">
        <v>1097</v>
      </c>
      <c r="J139" s="1" t="s">
        <v>210</v>
      </c>
      <c r="K139" s="1" t="s">
        <v>1097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3">
        <v>0</v>
      </c>
      <c r="U139" s="1"/>
      <c r="V139" s="1"/>
      <c r="W139" s="1" t="s">
        <v>63</v>
      </c>
      <c r="X139" s="1" t="s">
        <v>248</v>
      </c>
      <c r="Y139" s="1">
        <v>66</v>
      </c>
      <c r="Z139" s="1"/>
      <c r="AA139" s="1" t="s">
        <v>975</v>
      </c>
      <c r="AB139" s="1">
        <v>3012326904</v>
      </c>
    </row>
    <row r="140" spans="1:28" ht="13.8">
      <c r="A140" s="331">
        <v>36183</v>
      </c>
      <c r="B140" s="331">
        <v>26027</v>
      </c>
      <c r="C140" s="115">
        <v>46058</v>
      </c>
      <c r="D140" s="1" t="s">
        <v>1545</v>
      </c>
      <c r="E140" s="1" t="s">
        <v>1546</v>
      </c>
      <c r="F140" s="1" t="s">
        <v>4</v>
      </c>
      <c r="G140" s="1" t="s">
        <v>499</v>
      </c>
      <c r="H140" s="1" t="s">
        <v>500</v>
      </c>
      <c r="I140" s="1" t="s">
        <v>1125</v>
      </c>
      <c r="J140" s="1" t="s">
        <v>210</v>
      </c>
      <c r="K140" s="1" t="s">
        <v>1126</v>
      </c>
      <c r="L140" s="2">
        <v>650000</v>
      </c>
      <c r="M140" s="2">
        <v>318500</v>
      </c>
      <c r="N140" s="2">
        <v>0</v>
      </c>
      <c r="O140" s="2">
        <v>13000</v>
      </c>
      <c r="P140" s="2">
        <v>0</v>
      </c>
      <c r="Q140" s="2">
        <v>0</v>
      </c>
      <c r="R140" s="2">
        <v>0</v>
      </c>
      <c r="S140" s="2">
        <v>318500</v>
      </c>
      <c r="T140" s="3">
        <v>0.49</v>
      </c>
      <c r="U140" s="1"/>
      <c r="V140" s="1" t="s">
        <v>1547</v>
      </c>
      <c r="W140" s="1" t="s">
        <v>202</v>
      </c>
      <c r="X140" s="1" t="s">
        <v>248</v>
      </c>
      <c r="Y140" s="1">
        <v>66</v>
      </c>
      <c r="Z140" s="1" t="s">
        <v>1548</v>
      </c>
      <c r="AA140" s="1" t="s">
        <v>975</v>
      </c>
      <c r="AB140" s="1">
        <v>3012326904</v>
      </c>
    </row>
    <row r="141" spans="1:28" ht="13.8">
      <c r="A141" s="331">
        <v>29113</v>
      </c>
      <c r="B141" s="331">
        <v>21382</v>
      </c>
      <c r="C141" s="115">
        <v>46058</v>
      </c>
      <c r="D141" s="1" t="s">
        <v>1295</v>
      </c>
      <c r="E141" s="1" t="s">
        <v>1296</v>
      </c>
      <c r="F141" s="1" t="s">
        <v>4</v>
      </c>
      <c r="G141" s="1" t="s">
        <v>431</v>
      </c>
      <c r="H141" s="1" t="s">
        <v>432</v>
      </c>
      <c r="I141" s="1" t="s">
        <v>1047</v>
      </c>
      <c r="J141" s="1" t="s">
        <v>210</v>
      </c>
      <c r="K141" s="1" t="s">
        <v>1048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3">
        <v>0</v>
      </c>
      <c r="U141" s="1"/>
      <c r="V141" s="1"/>
      <c r="W141" s="1" t="s">
        <v>63</v>
      </c>
      <c r="X141" s="1" t="s">
        <v>225</v>
      </c>
      <c r="Y141" s="1">
        <v>32</v>
      </c>
      <c r="Z141" s="1"/>
      <c r="AA141" s="1" t="s">
        <v>975</v>
      </c>
      <c r="AB141" s="1">
        <v>3147096829</v>
      </c>
    </row>
    <row r="142" spans="1:28" ht="13.8">
      <c r="A142" s="331">
        <v>36188</v>
      </c>
      <c r="B142" s="331">
        <v>26038</v>
      </c>
      <c r="C142" s="115">
        <v>46058</v>
      </c>
      <c r="D142" s="1" t="s">
        <v>393</v>
      </c>
      <c r="E142" s="1" t="s">
        <v>394</v>
      </c>
      <c r="F142" s="1" t="s">
        <v>2</v>
      </c>
      <c r="G142" s="1" t="s">
        <v>341</v>
      </c>
      <c r="H142" s="1" t="s">
        <v>342</v>
      </c>
      <c r="I142" s="1" t="s">
        <v>1125</v>
      </c>
      <c r="J142" s="1" t="s">
        <v>210</v>
      </c>
      <c r="K142" s="1" t="s">
        <v>1126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3">
        <v>0</v>
      </c>
      <c r="U142" s="1"/>
      <c r="V142" s="1"/>
      <c r="W142" s="1" t="s">
        <v>63</v>
      </c>
      <c r="X142" s="1" t="s">
        <v>225</v>
      </c>
      <c r="Y142" s="1">
        <v>32</v>
      </c>
      <c r="Z142" s="1"/>
      <c r="AA142" s="1" t="s">
        <v>975</v>
      </c>
      <c r="AB142" s="1">
        <v>3148633794</v>
      </c>
    </row>
    <row r="143" spans="1:28" ht="13.8">
      <c r="A143" s="332">
        <v>34092</v>
      </c>
      <c r="B143" s="332">
        <v>22723</v>
      </c>
      <c r="C143" s="38">
        <v>46058</v>
      </c>
      <c r="D143" s="4" t="s">
        <v>393</v>
      </c>
      <c r="E143" s="4" t="s">
        <v>394</v>
      </c>
      <c r="F143" s="4" t="s">
        <v>2</v>
      </c>
      <c r="G143" s="4" t="s">
        <v>1308</v>
      </c>
      <c r="H143" s="4" t="s">
        <v>1309</v>
      </c>
      <c r="I143" s="4" t="s">
        <v>1062</v>
      </c>
      <c r="J143" s="4" t="s">
        <v>210</v>
      </c>
      <c r="K143" s="4"/>
      <c r="L143" s="5">
        <v>450000</v>
      </c>
      <c r="M143" s="5">
        <v>216578</v>
      </c>
      <c r="N143" s="5">
        <v>3810</v>
      </c>
      <c r="O143" s="5">
        <v>9000</v>
      </c>
      <c r="P143" s="5">
        <v>0</v>
      </c>
      <c r="Q143" s="5">
        <v>4034</v>
      </c>
      <c r="R143" s="5">
        <v>0</v>
      </c>
      <c r="S143" s="5">
        <v>220612</v>
      </c>
      <c r="T143" s="6" t="s">
        <v>224</v>
      </c>
      <c r="U143" s="1"/>
      <c r="V143" s="1" t="s">
        <v>1549</v>
      </c>
      <c r="W143" s="1" t="s">
        <v>202</v>
      </c>
      <c r="X143" s="1" t="s">
        <v>225</v>
      </c>
      <c r="Y143" s="1">
        <v>32</v>
      </c>
      <c r="Z143" s="1" t="s">
        <v>1550</v>
      </c>
      <c r="AA143" s="1" t="s">
        <v>975</v>
      </c>
      <c r="AB143" s="1">
        <v>3148633794</v>
      </c>
    </row>
    <row r="144" spans="1:28" ht="13.8">
      <c r="A144" s="331">
        <v>31963</v>
      </c>
      <c r="B144" s="331">
        <v>20731</v>
      </c>
      <c r="C144" s="115">
        <v>46058</v>
      </c>
      <c r="D144" s="1" t="s">
        <v>1551</v>
      </c>
      <c r="E144" s="1" t="s">
        <v>1552</v>
      </c>
      <c r="F144" s="1" t="s">
        <v>4</v>
      </c>
      <c r="G144" s="1" t="s">
        <v>1553</v>
      </c>
      <c r="H144" s="1" t="s">
        <v>1554</v>
      </c>
      <c r="I144" s="1" t="s">
        <v>1097</v>
      </c>
      <c r="J144" s="1" t="s">
        <v>210</v>
      </c>
      <c r="K144" s="1" t="s">
        <v>1097</v>
      </c>
      <c r="L144" s="2">
        <v>200000</v>
      </c>
      <c r="M144" s="2">
        <v>98000</v>
      </c>
      <c r="N144" s="2">
        <v>0</v>
      </c>
      <c r="O144" s="2">
        <v>4000</v>
      </c>
      <c r="P144" s="2">
        <v>0</v>
      </c>
      <c r="Q144" s="2">
        <v>0</v>
      </c>
      <c r="R144" s="2">
        <v>0</v>
      </c>
      <c r="S144" s="2">
        <v>98000</v>
      </c>
      <c r="T144" s="3">
        <v>0.49</v>
      </c>
      <c r="U144" s="1"/>
      <c r="V144" s="1" t="s">
        <v>1555</v>
      </c>
      <c r="W144" s="1" t="s">
        <v>202</v>
      </c>
      <c r="X144" s="1" t="s">
        <v>225</v>
      </c>
      <c r="Y144" s="1">
        <v>27</v>
      </c>
      <c r="Z144" s="1" t="s">
        <v>1556</v>
      </c>
      <c r="AA144" s="1" t="s">
        <v>975</v>
      </c>
      <c r="AB144" s="1">
        <v>3006631986</v>
      </c>
    </row>
    <row r="145" spans="1:28" ht="13.8">
      <c r="A145" s="331">
        <v>34609</v>
      </c>
      <c r="B145" s="331">
        <v>26093</v>
      </c>
      <c r="C145" s="115">
        <v>46059</v>
      </c>
      <c r="D145" s="1" t="s">
        <v>415</v>
      </c>
      <c r="E145" s="1" t="s">
        <v>416</v>
      </c>
      <c r="F145" s="1" t="s">
        <v>126</v>
      </c>
      <c r="G145" s="1" t="s">
        <v>237</v>
      </c>
      <c r="H145" s="1" t="s">
        <v>238</v>
      </c>
      <c r="I145" s="1" t="s">
        <v>1209</v>
      </c>
      <c r="J145" s="1" t="s">
        <v>210</v>
      </c>
      <c r="K145" s="1" t="s">
        <v>1209</v>
      </c>
      <c r="L145" s="2">
        <v>350000</v>
      </c>
      <c r="M145" s="2">
        <v>171500</v>
      </c>
      <c r="N145" s="2">
        <v>0</v>
      </c>
      <c r="O145" s="2">
        <v>7000</v>
      </c>
      <c r="P145" s="2">
        <v>0</v>
      </c>
      <c r="Q145" s="2">
        <v>0</v>
      </c>
      <c r="R145" s="2">
        <v>0</v>
      </c>
      <c r="S145" s="2">
        <v>171500</v>
      </c>
      <c r="T145" s="3">
        <v>0.49</v>
      </c>
      <c r="U145" s="1"/>
      <c r="V145" s="1" t="s">
        <v>1557</v>
      </c>
      <c r="W145" s="1" t="s">
        <v>202</v>
      </c>
      <c r="X145" s="1" t="s">
        <v>248</v>
      </c>
      <c r="Y145" s="1">
        <v>40</v>
      </c>
      <c r="Z145" s="1" t="s">
        <v>1558</v>
      </c>
      <c r="AA145" s="1" t="s">
        <v>975</v>
      </c>
      <c r="AB145" s="1">
        <v>3223400292</v>
      </c>
    </row>
    <row r="146" spans="1:28" ht="13.8">
      <c r="A146" s="331">
        <v>36196</v>
      </c>
      <c r="B146" s="331">
        <v>26058</v>
      </c>
      <c r="C146" s="115">
        <v>46059</v>
      </c>
      <c r="D146" s="1" t="s">
        <v>1364</v>
      </c>
      <c r="E146" s="1" t="s">
        <v>1365</v>
      </c>
      <c r="F146" s="1" t="s">
        <v>2</v>
      </c>
      <c r="G146" s="1">
        <v>890242</v>
      </c>
      <c r="H146" s="1" t="s">
        <v>331</v>
      </c>
      <c r="I146" s="1" t="s">
        <v>972</v>
      </c>
      <c r="J146" s="1" t="s">
        <v>223</v>
      </c>
      <c r="K146" s="1"/>
      <c r="L146" s="2">
        <v>250000</v>
      </c>
      <c r="M146" s="2">
        <v>122500</v>
      </c>
      <c r="N146" s="2">
        <v>0</v>
      </c>
      <c r="O146" s="2">
        <v>5000</v>
      </c>
      <c r="P146" s="2">
        <v>0</v>
      </c>
      <c r="Q146" s="2">
        <v>0</v>
      </c>
      <c r="R146" s="2">
        <v>0</v>
      </c>
      <c r="S146" s="2">
        <v>122500</v>
      </c>
      <c r="T146" s="3">
        <v>0.49</v>
      </c>
      <c r="U146" s="1"/>
      <c r="V146" s="1" t="s">
        <v>1559</v>
      </c>
      <c r="W146" s="1" t="s">
        <v>202</v>
      </c>
      <c r="X146" s="1" t="s">
        <v>213</v>
      </c>
      <c r="Y146" s="1">
        <v>68</v>
      </c>
      <c r="Z146" s="1" t="s">
        <v>1560</v>
      </c>
      <c r="AA146" s="1" t="s">
        <v>975</v>
      </c>
      <c r="AB146" s="1">
        <v>3006824808</v>
      </c>
    </row>
    <row r="147" spans="1:28" ht="13.8">
      <c r="A147" s="331">
        <v>35520</v>
      </c>
      <c r="B147" s="331">
        <v>24853</v>
      </c>
      <c r="C147" s="115">
        <v>46059</v>
      </c>
      <c r="D147" s="1" t="s">
        <v>1359</v>
      </c>
      <c r="E147" s="1" t="s">
        <v>494</v>
      </c>
      <c r="F147" s="1" t="s">
        <v>126</v>
      </c>
      <c r="G147" s="1">
        <v>890303</v>
      </c>
      <c r="H147" s="1" t="s">
        <v>221</v>
      </c>
      <c r="I147" s="1" t="s">
        <v>1012</v>
      </c>
      <c r="J147" s="1" t="s">
        <v>223</v>
      </c>
      <c r="K147" s="1"/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3">
        <v>0</v>
      </c>
      <c r="U147" s="1"/>
      <c r="V147" s="1"/>
      <c r="W147" s="1" t="s">
        <v>63</v>
      </c>
      <c r="X147" s="1" t="s">
        <v>225</v>
      </c>
      <c r="Y147" s="1">
        <v>18</v>
      </c>
      <c r="Z147" s="1"/>
      <c r="AA147" s="1" t="s">
        <v>975</v>
      </c>
      <c r="AB147" s="1">
        <v>3122672304</v>
      </c>
    </row>
    <row r="148" spans="1:28" ht="13.8">
      <c r="A148" s="331">
        <v>34628</v>
      </c>
      <c r="B148" s="331">
        <v>26106</v>
      </c>
      <c r="C148" s="115">
        <v>46059</v>
      </c>
      <c r="D148" s="1" t="s">
        <v>1359</v>
      </c>
      <c r="E148" s="1" t="s">
        <v>494</v>
      </c>
      <c r="F148" s="1" t="s">
        <v>126</v>
      </c>
      <c r="G148" s="1">
        <v>863101</v>
      </c>
      <c r="H148" s="1" t="s">
        <v>378</v>
      </c>
      <c r="I148" s="1" t="s">
        <v>983</v>
      </c>
      <c r="J148" s="1" t="s">
        <v>210</v>
      </c>
      <c r="K148" s="1"/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3">
        <v>0</v>
      </c>
      <c r="U148" s="1"/>
      <c r="V148" s="1"/>
      <c r="W148" s="1" t="s">
        <v>63</v>
      </c>
      <c r="X148" s="1" t="s">
        <v>225</v>
      </c>
      <c r="Y148" s="1">
        <v>18</v>
      </c>
      <c r="Z148" s="1"/>
      <c r="AA148" s="1" t="s">
        <v>975</v>
      </c>
      <c r="AB148" s="1">
        <v>3122672304</v>
      </c>
    </row>
    <row r="149" spans="1:28" ht="13.8">
      <c r="A149" s="331">
        <v>36217</v>
      </c>
      <c r="B149" s="331">
        <v>26095</v>
      </c>
      <c r="C149" s="115">
        <v>46059</v>
      </c>
      <c r="D149" s="1" t="s">
        <v>1561</v>
      </c>
      <c r="E149" s="1" t="s">
        <v>1562</v>
      </c>
      <c r="F149" s="1" t="s">
        <v>126</v>
      </c>
      <c r="G149" s="1">
        <v>890242</v>
      </c>
      <c r="H149" s="1" t="s">
        <v>331</v>
      </c>
      <c r="I149" s="1" t="s">
        <v>972</v>
      </c>
      <c r="J149" s="1" t="s">
        <v>223</v>
      </c>
      <c r="K149" s="1"/>
      <c r="L149" s="2">
        <v>250000</v>
      </c>
      <c r="M149" s="2">
        <v>122500</v>
      </c>
      <c r="N149" s="2">
        <v>0</v>
      </c>
      <c r="O149" s="2">
        <v>5000</v>
      </c>
      <c r="P149" s="2">
        <v>0</v>
      </c>
      <c r="Q149" s="2">
        <v>0</v>
      </c>
      <c r="R149" s="2">
        <v>0</v>
      </c>
      <c r="S149" s="2">
        <v>122500</v>
      </c>
      <c r="T149" s="3">
        <v>0.49</v>
      </c>
      <c r="U149" s="1"/>
      <c r="V149" s="1" t="s">
        <v>1563</v>
      </c>
      <c r="W149" s="1" t="s">
        <v>202</v>
      </c>
      <c r="X149" s="1" t="s">
        <v>277</v>
      </c>
      <c r="Y149" s="1">
        <v>42</v>
      </c>
      <c r="Z149" s="1" t="s">
        <v>1564</v>
      </c>
      <c r="AA149" s="1" t="s">
        <v>975</v>
      </c>
      <c r="AB149" s="1">
        <v>4791301268</v>
      </c>
    </row>
    <row r="150" spans="1:28" ht="13.8">
      <c r="A150" s="331">
        <v>36149</v>
      </c>
      <c r="B150" s="331">
        <v>25968</v>
      </c>
      <c r="C150" s="115">
        <v>46059</v>
      </c>
      <c r="D150" s="1" t="s">
        <v>1360</v>
      </c>
      <c r="E150" s="1" t="s">
        <v>1361</v>
      </c>
      <c r="F150" s="1" t="s">
        <v>2</v>
      </c>
      <c r="G150" s="1">
        <v>890242</v>
      </c>
      <c r="H150" s="1" t="s">
        <v>331</v>
      </c>
      <c r="I150" s="1" t="s">
        <v>972</v>
      </c>
      <c r="J150" s="1" t="s">
        <v>223</v>
      </c>
      <c r="K150" s="1"/>
      <c r="L150" s="2">
        <v>250000</v>
      </c>
      <c r="M150" s="2">
        <v>125000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125000</v>
      </c>
      <c r="T150" s="3">
        <v>0.5</v>
      </c>
      <c r="U150" s="1"/>
      <c r="V150" s="1" t="s">
        <v>1565</v>
      </c>
      <c r="W150" s="1" t="s">
        <v>202</v>
      </c>
      <c r="X150" s="1" t="s">
        <v>277</v>
      </c>
      <c r="Y150" s="1">
        <v>73</v>
      </c>
      <c r="Z150" s="1" t="s">
        <v>1566</v>
      </c>
      <c r="AA150" s="1" t="s">
        <v>975</v>
      </c>
      <c r="AB150" s="1">
        <v>3164785374</v>
      </c>
    </row>
    <row r="151" spans="1:28" ht="13.8">
      <c r="A151" s="331">
        <v>36176</v>
      </c>
      <c r="B151" s="331">
        <v>26018</v>
      </c>
      <c r="C151" s="115">
        <v>46059</v>
      </c>
      <c r="D151" s="1" t="s">
        <v>1567</v>
      </c>
      <c r="E151" s="1" t="s">
        <v>1568</v>
      </c>
      <c r="F151" s="1" t="s">
        <v>3</v>
      </c>
      <c r="G151" s="1">
        <v>890242</v>
      </c>
      <c r="H151" s="1" t="s">
        <v>331</v>
      </c>
      <c r="I151" s="1" t="s">
        <v>972</v>
      </c>
      <c r="J151" s="1" t="s">
        <v>223</v>
      </c>
      <c r="K151" s="1"/>
      <c r="L151" s="2">
        <v>250000</v>
      </c>
      <c r="M151" s="2">
        <v>122500</v>
      </c>
      <c r="N151" s="2">
        <v>0</v>
      </c>
      <c r="O151" s="2">
        <v>5000</v>
      </c>
      <c r="P151" s="2">
        <v>0</v>
      </c>
      <c r="Q151" s="2">
        <v>0</v>
      </c>
      <c r="R151" s="2">
        <v>0</v>
      </c>
      <c r="S151" s="2">
        <v>122500</v>
      </c>
      <c r="T151" s="3">
        <v>0.49</v>
      </c>
      <c r="U151" s="1"/>
      <c r="V151" s="1" t="s">
        <v>1569</v>
      </c>
      <c r="W151" s="1" t="s">
        <v>202</v>
      </c>
      <c r="X151" s="1" t="s">
        <v>213</v>
      </c>
      <c r="Y151" s="1">
        <v>31</v>
      </c>
      <c r="Z151" s="1" t="s">
        <v>1570</v>
      </c>
      <c r="AA151" s="1" t="s">
        <v>975</v>
      </c>
      <c r="AB151" s="1">
        <v>3194248590</v>
      </c>
    </row>
    <row r="152" spans="1:28" ht="13.8">
      <c r="A152" s="331">
        <v>36221</v>
      </c>
      <c r="B152" s="331">
        <v>26109</v>
      </c>
      <c r="C152" s="115">
        <v>46059</v>
      </c>
      <c r="D152" s="1" t="s">
        <v>1571</v>
      </c>
      <c r="E152" s="1" t="s">
        <v>1572</v>
      </c>
      <c r="F152" s="1" t="s">
        <v>126</v>
      </c>
      <c r="G152" s="1">
        <v>890242</v>
      </c>
      <c r="H152" s="1" t="s">
        <v>331</v>
      </c>
      <c r="I152" s="1" t="s">
        <v>972</v>
      </c>
      <c r="J152" s="1" t="s">
        <v>223</v>
      </c>
      <c r="K152" s="1"/>
      <c r="L152" s="2">
        <v>250000</v>
      </c>
      <c r="M152" s="2">
        <v>122500</v>
      </c>
      <c r="N152" s="2">
        <v>0</v>
      </c>
      <c r="O152" s="2">
        <v>5000</v>
      </c>
      <c r="P152" s="2">
        <v>0</v>
      </c>
      <c r="Q152" s="2">
        <v>0</v>
      </c>
      <c r="R152" s="2">
        <v>0</v>
      </c>
      <c r="S152" s="2">
        <v>122500</v>
      </c>
      <c r="T152" s="3">
        <v>0.49</v>
      </c>
      <c r="U152" s="1"/>
      <c r="V152" s="1" t="s">
        <v>1573</v>
      </c>
      <c r="W152" s="1" t="s">
        <v>202</v>
      </c>
      <c r="X152" s="1" t="s">
        <v>225</v>
      </c>
      <c r="Y152" s="1">
        <v>18</v>
      </c>
      <c r="Z152" s="1" t="s">
        <v>1574</v>
      </c>
      <c r="AA152" s="1" t="s">
        <v>975</v>
      </c>
      <c r="AB152" s="1">
        <v>3132029851</v>
      </c>
    </row>
    <row r="153" spans="1:28" ht="13.8">
      <c r="A153" s="331">
        <v>36095</v>
      </c>
      <c r="B153" s="331">
        <v>25885</v>
      </c>
      <c r="C153" s="115">
        <v>46059</v>
      </c>
      <c r="D153" s="1" t="s">
        <v>898</v>
      </c>
      <c r="E153" s="1" t="s">
        <v>1575</v>
      </c>
      <c r="F153" s="1" t="s">
        <v>3</v>
      </c>
      <c r="G153" s="1">
        <v>890242</v>
      </c>
      <c r="H153" s="1" t="s">
        <v>331</v>
      </c>
      <c r="I153" s="1" t="s">
        <v>972</v>
      </c>
      <c r="J153" s="1" t="s">
        <v>223</v>
      </c>
      <c r="K153" s="1"/>
      <c r="L153" s="2">
        <v>250000</v>
      </c>
      <c r="M153" s="2">
        <v>124500</v>
      </c>
      <c r="N153" s="2">
        <v>0</v>
      </c>
      <c r="O153" s="2">
        <v>1000</v>
      </c>
      <c r="P153" s="2">
        <v>0</v>
      </c>
      <c r="Q153" s="2">
        <v>0</v>
      </c>
      <c r="R153" s="2">
        <v>0</v>
      </c>
      <c r="S153" s="2">
        <v>124500</v>
      </c>
      <c r="T153" s="3">
        <v>0.498</v>
      </c>
      <c r="U153" s="1"/>
      <c r="V153" s="1" t="s">
        <v>1576</v>
      </c>
      <c r="W153" s="1" t="s">
        <v>202</v>
      </c>
      <c r="X153" s="1" t="s">
        <v>225</v>
      </c>
      <c r="Y153" s="1">
        <v>22</v>
      </c>
      <c r="Z153" s="1" t="s">
        <v>1577</v>
      </c>
      <c r="AA153" s="1" t="s">
        <v>975</v>
      </c>
      <c r="AB153" s="1">
        <v>3006507590</v>
      </c>
    </row>
    <row r="154" spans="1:28" ht="13.8">
      <c r="A154" s="331">
        <v>35956</v>
      </c>
      <c r="B154" s="331">
        <v>25627</v>
      </c>
      <c r="C154" s="115">
        <v>46059</v>
      </c>
      <c r="D154" s="1" t="s">
        <v>758</v>
      </c>
      <c r="E154" s="1" t="s">
        <v>1578</v>
      </c>
      <c r="F154" s="1" t="s">
        <v>4</v>
      </c>
      <c r="G154" s="1">
        <v>890242</v>
      </c>
      <c r="H154" s="1" t="s">
        <v>331</v>
      </c>
      <c r="I154" s="1" t="s">
        <v>972</v>
      </c>
      <c r="J154" s="1" t="s">
        <v>223</v>
      </c>
      <c r="K154" s="1"/>
      <c r="L154" s="2">
        <v>250000</v>
      </c>
      <c r="M154" s="2">
        <v>125000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125000</v>
      </c>
      <c r="T154" s="3">
        <v>0.5</v>
      </c>
      <c r="U154" s="1"/>
      <c r="V154" s="1" t="s">
        <v>1579</v>
      </c>
      <c r="W154" s="1" t="s">
        <v>202</v>
      </c>
      <c r="X154" s="1" t="s">
        <v>248</v>
      </c>
      <c r="Y154" s="1">
        <v>47</v>
      </c>
      <c r="Z154" s="1" t="s">
        <v>1580</v>
      </c>
      <c r="AA154" s="1" t="s">
        <v>975</v>
      </c>
      <c r="AB154" s="1">
        <v>3113527118</v>
      </c>
    </row>
    <row r="155" spans="1:28" ht="13.8">
      <c r="A155" s="331">
        <v>36226</v>
      </c>
      <c r="B155" s="331">
        <v>26117</v>
      </c>
      <c r="C155" s="115">
        <v>46059</v>
      </c>
      <c r="D155" s="1" t="s">
        <v>1561</v>
      </c>
      <c r="E155" s="1" t="s">
        <v>1562</v>
      </c>
      <c r="F155" s="1" t="s">
        <v>126</v>
      </c>
      <c r="G155" s="1" t="s">
        <v>499</v>
      </c>
      <c r="H155" s="1" t="s">
        <v>500</v>
      </c>
      <c r="I155" s="1" t="s">
        <v>1125</v>
      </c>
      <c r="J155" s="1" t="s">
        <v>210</v>
      </c>
      <c r="K155" s="1" t="s">
        <v>1126</v>
      </c>
      <c r="L155" s="2">
        <v>650000</v>
      </c>
      <c r="M155" s="2">
        <v>318500</v>
      </c>
      <c r="N155" s="2">
        <v>0</v>
      </c>
      <c r="O155" s="2">
        <v>13000</v>
      </c>
      <c r="P155" s="2">
        <v>0</v>
      </c>
      <c r="Q155" s="2">
        <v>0</v>
      </c>
      <c r="R155" s="2">
        <v>0</v>
      </c>
      <c r="S155" s="2">
        <v>318500</v>
      </c>
      <c r="T155" s="3">
        <v>0.49</v>
      </c>
      <c r="U155" s="1"/>
      <c r="V155" s="1" t="s">
        <v>1581</v>
      </c>
      <c r="W155" s="1" t="s">
        <v>202</v>
      </c>
      <c r="X155" s="1" t="s">
        <v>277</v>
      </c>
      <c r="Y155" s="1">
        <v>42</v>
      </c>
      <c r="Z155" s="1" t="s">
        <v>1582</v>
      </c>
      <c r="AA155" s="1" t="s">
        <v>975</v>
      </c>
      <c r="AB155" s="1">
        <v>4791301268</v>
      </c>
    </row>
    <row r="156" spans="1:28" ht="13.8">
      <c r="A156" s="331">
        <v>36227</v>
      </c>
      <c r="B156" s="331">
        <v>26125</v>
      </c>
      <c r="C156" s="115">
        <v>46059</v>
      </c>
      <c r="D156" s="1" t="s">
        <v>1583</v>
      </c>
      <c r="E156" s="1" t="s">
        <v>1584</v>
      </c>
      <c r="F156" s="1" t="s">
        <v>3</v>
      </c>
      <c r="G156" s="1" t="s">
        <v>451</v>
      </c>
      <c r="H156" s="1" t="s">
        <v>452</v>
      </c>
      <c r="I156" s="1" t="s">
        <v>2566</v>
      </c>
      <c r="J156" s="1" t="s">
        <v>210</v>
      </c>
      <c r="K156" s="1" t="s">
        <v>1048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3">
        <v>0</v>
      </c>
      <c r="U156" s="1"/>
      <c r="V156" s="1"/>
      <c r="W156" s="1" t="s">
        <v>63</v>
      </c>
      <c r="X156" s="1" t="s">
        <v>225</v>
      </c>
      <c r="Y156" s="1">
        <v>54</v>
      </c>
      <c r="Z156" s="1"/>
      <c r="AA156" s="1" t="s">
        <v>975</v>
      </c>
      <c r="AB156" s="1">
        <v>3014969188</v>
      </c>
    </row>
    <row r="157" spans="1:28" ht="13.8">
      <c r="A157" s="331">
        <v>35506</v>
      </c>
      <c r="B157" s="331">
        <v>24834</v>
      </c>
      <c r="C157" s="115">
        <v>46059</v>
      </c>
      <c r="D157" s="1" t="s">
        <v>490</v>
      </c>
      <c r="E157" s="1" t="s">
        <v>491</v>
      </c>
      <c r="F157" s="1" t="s">
        <v>4</v>
      </c>
      <c r="G157" s="1">
        <v>890242</v>
      </c>
      <c r="H157" s="1" t="s">
        <v>331</v>
      </c>
      <c r="I157" s="1" t="s">
        <v>972</v>
      </c>
      <c r="J157" s="1" t="s">
        <v>223</v>
      </c>
      <c r="K157" s="1"/>
      <c r="L157" s="2">
        <v>250000</v>
      </c>
      <c r="M157" s="2">
        <v>122500</v>
      </c>
      <c r="N157" s="2">
        <v>0</v>
      </c>
      <c r="O157" s="2">
        <v>5000</v>
      </c>
      <c r="P157" s="2">
        <v>0</v>
      </c>
      <c r="Q157" s="2">
        <v>0</v>
      </c>
      <c r="R157" s="2">
        <v>0</v>
      </c>
      <c r="S157" s="2">
        <v>122500</v>
      </c>
      <c r="T157" s="3">
        <v>0.49</v>
      </c>
      <c r="U157" s="1"/>
      <c r="V157" s="1" t="s">
        <v>1585</v>
      </c>
      <c r="W157" s="1" t="s">
        <v>202</v>
      </c>
      <c r="X157" s="1" t="s">
        <v>277</v>
      </c>
      <c r="Y157" s="1">
        <v>35</v>
      </c>
      <c r="Z157" s="1" t="s">
        <v>1586</v>
      </c>
      <c r="AA157" s="1" t="s">
        <v>975</v>
      </c>
      <c r="AB157" s="1">
        <v>3135331415</v>
      </c>
    </row>
    <row r="158" spans="1:28" ht="13.8">
      <c r="A158" s="331">
        <v>36189</v>
      </c>
      <c r="B158" s="331">
        <v>26039</v>
      </c>
      <c r="C158" s="115">
        <v>46059</v>
      </c>
      <c r="D158" s="1" t="s">
        <v>1374</v>
      </c>
      <c r="E158" s="1" t="s">
        <v>1375</v>
      </c>
      <c r="F158" s="1" t="s">
        <v>3</v>
      </c>
      <c r="G158" s="1">
        <v>890242</v>
      </c>
      <c r="H158" s="1" t="s">
        <v>331</v>
      </c>
      <c r="I158" s="1" t="s">
        <v>972</v>
      </c>
      <c r="J158" s="1" t="s">
        <v>223</v>
      </c>
      <c r="K158" s="1"/>
      <c r="L158" s="2">
        <v>250000</v>
      </c>
      <c r="M158" s="2">
        <v>125000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125000</v>
      </c>
      <c r="T158" s="3">
        <v>0.5</v>
      </c>
      <c r="U158" s="1"/>
      <c r="V158" s="1" t="s">
        <v>1587</v>
      </c>
      <c r="W158" s="1" t="s">
        <v>202</v>
      </c>
      <c r="X158" s="1" t="s">
        <v>225</v>
      </c>
      <c r="Y158" s="1">
        <v>28</v>
      </c>
      <c r="Z158" s="1" t="s">
        <v>1588</v>
      </c>
      <c r="AA158" s="1" t="s">
        <v>975</v>
      </c>
      <c r="AB158" s="1">
        <v>17864771236</v>
      </c>
    </row>
    <row r="159" spans="1:28" ht="13.8">
      <c r="A159" s="331">
        <v>35964</v>
      </c>
      <c r="B159" s="331">
        <v>25640</v>
      </c>
      <c r="C159" s="115">
        <v>46059</v>
      </c>
      <c r="D159" s="1" t="s">
        <v>761</v>
      </c>
      <c r="E159" s="1" t="s">
        <v>762</v>
      </c>
      <c r="F159" s="1" t="s">
        <v>3</v>
      </c>
      <c r="G159" s="1">
        <v>890242</v>
      </c>
      <c r="H159" s="1" t="s">
        <v>331</v>
      </c>
      <c r="I159" s="1" t="s">
        <v>972</v>
      </c>
      <c r="J159" s="1" t="s">
        <v>223</v>
      </c>
      <c r="K159" s="1"/>
      <c r="L159" s="2">
        <v>250000</v>
      </c>
      <c r="M159" s="2">
        <v>122500</v>
      </c>
      <c r="N159" s="2">
        <v>0</v>
      </c>
      <c r="O159" s="2">
        <v>5000</v>
      </c>
      <c r="P159" s="2">
        <v>0</v>
      </c>
      <c r="Q159" s="2">
        <v>0</v>
      </c>
      <c r="R159" s="2">
        <v>0</v>
      </c>
      <c r="S159" s="2">
        <v>122500</v>
      </c>
      <c r="T159" s="3">
        <v>0.49</v>
      </c>
      <c r="U159" s="1"/>
      <c r="V159" s="1" t="s">
        <v>1589</v>
      </c>
      <c r="W159" s="1" t="s">
        <v>202</v>
      </c>
      <c r="X159" s="1" t="s">
        <v>213</v>
      </c>
      <c r="Y159" s="1">
        <v>20</v>
      </c>
      <c r="Z159" s="1" t="s">
        <v>1590</v>
      </c>
      <c r="AA159" s="1" t="s">
        <v>975</v>
      </c>
      <c r="AB159" s="1">
        <v>3112441561</v>
      </c>
    </row>
    <row r="160" spans="1:28" ht="13.8">
      <c r="A160" s="331">
        <v>28241</v>
      </c>
      <c r="B160" s="331">
        <v>26088</v>
      </c>
      <c r="C160" s="115">
        <v>46059</v>
      </c>
      <c r="D160" s="1" t="s">
        <v>965</v>
      </c>
      <c r="E160" s="1" t="s">
        <v>3</v>
      </c>
      <c r="F160" s="1" t="s">
        <v>1086</v>
      </c>
      <c r="G160" s="1" t="s">
        <v>1087</v>
      </c>
      <c r="H160" s="1" t="s">
        <v>1088</v>
      </c>
      <c r="I160" s="1" t="s">
        <v>1089</v>
      </c>
      <c r="J160" s="1" t="s">
        <v>200</v>
      </c>
      <c r="K160" s="1" t="s">
        <v>1089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3">
        <v>0</v>
      </c>
      <c r="U160" s="1"/>
      <c r="V160" s="1"/>
      <c r="W160" s="1" t="s">
        <v>63</v>
      </c>
      <c r="X160" s="1" t="s">
        <v>248</v>
      </c>
      <c r="Y160" s="1">
        <v>36</v>
      </c>
      <c r="Z160" s="1"/>
      <c r="AA160" s="1" t="s">
        <v>975</v>
      </c>
      <c r="AB160" s="1">
        <v>3008249135</v>
      </c>
    </row>
    <row r="161" spans="1:28" ht="13.8">
      <c r="A161" s="331">
        <v>34071</v>
      </c>
      <c r="B161" s="331">
        <v>25438</v>
      </c>
      <c r="C161" s="115">
        <v>46059</v>
      </c>
      <c r="D161" s="1" t="s">
        <v>699</v>
      </c>
      <c r="E161" s="1" t="s">
        <v>700</v>
      </c>
      <c r="F161" s="1" t="s">
        <v>126</v>
      </c>
      <c r="G161" s="1" t="s">
        <v>431</v>
      </c>
      <c r="H161" s="1" t="s">
        <v>432</v>
      </c>
      <c r="I161" s="1" t="s">
        <v>1047</v>
      </c>
      <c r="J161" s="1" t="s">
        <v>210</v>
      </c>
      <c r="K161" s="1" t="s">
        <v>1048</v>
      </c>
      <c r="L161" s="2">
        <v>1000000</v>
      </c>
      <c r="M161" s="2">
        <v>490000</v>
      </c>
      <c r="N161" s="2">
        <v>0</v>
      </c>
      <c r="O161" s="2">
        <v>20000</v>
      </c>
      <c r="P161" s="2">
        <v>0</v>
      </c>
      <c r="Q161" s="2">
        <v>0</v>
      </c>
      <c r="R161" s="2">
        <v>0</v>
      </c>
      <c r="S161" s="2">
        <v>490000</v>
      </c>
      <c r="T161" s="3">
        <v>0.49</v>
      </c>
      <c r="U161" s="1"/>
      <c r="V161" s="1" t="s">
        <v>1591</v>
      </c>
      <c r="W161" s="1" t="s">
        <v>202</v>
      </c>
      <c r="X161" s="1" t="s">
        <v>277</v>
      </c>
      <c r="Y161" s="1">
        <v>63</v>
      </c>
      <c r="Z161" s="1" t="s">
        <v>1592</v>
      </c>
      <c r="AA161" s="1" t="s">
        <v>1007</v>
      </c>
      <c r="AB161" s="1" t="s">
        <v>1593</v>
      </c>
    </row>
    <row r="162" spans="1:28" ht="13.8">
      <c r="A162" s="331">
        <v>34071</v>
      </c>
      <c r="B162" s="331">
        <v>26159</v>
      </c>
      <c r="C162" s="115">
        <v>46059</v>
      </c>
      <c r="D162" s="1" t="s">
        <v>699</v>
      </c>
      <c r="E162" s="1" t="s">
        <v>700</v>
      </c>
      <c r="F162" s="1" t="s">
        <v>126</v>
      </c>
      <c r="G162" s="1">
        <v>863101</v>
      </c>
      <c r="H162" s="1" t="s">
        <v>378</v>
      </c>
      <c r="I162" s="1" t="s">
        <v>983</v>
      </c>
      <c r="J162" s="1" t="s">
        <v>210</v>
      </c>
      <c r="K162" s="1"/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3">
        <v>0</v>
      </c>
      <c r="U162" s="1"/>
      <c r="V162" s="1"/>
      <c r="W162" s="1" t="s">
        <v>63</v>
      </c>
      <c r="X162" s="1" t="s">
        <v>277</v>
      </c>
      <c r="Y162" s="1">
        <v>63</v>
      </c>
      <c r="Z162" s="1"/>
      <c r="AA162" s="1" t="s">
        <v>1007</v>
      </c>
      <c r="AB162" s="1" t="s">
        <v>1593</v>
      </c>
    </row>
    <row r="163" spans="1:28" ht="13.8">
      <c r="A163" s="331">
        <v>34071</v>
      </c>
      <c r="B163" s="331">
        <v>25434</v>
      </c>
      <c r="C163" s="115">
        <v>46059</v>
      </c>
      <c r="D163" s="1" t="s">
        <v>699</v>
      </c>
      <c r="E163" s="1" t="s">
        <v>700</v>
      </c>
      <c r="F163" s="1" t="s">
        <v>126</v>
      </c>
      <c r="G163" s="1">
        <v>863101</v>
      </c>
      <c r="H163" s="1" t="s">
        <v>378</v>
      </c>
      <c r="I163" s="1" t="s">
        <v>983</v>
      </c>
      <c r="J163" s="1" t="s">
        <v>210</v>
      </c>
      <c r="K163" s="1"/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3">
        <v>0</v>
      </c>
      <c r="U163" s="1"/>
      <c r="V163" s="1"/>
      <c r="W163" s="1" t="s">
        <v>63</v>
      </c>
      <c r="X163" s="1" t="s">
        <v>277</v>
      </c>
      <c r="Y163" s="1">
        <v>63</v>
      </c>
      <c r="Z163" s="1"/>
      <c r="AA163" s="1" t="s">
        <v>1007</v>
      </c>
      <c r="AB163" s="1" t="s">
        <v>1593</v>
      </c>
    </row>
    <row r="164" spans="1:28" ht="13.8">
      <c r="A164" s="331">
        <v>34071</v>
      </c>
      <c r="B164" s="331">
        <v>25435</v>
      </c>
      <c r="C164" s="115">
        <v>46059</v>
      </c>
      <c r="D164" s="1" t="s">
        <v>699</v>
      </c>
      <c r="E164" s="1" t="s">
        <v>700</v>
      </c>
      <c r="F164" s="1" t="s">
        <v>126</v>
      </c>
      <c r="G164" s="1">
        <v>861401</v>
      </c>
      <c r="H164" s="1" t="s">
        <v>307</v>
      </c>
      <c r="I164" s="1" t="s">
        <v>983</v>
      </c>
      <c r="J164" s="1" t="s">
        <v>210</v>
      </c>
      <c r="K164" s="1"/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3">
        <v>0</v>
      </c>
      <c r="U164" s="1"/>
      <c r="V164" s="1"/>
      <c r="W164" s="1" t="s">
        <v>63</v>
      </c>
      <c r="X164" s="1" t="s">
        <v>277</v>
      </c>
      <c r="Y164" s="1">
        <v>63</v>
      </c>
      <c r="Z164" s="1"/>
      <c r="AA164" s="1" t="s">
        <v>1007</v>
      </c>
      <c r="AB164" s="1" t="s">
        <v>1593</v>
      </c>
    </row>
    <row r="165" spans="1:28" ht="13.8">
      <c r="A165" s="331">
        <v>31341</v>
      </c>
      <c r="B165" s="331">
        <v>23892</v>
      </c>
      <c r="C165" s="115">
        <v>46059</v>
      </c>
      <c r="D165" s="1" t="s">
        <v>352</v>
      </c>
      <c r="E165" s="1" t="s">
        <v>353</v>
      </c>
      <c r="F165" s="1" t="s">
        <v>4</v>
      </c>
      <c r="G165" s="1" t="s">
        <v>324</v>
      </c>
      <c r="H165" s="1" t="s">
        <v>325</v>
      </c>
      <c r="I165" s="1" t="s">
        <v>1097</v>
      </c>
      <c r="J165" s="1" t="s">
        <v>210</v>
      </c>
      <c r="K165" s="1" t="s">
        <v>1097</v>
      </c>
      <c r="L165" s="2">
        <v>300000</v>
      </c>
      <c r="M165" s="2">
        <v>147000</v>
      </c>
      <c r="N165" s="2">
        <v>0</v>
      </c>
      <c r="O165" s="2">
        <v>6000</v>
      </c>
      <c r="P165" s="2">
        <v>0</v>
      </c>
      <c r="Q165" s="2">
        <v>0</v>
      </c>
      <c r="R165" s="2">
        <v>0</v>
      </c>
      <c r="S165" s="2">
        <v>147000</v>
      </c>
      <c r="T165" s="3">
        <v>0.49</v>
      </c>
      <c r="U165" s="1"/>
      <c r="V165" s="1" t="s">
        <v>1594</v>
      </c>
      <c r="W165" s="1" t="s">
        <v>202</v>
      </c>
      <c r="X165" s="1" t="s">
        <v>213</v>
      </c>
      <c r="Y165" s="1">
        <v>42</v>
      </c>
      <c r="Z165" s="1" t="s">
        <v>1595</v>
      </c>
      <c r="AA165" s="1" t="s">
        <v>975</v>
      </c>
      <c r="AB165" s="1">
        <v>3104009820</v>
      </c>
    </row>
    <row r="166" spans="1:28" ht="13.8">
      <c r="A166" s="331">
        <v>31341</v>
      </c>
      <c r="B166" s="331">
        <v>23893</v>
      </c>
      <c r="C166" s="115">
        <v>46059</v>
      </c>
      <c r="D166" s="1" t="s">
        <v>352</v>
      </c>
      <c r="E166" s="1" t="s">
        <v>353</v>
      </c>
      <c r="F166" s="1" t="s">
        <v>4</v>
      </c>
      <c r="G166" s="1" t="s">
        <v>228</v>
      </c>
      <c r="H166" s="1" t="s">
        <v>229</v>
      </c>
      <c r="I166" s="1" t="s">
        <v>1209</v>
      </c>
      <c r="J166" s="1" t="s">
        <v>210</v>
      </c>
      <c r="K166" s="1" t="s">
        <v>1097</v>
      </c>
      <c r="L166" s="2">
        <v>300000</v>
      </c>
      <c r="M166" s="2">
        <v>147000</v>
      </c>
      <c r="N166" s="2">
        <v>0</v>
      </c>
      <c r="O166" s="2">
        <v>6000</v>
      </c>
      <c r="P166" s="2">
        <v>0</v>
      </c>
      <c r="Q166" s="2">
        <v>0</v>
      </c>
      <c r="R166" s="2">
        <v>0</v>
      </c>
      <c r="S166" s="2">
        <v>147000</v>
      </c>
      <c r="T166" s="3">
        <v>0.49</v>
      </c>
      <c r="U166" s="1"/>
      <c r="V166" s="1" t="s">
        <v>1594</v>
      </c>
      <c r="W166" s="1" t="s">
        <v>202</v>
      </c>
      <c r="X166" s="1" t="s">
        <v>213</v>
      </c>
      <c r="Y166" s="1">
        <v>42</v>
      </c>
      <c r="Z166" s="1" t="s">
        <v>1595</v>
      </c>
      <c r="AA166" s="1" t="s">
        <v>975</v>
      </c>
      <c r="AB166" s="1">
        <v>3104009820</v>
      </c>
    </row>
    <row r="167" spans="1:28" ht="13.8">
      <c r="A167" s="331">
        <v>36146</v>
      </c>
      <c r="B167" s="331">
        <v>25965</v>
      </c>
      <c r="C167" s="115">
        <v>46059</v>
      </c>
      <c r="D167" s="1" t="s">
        <v>1382</v>
      </c>
      <c r="E167" s="1" t="s">
        <v>1383</v>
      </c>
      <c r="F167" s="1" t="s">
        <v>2</v>
      </c>
      <c r="G167" s="1">
        <v>890242</v>
      </c>
      <c r="H167" s="1" t="s">
        <v>331</v>
      </c>
      <c r="I167" s="1" t="s">
        <v>972</v>
      </c>
      <c r="J167" s="1" t="s">
        <v>223</v>
      </c>
      <c r="K167" s="1"/>
      <c r="L167" s="2">
        <v>250000</v>
      </c>
      <c r="M167" s="2">
        <v>125000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125000</v>
      </c>
      <c r="T167" s="3">
        <v>0.5</v>
      </c>
      <c r="U167" s="1"/>
      <c r="V167" s="1" t="s">
        <v>1596</v>
      </c>
      <c r="W167" s="1" t="s">
        <v>202</v>
      </c>
      <c r="X167" s="1" t="s">
        <v>277</v>
      </c>
      <c r="Y167" s="1">
        <v>61</v>
      </c>
      <c r="Z167" s="1" t="s">
        <v>1597</v>
      </c>
      <c r="AA167" s="1" t="s">
        <v>975</v>
      </c>
      <c r="AB167" s="1">
        <v>17202750090</v>
      </c>
    </row>
    <row r="168" spans="1:28" ht="13.8">
      <c r="A168" s="331">
        <v>35764</v>
      </c>
      <c r="B168" s="331">
        <v>25284</v>
      </c>
      <c r="C168" s="115">
        <v>46059</v>
      </c>
      <c r="D168" s="1" t="s">
        <v>631</v>
      </c>
      <c r="E168" s="1" t="s">
        <v>632</v>
      </c>
      <c r="F168" s="1" t="s">
        <v>3</v>
      </c>
      <c r="G168" s="1">
        <v>890242</v>
      </c>
      <c r="H168" s="1" t="s">
        <v>331</v>
      </c>
      <c r="I168" s="1" t="s">
        <v>972</v>
      </c>
      <c r="J168" s="1" t="s">
        <v>223</v>
      </c>
      <c r="K168" s="1"/>
      <c r="L168" s="2">
        <v>250000</v>
      </c>
      <c r="M168" s="2">
        <v>122500</v>
      </c>
      <c r="N168" s="2">
        <v>0</v>
      </c>
      <c r="O168" s="2">
        <v>5000</v>
      </c>
      <c r="P168" s="2">
        <v>0</v>
      </c>
      <c r="Q168" s="2">
        <v>0</v>
      </c>
      <c r="R168" s="2">
        <v>0</v>
      </c>
      <c r="S168" s="2">
        <v>122500</v>
      </c>
      <c r="T168" s="3">
        <v>0.49</v>
      </c>
      <c r="U168" s="1"/>
      <c r="V168" s="1" t="s">
        <v>1598</v>
      </c>
      <c r="W168" s="1" t="s">
        <v>202</v>
      </c>
      <c r="X168" s="1" t="s">
        <v>277</v>
      </c>
      <c r="Y168" s="1">
        <v>18</v>
      </c>
      <c r="Z168" s="1" t="s">
        <v>1599</v>
      </c>
      <c r="AA168" s="1" t="s">
        <v>975</v>
      </c>
      <c r="AB168" s="1">
        <v>3054033265</v>
      </c>
    </row>
    <row r="169" spans="1:28" ht="13.8">
      <c r="A169" s="331">
        <v>35832</v>
      </c>
      <c r="B169" s="331">
        <v>25412</v>
      </c>
      <c r="C169" s="115">
        <v>46059</v>
      </c>
      <c r="D169" s="1" t="s">
        <v>696</v>
      </c>
      <c r="E169" s="1" t="s">
        <v>1600</v>
      </c>
      <c r="F169" s="1" t="s">
        <v>4</v>
      </c>
      <c r="G169" s="1">
        <v>890242</v>
      </c>
      <c r="H169" s="1" t="s">
        <v>331</v>
      </c>
      <c r="I169" s="1" t="s">
        <v>972</v>
      </c>
      <c r="J169" s="1" t="s">
        <v>223</v>
      </c>
      <c r="K169" s="1"/>
      <c r="L169" s="2">
        <v>250000</v>
      </c>
      <c r="M169" s="2">
        <v>122500</v>
      </c>
      <c r="N169" s="2">
        <v>0</v>
      </c>
      <c r="O169" s="2">
        <v>5000</v>
      </c>
      <c r="P169" s="2">
        <v>0</v>
      </c>
      <c r="Q169" s="2">
        <v>0</v>
      </c>
      <c r="R169" s="2">
        <v>0</v>
      </c>
      <c r="S169" s="2">
        <v>122500</v>
      </c>
      <c r="T169" s="3">
        <v>0.49</v>
      </c>
      <c r="U169" s="1"/>
      <c r="V169" s="1" t="s">
        <v>1601</v>
      </c>
      <c r="W169" s="1" t="s">
        <v>202</v>
      </c>
      <c r="X169" s="1" t="s">
        <v>225</v>
      </c>
      <c r="Y169" s="1">
        <v>14</v>
      </c>
      <c r="Z169" s="1" t="s">
        <v>1602</v>
      </c>
      <c r="AA169" s="1" t="s">
        <v>975</v>
      </c>
      <c r="AB169" s="1">
        <v>3113236841</v>
      </c>
    </row>
    <row r="170" spans="1:28" ht="13.8">
      <c r="A170" s="331">
        <v>36205</v>
      </c>
      <c r="B170" s="331">
        <v>26076</v>
      </c>
      <c r="C170" s="115">
        <v>46059</v>
      </c>
      <c r="D170" s="1" t="s">
        <v>1603</v>
      </c>
      <c r="E170" s="1" t="s">
        <v>1604</v>
      </c>
      <c r="F170" s="1" t="s">
        <v>3</v>
      </c>
      <c r="G170" s="1" t="s">
        <v>798</v>
      </c>
      <c r="H170" s="1" t="s">
        <v>799</v>
      </c>
      <c r="I170" s="1" t="s">
        <v>1033</v>
      </c>
      <c r="J170" s="1" t="s">
        <v>210</v>
      </c>
      <c r="K170" s="1" t="s">
        <v>1033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3">
        <v>0</v>
      </c>
      <c r="U170" s="1"/>
      <c r="V170" s="1"/>
      <c r="W170" s="1" t="s">
        <v>63</v>
      </c>
      <c r="X170" s="1" t="s">
        <v>213</v>
      </c>
      <c r="Y170" s="1">
        <v>45</v>
      </c>
      <c r="Z170" s="1"/>
      <c r="AA170" s="1" t="s">
        <v>975</v>
      </c>
      <c r="AB170" s="1">
        <v>3127604843</v>
      </c>
    </row>
    <row r="171" spans="1:28" ht="13.8">
      <c r="A171" s="331">
        <v>36214</v>
      </c>
      <c r="B171" s="331">
        <v>26090</v>
      </c>
      <c r="C171" s="115">
        <v>46059</v>
      </c>
      <c r="D171" s="1" t="s">
        <v>1605</v>
      </c>
      <c r="E171" s="1" t="s">
        <v>1606</v>
      </c>
      <c r="F171" s="1" t="s">
        <v>3</v>
      </c>
      <c r="G171" s="1">
        <v>890242</v>
      </c>
      <c r="H171" s="1" t="s">
        <v>331</v>
      </c>
      <c r="I171" s="1" t="s">
        <v>972</v>
      </c>
      <c r="J171" s="1" t="s">
        <v>223</v>
      </c>
      <c r="K171" s="1"/>
      <c r="L171" s="2">
        <v>250000</v>
      </c>
      <c r="M171" s="2">
        <v>125000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125000</v>
      </c>
      <c r="T171" s="3">
        <v>0.5</v>
      </c>
      <c r="U171" s="1"/>
      <c r="V171" s="1" t="s">
        <v>1607</v>
      </c>
      <c r="W171" s="1" t="s">
        <v>202</v>
      </c>
      <c r="X171" s="1" t="s">
        <v>225</v>
      </c>
      <c r="Y171" s="1">
        <v>33</v>
      </c>
      <c r="Z171" s="1" t="s">
        <v>1608</v>
      </c>
      <c r="AA171" s="1" t="s">
        <v>975</v>
      </c>
      <c r="AB171" s="1">
        <v>3012729828</v>
      </c>
    </row>
    <row r="172" spans="1:28" ht="13.8">
      <c r="A172" s="331">
        <v>36099</v>
      </c>
      <c r="B172" s="331">
        <v>25889</v>
      </c>
      <c r="C172" s="115">
        <v>46059</v>
      </c>
      <c r="D172" s="1" t="s">
        <v>902</v>
      </c>
      <c r="E172" s="1" t="s">
        <v>1609</v>
      </c>
      <c r="F172" s="1" t="s">
        <v>2</v>
      </c>
      <c r="G172" s="1">
        <v>890242</v>
      </c>
      <c r="H172" s="1" t="s">
        <v>331</v>
      </c>
      <c r="I172" s="1" t="s">
        <v>972</v>
      </c>
      <c r="J172" s="1" t="s">
        <v>223</v>
      </c>
      <c r="K172" s="1"/>
      <c r="L172" s="2">
        <v>250000</v>
      </c>
      <c r="M172" s="2">
        <v>122500</v>
      </c>
      <c r="N172" s="2">
        <v>0</v>
      </c>
      <c r="O172" s="2">
        <v>5000</v>
      </c>
      <c r="P172" s="2">
        <v>0</v>
      </c>
      <c r="Q172" s="2">
        <v>0</v>
      </c>
      <c r="R172" s="2">
        <v>0</v>
      </c>
      <c r="S172" s="2">
        <v>122500</v>
      </c>
      <c r="T172" s="3">
        <v>0.49</v>
      </c>
      <c r="U172" s="1"/>
      <c r="V172" s="1" t="s">
        <v>1610</v>
      </c>
      <c r="W172" s="1" t="s">
        <v>202</v>
      </c>
      <c r="X172" s="1" t="s">
        <v>213</v>
      </c>
      <c r="Y172" s="1">
        <v>40</v>
      </c>
      <c r="Z172" s="1" t="s">
        <v>1611</v>
      </c>
      <c r="AA172" s="1" t="s">
        <v>975</v>
      </c>
      <c r="AB172" s="1">
        <v>3167153662</v>
      </c>
    </row>
    <row r="173" spans="1:28" ht="13.8">
      <c r="A173" s="331">
        <v>35891</v>
      </c>
      <c r="B173" s="331">
        <v>25504</v>
      </c>
      <c r="C173" s="115">
        <v>46059</v>
      </c>
      <c r="D173" s="1" t="s">
        <v>721</v>
      </c>
      <c r="E173" s="1" t="s">
        <v>722</v>
      </c>
      <c r="F173" s="1" t="s">
        <v>3</v>
      </c>
      <c r="G173" s="1">
        <v>890242</v>
      </c>
      <c r="H173" s="1" t="s">
        <v>331</v>
      </c>
      <c r="I173" s="1" t="s">
        <v>972</v>
      </c>
      <c r="J173" s="1" t="s">
        <v>223</v>
      </c>
      <c r="K173" s="1"/>
      <c r="L173" s="2">
        <v>250000</v>
      </c>
      <c r="M173" s="2">
        <v>122500</v>
      </c>
      <c r="N173" s="2">
        <v>0</v>
      </c>
      <c r="O173" s="2">
        <v>5000</v>
      </c>
      <c r="P173" s="2">
        <v>0</v>
      </c>
      <c r="Q173" s="2">
        <v>0</v>
      </c>
      <c r="R173" s="2">
        <v>0</v>
      </c>
      <c r="S173" s="2">
        <v>122500</v>
      </c>
      <c r="T173" s="3">
        <v>0.49</v>
      </c>
      <c r="U173" s="1"/>
      <c r="V173" s="1" t="s">
        <v>1612</v>
      </c>
      <c r="W173" s="1" t="s">
        <v>202</v>
      </c>
      <c r="X173" s="1" t="s">
        <v>529</v>
      </c>
      <c r="Y173" s="1">
        <v>37</v>
      </c>
      <c r="Z173" s="1" t="s">
        <v>1613</v>
      </c>
      <c r="AA173" s="1" t="s">
        <v>975</v>
      </c>
      <c r="AB173" s="1">
        <v>3127748004</v>
      </c>
    </row>
    <row r="174" spans="1:28" ht="13.8">
      <c r="A174" s="331">
        <v>33393</v>
      </c>
      <c r="B174" s="331">
        <v>25248</v>
      </c>
      <c r="C174" s="115">
        <v>46059</v>
      </c>
      <c r="D174" s="1" t="s">
        <v>609</v>
      </c>
      <c r="E174" s="1" t="s">
        <v>610</v>
      </c>
      <c r="F174" s="1" t="s">
        <v>4</v>
      </c>
      <c r="G174" s="1" t="s">
        <v>324</v>
      </c>
      <c r="H174" s="1" t="s">
        <v>325</v>
      </c>
      <c r="I174" s="1" t="s">
        <v>1097</v>
      </c>
      <c r="J174" s="1" t="s">
        <v>210</v>
      </c>
      <c r="K174" s="1" t="s">
        <v>1097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3">
        <v>0</v>
      </c>
      <c r="U174" s="1"/>
      <c r="V174" s="1"/>
      <c r="W174" s="1" t="s">
        <v>63</v>
      </c>
      <c r="X174" s="1" t="s">
        <v>213</v>
      </c>
      <c r="Y174" s="1">
        <v>29</v>
      </c>
      <c r="Z174" s="1"/>
      <c r="AA174" s="1" t="s">
        <v>975</v>
      </c>
      <c r="AB174" s="1">
        <v>3146143016</v>
      </c>
    </row>
    <row r="175" spans="1:28" ht="13.8">
      <c r="A175" s="331">
        <v>36232</v>
      </c>
      <c r="B175" s="331">
        <v>26138</v>
      </c>
      <c r="C175" s="115">
        <v>46059</v>
      </c>
      <c r="D175" s="1" t="s">
        <v>758</v>
      </c>
      <c r="E175" s="1" t="s">
        <v>1578</v>
      </c>
      <c r="F175" s="1" t="s">
        <v>4</v>
      </c>
      <c r="G175" s="1" t="s">
        <v>362</v>
      </c>
      <c r="H175" s="1" t="s">
        <v>363</v>
      </c>
      <c r="I175" s="1" t="s">
        <v>1062</v>
      </c>
      <c r="J175" s="1" t="s">
        <v>210</v>
      </c>
      <c r="K175" s="1"/>
      <c r="L175" s="2">
        <v>1200000</v>
      </c>
      <c r="M175" s="2">
        <v>293883</v>
      </c>
      <c r="N175" s="2">
        <v>499953.07</v>
      </c>
      <c r="O175" s="2">
        <v>24000</v>
      </c>
      <c r="P175" s="2">
        <v>0</v>
      </c>
      <c r="Q175" s="2">
        <v>88280.93</v>
      </c>
      <c r="R175" s="2">
        <v>0</v>
      </c>
      <c r="S175" s="2">
        <v>382163.93</v>
      </c>
      <c r="T175" s="3">
        <v>0.31846994166666998</v>
      </c>
      <c r="U175" s="1"/>
      <c r="V175" s="1" t="s">
        <v>1614</v>
      </c>
      <c r="W175" s="1" t="s">
        <v>202</v>
      </c>
      <c r="X175" s="1" t="s">
        <v>248</v>
      </c>
      <c r="Y175" s="1">
        <v>47</v>
      </c>
      <c r="Z175" s="1" t="s">
        <v>1615</v>
      </c>
      <c r="AA175" s="1" t="s">
        <v>975</v>
      </c>
      <c r="AB175" s="1">
        <v>3113527118</v>
      </c>
    </row>
    <row r="176" spans="1:28" ht="13.8">
      <c r="A176" s="331">
        <v>35267</v>
      </c>
      <c r="B176" s="331">
        <v>24463</v>
      </c>
      <c r="C176" s="115">
        <v>46059</v>
      </c>
      <c r="D176" s="1" t="s">
        <v>423</v>
      </c>
      <c r="E176" s="1" t="s">
        <v>424</v>
      </c>
      <c r="F176" s="1" t="s">
        <v>4</v>
      </c>
      <c r="G176" s="1" t="s">
        <v>228</v>
      </c>
      <c r="H176" s="1" t="s">
        <v>229</v>
      </c>
      <c r="I176" s="1" t="s">
        <v>1209</v>
      </c>
      <c r="J176" s="1" t="s">
        <v>210</v>
      </c>
      <c r="K176" s="1" t="s">
        <v>1209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3">
        <v>0</v>
      </c>
      <c r="U176" s="1"/>
      <c r="V176" s="1"/>
      <c r="W176" s="1" t="s">
        <v>63</v>
      </c>
      <c r="X176" s="1" t="s">
        <v>213</v>
      </c>
      <c r="Y176" s="1">
        <v>50</v>
      </c>
      <c r="Z176" s="1"/>
      <c r="AA176" s="1" t="s">
        <v>975</v>
      </c>
      <c r="AB176" s="1">
        <v>3103647063</v>
      </c>
    </row>
    <row r="177" spans="1:28" ht="13.8">
      <c r="A177" s="331">
        <v>31341</v>
      </c>
      <c r="B177" s="331">
        <v>26104</v>
      </c>
      <c r="C177" s="115">
        <v>46059</v>
      </c>
      <c r="D177" s="1" t="s">
        <v>352</v>
      </c>
      <c r="E177" s="1" t="s">
        <v>353</v>
      </c>
      <c r="F177" s="1" t="s">
        <v>4</v>
      </c>
      <c r="G177" s="1" t="s">
        <v>324</v>
      </c>
      <c r="H177" s="1" t="s">
        <v>325</v>
      </c>
      <c r="I177" s="1" t="s">
        <v>1097</v>
      </c>
      <c r="J177" s="1" t="s">
        <v>210</v>
      </c>
      <c r="K177" s="1" t="s">
        <v>1097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3">
        <v>0</v>
      </c>
      <c r="U177" s="1"/>
      <c r="V177" s="1"/>
      <c r="W177" s="1" t="s">
        <v>63</v>
      </c>
      <c r="X177" s="1" t="s">
        <v>213</v>
      </c>
      <c r="Y177" s="1">
        <v>42</v>
      </c>
      <c r="Z177" s="1"/>
      <c r="AA177" s="1" t="s">
        <v>975</v>
      </c>
      <c r="AB177" s="1">
        <v>3104009820</v>
      </c>
    </row>
    <row r="178" spans="1:28" ht="13.8">
      <c r="A178" s="331">
        <v>35267</v>
      </c>
      <c r="B178" s="331">
        <v>24464</v>
      </c>
      <c r="C178" s="115">
        <v>46059</v>
      </c>
      <c r="D178" s="1" t="s">
        <v>423</v>
      </c>
      <c r="E178" s="1" t="s">
        <v>424</v>
      </c>
      <c r="F178" s="1" t="s">
        <v>4</v>
      </c>
      <c r="G178" s="1" t="s">
        <v>324</v>
      </c>
      <c r="H178" s="1" t="s">
        <v>325</v>
      </c>
      <c r="I178" s="1" t="s">
        <v>1097</v>
      </c>
      <c r="J178" s="1" t="s">
        <v>210</v>
      </c>
      <c r="K178" s="1" t="s">
        <v>1097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3">
        <v>0</v>
      </c>
      <c r="U178" s="1"/>
      <c r="V178" s="1"/>
      <c r="W178" s="1" t="s">
        <v>63</v>
      </c>
      <c r="X178" s="1" t="s">
        <v>213</v>
      </c>
      <c r="Y178" s="1">
        <v>50</v>
      </c>
      <c r="Z178" s="1"/>
      <c r="AA178" s="1" t="s">
        <v>975</v>
      </c>
      <c r="AB178" s="1">
        <v>3103647063</v>
      </c>
    </row>
    <row r="179" spans="1:28" ht="13.8">
      <c r="A179" s="331">
        <v>26936</v>
      </c>
      <c r="B179" s="331">
        <v>26121</v>
      </c>
      <c r="C179" s="115">
        <v>46059</v>
      </c>
      <c r="D179" s="1" t="s">
        <v>796</v>
      </c>
      <c r="E179" s="1" t="s">
        <v>797</v>
      </c>
      <c r="F179" s="1" t="s">
        <v>4</v>
      </c>
      <c r="G179" s="1" t="s">
        <v>324</v>
      </c>
      <c r="H179" s="1" t="s">
        <v>325</v>
      </c>
      <c r="I179" s="1" t="s">
        <v>1097</v>
      </c>
      <c r="J179" s="1" t="s">
        <v>210</v>
      </c>
      <c r="K179" s="1" t="s">
        <v>1097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3">
        <v>0</v>
      </c>
      <c r="U179" s="1"/>
      <c r="V179" s="1"/>
      <c r="W179" s="1" t="s">
        <v>63</v>
      </c>
      <c r="X179" s="1" t="s">
        <v>225</v>
      </c>
      <c r="Y179" s="1">
        <v>37</v>
      </c>
      <c r="Z179" s="1"/>
      <c r="AA179" s="1" t="s">
        <v>975</v>
      </c>
      <c r="AB179" s="1">
        <v>3127122082</v>
      </c>
    </row>
    <row r="180" spans="1:28" ht="13.8">
      <c r="A180" s="331">
        <v>26936</v>
      </c>
      <c r="B180" s="331">
        <v>26122</v>
      </c>
      <c r="C180" s="115">
        <v>46059</v>
      </c>
      <c r="D180" s="1" t="s">
        <v>796</v>
      </c>
      <c r="E180" s="1" t="s">
        <v>797</v>
      </c>
      <c r="F180" s="1" t="s">
        <v>4</v>
      </c>
      <c r="G180" s="1" t="s">
        <v>228</v>
      </c>
      <c r="H180" s="1" t="s">
        <v>229</v>
      </c>
      <c r="I180" s="1" t="s">
        <v>1209</v>
      </c>
      <c r="J180" s="1" t="s">
        <v>210</v>
      </c>
      <c r="K180" s="1" t="s">
        <v>1209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3">
        <v>0</v>
      </c>
      <c r="U180" s="1"/>
      <c r="V180" s="1"/>
      <c r="W180" s="1" t="s">
        <v>63</v>
      </c>
      <c r="X180" s="1" t="s">
        <v>225</v>
      </c>
      <c r="Y180" s="1">
        <v>37</v>
      </c>
      <c r="Z180" s="1"/>
      <c r="AA180" s="1" t="s">
        <v>975</v>
      </c>
      <c r="AB180" s="1">
        <v>3127122082</v>
      </c>
    </row>
    <row r="181" spans="1:28" ht="13.8">
      <c r="A181" s="331">
        <v>35267</v>
      </c>
      <c r="B181" s="331">
        <v>26111</v>
      </c>
      <c r="C181" s="115">
        <v>46059</v>
      </c>
      <c r="D181" s="1" t="s">
        <v>423</v>
      </c>
      <c r="E181" s="1" t="s">
        <v>424</v>
      </c>
      <c r="F181" s="1" t="s">
        <v>4</v>
      </c>
      <c r="G181" s="1" t="s">
        <v>255</v>
      </c>
      <c r="H181" s="1" t="s">
        <v>256</v>
      </c>
      <c r="I181" s="1" t="s">
        <v>256</v>
      </c>
      <c r="J181" s="1" t="s">
        <v>210</v>
      </c>
      <c r="K181" s="1" t="s">
        <v>1066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3">
        <v>0</v>
      </c>
      <c r="U181" s="1"/>
      <c r="V181" s="1"/>
      <c r="W181" s="1" t="s">
        <v>63</v>
      </c>
      <c r="X181" s="1" t="s">
        <v>213</v>
      </c>
      <c r="Y181" s="1">
        <v>50</v>
      </c>
      <c r="Z181" s="1"/>
      <c r="AA181" s="1" t="s">
        <v>975</v>
      </c>
      <c r="AB181" s="1">
        <v>3103647063</v>
      </c>
    </row>
    <row r="182" spans="1:28" ht="13.8">
      <c r="A182" s="331">
        <v>36220</v>
      </c>
      <c r="B182" s="331">
        <v>26103</v>
      </c>
      <c r="C182" s="115">
        <v>46059</v>
      </c>
      <c r="D182" s="1" t="s">
        <v>1616</v>
      </c>
      <c r="E182" s="1" t="s">
        <v>1617</v>
      </c>
      <c r="F182" s="1" t="s">
        <v>3</v>
      </c>
      <c r="G182" s="1">
        <v>890242</v>
      </c>
      <c r="H182" s="1" t="s">
        <v>331</v>
      </c>
      <c r="I182" s="1" t="s">
        <v>972</v>
      </c>
      <c r="J182" s="1" t="s">
        <v>223</v>
      </c>
      <c r="K182" s="1"/>
      <c r="L182" s="2">
        <v>250000</v>
      </c>
      <c r="M182" s="2">
        <v>122500</v>
      </c>
      <c r="N182" s="2">
        <v>0</v>
      </c>
      <c r="O182" s="2">
        <v>5000</v>
      </c>
      <c r="P182" s="2">
        <v>0</v>
      </c>
      <c r="Q182" s="2">
        <v>0</v>
      </c>
      <c r="R182" s="2">
        <v>0</v>
      </c>
      <c r="S182" s="2">
        <v>122500</v>
      </c>
      <c r="T182" s="3">
        <v>0.49</v>
      </c>
      <c r="U182" s="1"/>
      <c r="V182" s="1" t="s">
        <v>1618</v>
      </c>
      <c r="W182" s="1" t="s">
        <v>202</v>
      </c>
      <c r="X182" s="1" t="s">
        <v>213</v>
      </c>
      <c r="Y182" s="1">
        <v>36</v>
      </c>
      <c r="Z182" s="1" t="s">
        <v>1619</v>
      </c>
      <c r="AA182" s="1" t="s">
        <v>975</v>
      </c>
      <c r="AB182" s="1">
        <v>3128585699</v>
      </c>
    </row>
    <row r="183" spans="1:28" ht="13.8">
      <c r="A183" s="331">
        <v>36138</v>
      </c>
      <c r="B183" s="331">
        <v>25942</v>
      </c>
      <c r="C183" s="115">
        <v>46059</v>
      </c>
      <c r="D183" s="1" t="s">
        <v>949</v>
      </c>
      <c r="E183" s="1" t="s">
        <v>1620</v>
      </c>
      <c r="F183" s="1" t="s">
        <v>3</v>
      </c>
      <c r="G183" s="1">
        <v>890242</v>
      </c>
      <c r="H183" s="1" t="s">
        <v>331</v>
      </c>
      <c r="I183" s="1" t="s">
        <v>972</v>
      </c>
      <c r="J183" s="1" t="s">
        <v>223</v>
      </c>
      <c r="K183" s="1"/>
      <c r="L183" s="2">
        <v>250000</v>
      </c>
      <c r="M183" s="2">
        <v>122500</v>
      </c>
      <c r="N183" s="2">
        <v>0</v>
      </c>
      <c r="O183" s="2">
        <v>5000</v>
      </c>
      <c r="P183" s="2">
        <v>0</v>
      </c>
      <c r="Q183" s="2">
        <v>0</v>
      </c>
      <c r="R183" s="2">
        <v>0</v>
      </c>
      <c r="S183" s="2">
        <v>122500</v>
      </c>
      <c r="T183" s="3">
        <v>0.49</v>
      </c>
      <c r="U183" s="1"/>
      <c r="V183" s="1" t="s">
        <v>1621</v>
      </c>
      <c r="W183" s="1" t="s">
        <v>202</v>
      </c>
      <c r="X183" s="1" t="s">
        <v>277</v>
      </c>
      <c r="Y183" s="1">
        <v>29</v>
      </c>
      <c r="Z183" s="1" t="s">
        <v>1622</v>
      </c>
      <c r="AA183" s="1" t="s">
        <v>975</v>
      </c>
      <c r="AB183" s="1">
        <v>3008475476</v>
      </c>
    </row>
    <row r="184" spans="1:28" ht="13.8">
      <c r="A184" s="331">
        <v>36248</v>
      </c>
      <c r="B184" s="331">
        <v>26180</v>
      </c>
      <c r="C184" s="115">
        <v>46059</v>
      </c>
      <c r="D184" s="1" t="s">
        <v>902</v>
      </c>
      <c r="E184" s="1" t="s">
        <v>1609</v>
      </c>
      <c r="F184" s="1" t="s">
        <v>2</v>
      </c>
      <c r="G184" s="1" t="s">
        <v>496</v>
      </c>
      <c r="H184" s="1" t="s">
        <v>497</v>
      </c>
      <c r="I184" s="1" t="s">
        <v>983</v>
      </c>
      <c r="J184" s="1" t="s">
        <v>210</v>
      </c>
      <c r="K184" s="1" t="s">
        <v>1048</v>
      </c>
      <c r="L184" s="2">
        <v>600000</v>
      </c>
      <c r="M184" s="2">
        <v>294000</v>
      </c>
      <c r="N184" s="2">
        <v>0</v>
      </c>
      <c r="O184" s="2">
        <v>12000</v>
      </c>
      <c r="P184" s="2">
        <v>0</v>
      </c>
      <c r="Q184" s="2">
        <v>0</v>
      </c>
      <c r="R184" s="2">
        <v>0</v>
      </c>
      <c r="S184" s="2">
        <v>294000</v>
      </c>
      <c r="T184" s="3">
        <v>0.49</v>
      </c>
      <c r="U184" s="1"/>
      <c r="V184" s="1" t="s">
        <v>1623</v>
      </c>
      <c r="W184" s="1" t="s">
        <v>202</v>
      </c>
      <c r="X184" s="1" t="s">
        <v>213</v>
      </c>
      <c r="Y184" s="1">
        <v>40</v>
      </c>
      <c r="Z184" s="1" t="s">
        <v>1624</v>
      </c>
      <c r="AA184" s="1" t="s">
        <v>975</v>
      </c>
      <c r="AB184" s="1">
        <v>3167153662</v>
      </c>
    </row>
    <row r="185" spans="1:28" ht="13.8">
      <c r="A185" s="331">
        <v>32495</v>
      </c>
      <c r="B185" s="331">
        <v>21403</v>
      </c>
      <c r="C185" s="115">
        <v>46059</v>
      </c>
      <c r="D185" s="1" t="s">
        <v>1625</v>
      </c>
      <c r="E185" s="1" t="s">
        <v>1626</v>
      </c>
      <c r="F185" s="1" t="s">
        <v>2</v>
      </c>
      <c r="G185" s="1" t="s">
        <v>1031</v>
      </c>
      <c r="H185" s="1" t="s">
        <v>1032</v>
      </c>
      <c r="I185" s="1" t="s">
        <v>1033</v>
      </c>
      <c r="J185" s="1" t="s">
        <v>210</v>
      </c>
      <c r="K185" s="1" t="s">
        <v>1033</v>
      </c>
      <c r="L185" s="2">
        <v>800000</v>
      </c>
      <c r="M185" s="2">
        <v>392000</v>
      </c>
      <c r="N185" s="2">
        <v>0</v>
      </c>
      <c r="O185" s="2">
        <v>16000</v>
      </c>
      <c r="P185" s="2">
        <v>0</v>
      </c>
      <c r="Q185" s="2">
        <v>0</v>
      </c>
      <c r="R185" s="2">
        <v>0</v>
      </c>
      <c r="S185" s="2">
        <v>392000</v>
      </c>
      <c r="T185" s="3">
        <v>0.49</v>
      </c>
      <c r="U185" s="1"/>
      <c r="V185" s="1" t="s">
        <v>1627</v>
      </c>
      <c r="W185" s="1" t="s">
        <v>202</v>
      </c>
      <c r="X185" s="1" t="s">
        <v>225</v>
      </c>
      <c r="Y185" s="1">
        <v>47</v>
      </c>
      <c r="Z185" s="1" t="s">
        <v>1628</v>
      </c>
      <c r="AA185" s="1" t="s">
        <v>975</v>
      </c>
      <c r="AB185" s="1">
        <v>3176802944</v>
      </c>
    </row>
    <row r="186" spans="1:28" ht="13.8">
      <c r="A186" s="331">
        <v>36009</v>
      </c>
      <c r="B186" s="331">
        <v>25731</v>
      </c>
      <c r="C186" s="115">
        <v>46059</v>
      </c>
      <c r="D186" s="1" t="s">
        <v>1370</v>
      </c>
      <c r="E186" s="1" t="s">
        <v>1371</v>
      </c>
      <c r="F186" s="1" t="s">
        <v>2</v>
      </c>
      <c r="G186" s="1" t="s">
        <v>301</v>
      </c>
      <c r="H186" s="1" t="s">
        <v>302</v>
      </c>
      <c r="I186" s="1" t="s">
        <v>1058</v>
      </c>
      <c r="J186" s="1" t="s">
        <v>210</v>
      </c>
      <c r="K186" s="1" t="s">
        <v>1058</v>
      </c>
      <c r="L186" s="2">
        <v>1200000</v>
      </c>
      <c r="M186" s="2">
        <v>522675</v>
      </c>
      <c r="N186" s="2">
        <v>111000</v>
      </c>
      <c r="O186" s="2">
        <v>24000</v>
      </c>
      <c r="P186" s="2">
        <v>0</v>
      </c>
      <c r="Q186" s="2">
        <v>19650</v>
      </c>
      <c r="R186" s="2">
        <v>0</v>
      </c>
      <c r="S186" s="2">
        <v>542325</v>
      </c>
      <c r="T186" s="3">
        <v>0.45193749999999999</v>
      </c>
      <c r="U186" s="1"/>
      <c r="V186" s="1" t="s">
        <v>1629</v>
      </c>
      <c r="W186" s="1" t="s">
        <v>202</v>
      </c>
      <c r="X186" s="1" t="s">
        <v>213</v>
      </c>
      <c r="Y186" s="1">
        <v>20</v>
      </c>
      <c r="Z186" s="1" t="s">
        <v>1630</v>
      </c>
      <c r="AA186" s="1" t="s">
        <v>975</v>
      </c>
      <c r="AB186" s="1">
        <v>3117036584</v>
      </c>
    </row>
    <row r="187" spans="1:28" ht="13.8">
      <c r="A187" s="331">
        <v>36257</v>
      </c>
      <c r="B187" s="331">
        <v>26192</v>
      </c>
      <c r="C187" s="115">
        <v>46059</v>
      </c>
      <c r="D187" s="1" t="s">
        <v>1631</v>
      </c>
      <c r="E187" s="1" t="s">
        <v>1632</v>
      </c>
      <c r="F187" s="1" t="s">
        <v>2</v>
      </c>
      <c r="G187" s="1">
        <v>890242</v>
      </c>
      <c r="H187" s="1" t="s">
        <v>331</v>
      </c>
      <c r="I187" s="1" t="s">
        <v>972</v>
      </c>
      <c r="J187" s="1" t="s">
        <v>223</v>
      </c>
      <c r="K187" s="1"/>
      <c r="L187" s="2">
        <v>200000</v>
      </c>
      <c r="M187" s="2">
        <v>98000</v>
      </c>
      <c r="N187" s="2">
        <v>0</v>
      </c>
      <c r="O187" s="2">
        <v>4000</v>
      </c>
      <c r="P187" s="2">
        <v>0</v>
      </c>
      <c r="Q187" s="2">
        <v>0</v>
      </c>
      <c r="R187" s="2">
        <v>0</v>
      </c>
      <c r="S187" s="2">
        <v>98000</v>
      </c>
      <c r="T187" s="3">
        <v>0.49</v>
      </c>
      <c r="U187" s="1"/>
      <c r="V187" s="1" t="s">
        <v>1633</v>
      </c>
      <c r="W187" s="1" t="s">
        <v>202</v>
      </c>
      <c r="X187" s="1" t="s">
        <v>277</v>
      </c>
      <c r="Y187" s="1">
        <v>32</v>
      </c>
      <c r="Z187" s="1" t="s">
        <v>1634</v>
      </c>
      <c r="AA187" s="1" t="s">
        <v>975</v>
      </c>
      <c r="AB187" s="1">
        <v>3015557875</v>
      </c>
    </row>
    <row r="188" spans="1:28" ht="13.8">
      <c r="A188" s="331">
        <v>36085</v>
      </c>
      <c r="B188" s="331">
        <v>25871</v>
      </c>
      <c r="C188" s="115">
        <v>46059</v>
      </c>
      <c r="D188" s="1" t="s">
        <v>883</v>
      </c>
      <c r="E188" s="1" t="s">
        <v>884</v>
      </c>
      <c r="F188" s="1" t="s">
        <v>3</v>
      </c>
      <c r="G188" s="1">
        <v>890242</v>
      </c>
      <c r="H188" s="1" t="s">
        <v>331</v>
      </c>
      <c r="I188" s="1" t="s">
        <v>972</v>
      </c>
      <c r="J188" s="1" t="s">
        <v>223</v>
      </c>
      <c r="K188" s="1"/>
      <c r="L188" s="2">
        <v>250000</v>
      </c>
      <c r="M188" s="2">
        <v>125000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125000</v>
      </c>
      <c r="T188" s="3">
        <v>0.5</v>
      </c>
      <c r="U188" s="1"/>
      <c r="V188" s="1" t="s">
        <v>1635</v>
      </c>
      <c r="W188" s="1" t="s">
        <v>202</v>
      </c>
      <c r="X188" s="1" t="s">
        <v>277</v>
      </c>
      <c r="Y188" s="1">
        <v>27</v>
      </c>
      <c r="Z188" s="1" t="s">
        <v>1636</v>
      </c>
      <c r="AA188" s="1" t="s">
        <v>1028</v>
      </c>
      <c r="AB188" s="1">
        <v>3173146427</v>
      </c>
    </row>
    <row r="189" spans="1:28" ht="13.8">
      <c r="A189" s="331">
        <v>36225</v>
      </c>
      <c r="B189" s="331">
        <v>26114</v>
      </c>
      <c r="C189" s="115">
        <v>46059</v>
      </c>
      <c r="D189" s="1" t="s">
        <v>1364</v>
      </c>
      <c r="E189" s="1" t="s">
        <v>1365</v>
      </c>
      <c r="F189" s="1" t="s">
        <v>2</v>
      </c>
      <c r="G189" s="1">
        <v>861401</v>
      </c>
      <c r="H189" s="1" t="s">
        <v>307</v>
      </c>
      <c r="I189" s="1" t="s">
        <v>983</v>
      </c>
      <c r="J189" s="1" t="s">
        <v>210</v>
      </c>
      <c r="K189" s="1"/>
      <c r="L189" s="2">
        <v>280000</v>
      </c>
      <c r="M189" s="2">
        <v>137200</v>
      </c>
      <c r="N189" s="2">
        <v>0</v>
      </c>
      <c r="O189" s="2">
        <v>5600</v>
      </c>
      <c r="P189" s="2">
        <v>0</v>
      </c>
      <c r="Q189" s="2">
        <v>0</v>
      </c>
      <c r="R189" s="2">
        <v>0</v>
      </c>
      <c r="S189" s="2">
        <v>137200</v>
      </c>
      <c r="T189" s="3">
        <v>0.49</v>
      </c>
      <c r="U189" s="1"/>
      <c r="V189" s="1" t="s">
        <v>1637</v>
      </c>
      <c r="W189" s="1" t="s">
        <v>202</v>
      </c>
      <c r="X189" s="1" t="s">
        <v>213</v>
      </c>
      <c r="Y189" s="1">
        <v>68</v>
      </c>
      <c r="Z189" s="1" t="s">
        <v>1638</v>
      </c>
      <c r="AA189" s="1" t="s">
        <v>975</v>
      </c>
      <c r="AB189" s="1">
        <v>3006824808</v>
      </c>
    </row>
    <row r="190" spans="1:28" ht="13.8">
      <c r="A190" s="331">
        <v>32793</v>
      </c>
      <c r="B190" s="331">
        <v>26128</v>
      </c>
      <c r="C190" s="115">
        <v>46059</v>
      </c>
      <c r="D190" s="1" t="s">
        <v>543</v>
      </c>
      <c r="E190" s="1" t="s">
        <v>544</v>
      </c>
      <c r="F190" s="1" t="s">
        <v>2</v>
      </c>
      <c r="G190" s="1" t="s">
        <v>255</v>
      </c>
      <c r="H190" s="1" t="s">
        <v>256</v>
      </c>
      <c r="I190" s="1" t="s">
        <v>256</v>
      </c>
      <c r="J190" s="1" t="s">
        <v>210</v>
      </c>
      <c r="K190" s="1" t="s">
        <v>1066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3">
        <v>0</v>
      </c>
      <c r="U190" s="1"/>
      <c r="V190" s="1"/>
      <c r="W190" s="1" t="s">
        <v>63</v>
      </c>
      <c r="X190" s="1" t="s">
        <v>248</v>
      </c>
      <c r="Y190" s="1">
        <v>22</v>
      </c>
      <c r="Z190" s="1"/>
      <c r="AA190" s="1" t="s">
        <v>975</v>
      </c>
      <c r="AB190" s="1">
        <v>3052279132</v>
      </c>
    </row>
    <row r="191" spans="1:28" ht="13.8">
      <c r="A191" s="331">
        <v>36007</v>
      </c>
      <c r="B191" s="331">
        <v>25754</v>
      </c>
      <c r="C191" s="115">
        <v>46059</v>
      </c>
      <c r="D191" s="1" t="s">
        <v>810</v>
      </c>
      <c r="E191" s="1" t="s">
        <v>811</v>
      </c>
      <c r="F191" s="1" t="s">
        <v>2</v>
      </c>
      <c r="G191" s="1" t="s">
        <v>625</v>
      </c>
      <c r="H191" s="1" t="s">
        <v>626</v>
      </c>
      <c r="I191" s="1" t="s">
        <v>1058</v>
      </c>
      <c r="J191" s="1" t="s">
        <v>210</v>
      </c>
      <c r="K191" s="1" t="s">
        <v>1058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3">
        <v>0</v>
      </c>
      <c r="U191" s="1"/>
      <c r="V191" s="1"/>
      <c r="W191" s="1" t="s">
        <v>63</v>
      </c>
      <c r="X191" s="1" t="s">
        <v>225</v>
      </c>
      <c r="Y191" s="1">
        <v>42</v>
      </c>
      <c r="Z191" s="1"/>
      <c r="AA191" s="1" t="s">
        <v>975</v>
      </c>
      <c r="AB191" s="1">
        <v>3217998074</v>
      </c>
    </row>
    <row r="192" spans="1:28" ht="13.8">
      <c r="A192" s="331">
        <v>36007</v>
      </c>
      <c r="B192" s="331">
        <v>25755</v>
      </c>
      <c r="C192" s="115">
        <v>46059</v>
      </c>
      <c r="D192" s="1" t="s">
        <v>810</v>
      </c>
      <c r="E192" s="1" t="s">
        <v>811</v>
      </c>
      <c r="F192" s="1" t="s">
        <v>2</v>
      </c>
      <c r="G192" s="1" t="s">
        <v>555</v>
      </c>
      <c r="H192" s="1" t="s">
        <v>556</v>
      </c>
      <c r="I192" s="1" t="s">
        <v>1065</v>
      </c>
      <c r="J192" s="1" t="s">
        <v>210</v>
      </c>
      <c r="K192" s="1"/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3">
        <v>0</v>
      </c>
      <c r="U192" s="1"/>
      <c r="V192" s="1"/>
      <c r="W192" s="1" t="s">
        <v>63</v>
      </c>
      <c r="X192" s="1" t="s">
        <v>225</v>
      </c>
      <c r="Y192" s="1">
        <v>42</v>
      </c>
      <c r="Z192" s="1"/>
      <c r="AA192" s="1" t="s">
        <v>975</v>
      </c>
      <c r="AB192" s="1">
        <v>3217998074</v>
      </c>
    </row>
    <row r="193" spans="1:28" ht="13.8">
      <c r="A193" s="331">
        <v>32399</v>
      </c>
      <c r="B193" s="331">
        <v>26182</v>
      </c>
      <c r="C193" s="115">
        <v>46059</v>
      </c>
      <c r="D193" s="1" t="s">
        <v>571</v>
      </c>
      <c r="E193" s="1" t="s">
        <v>572</v>
      </c>
      <c r="F193" s="1" t="s">
        <v>5</v>
      </c>
      <c r="G193" s="1">
        <v>861414</v>
      </c>
      <c r="H193" s="1" t="s">
        <v>405</v>
      </c>
      <c r="I193" s="1" t="s">
        <v>1081</v>
      </c>
      <c r="J193" s="1" t="s">
        <v>210</v>
      </c>
      <c r="K193" s="1"/>
      <c r="L193" s="2">
        <v>1300000</v>
      </c>
      <c r="M193" s="2">
        <v>460420.5</v>
      </c>
      <c r="N193" s="2">
        <v>219111.09</v>
      </c>
      <c r="O193" s="2">
        <v>26000</v>
      </c>
      <c r="P193" s="2">
        <v>0</v>
      </c>
      <c r="Q193" s="2">
        <v>134047.91</v>
      </c>
      <c r="R193" s="2">
        <v>0</v>
      </c>
      <c r="S193" s="2">
        <v>594468.41</v>
      </c>
      <c r="T193" s="3">
        <v>0.45728339230769</v>
      </c>
      <c r="U193" s="1"/>
      <c r="V193" s="1" t="s">
        <v>1639</v>
      </c>
      <c r="W193" s="1" t="s">
        <v>202</v>
      </c>
      <c r="X193" s="1" t="s">
        <v>225</v>
      </c>
      <c r="Y193" s="1">
        <v>39</v>
      </c>
      <c r="Z193" s="1" t="s">
        <v>1640</v>
      </c>
      <c r="AA193" s="1" t="s">
        <v>975</v>
      </c>
      <c r="AB193" s="1">
        <v>3014885578</v>
      </c>
    </row>
    <row r="194" spans="1:28" ht="13.8">
      <c r="A194" s="331">
        <v>32399</v>
      </c>
      <c r="B194" s="331">
        <v>26183</v>
      </c>
      <c r="C194" s="115">
        <v>46059</v>
      </c>
      <c r="D194" s="1" t="s">
        <v>571</v>
      </c>
      <c r="E194" s="1" t="s">
        <v>572</v>
      </c>
      <c r="F194" s="1" t="s">
        <v>5</v>
      </c>
      <c r="G194" s="1">
        <v>861426</v>
      </c>
      <c r="H194" s="1" t="s">
        <v>517</v>
      </c>
      <c r="I194" s="1" t="s">
        <v>1081</v>
      </c>
      <c r="J194" s="1" t="s">
        <v>210</v>
      </c>
      <c r="K194" s="1"/>
      <c r="L194" s="2">
        <v>900000</v>
      </c>
      <c r="M194" s="2">
        <v>310950</v>
      </c>
      <c r="N194" s="2">
        <v>209449.16</v>
      </c>
      <c r="O194" s="2">
        <v>18000</v>
      </c>
      <c r="P194" s="2">
        <v>0</v>
      </c>
      <c r="Q194" s="2">
        <v>50650.84</v>
      </c>
      <c r="R194" s="2">
        <v>0</v>
      </c>
      <c r="S194" s="2">
        <v>361600.84</v>
      </c>
      <c r="T194" s="3">
        <v>0.40177871111111002</v>
      </c>
      <c r="U194" s="1"/>
      <c r="V194" s="1" t="s">
        <v>1639</v>
      </c>
      <c r="W194" s="1" t="s">
        <v>202</v>
      </c>
      <c r="X194" s="1" t="s">
        <v>225</v>
      </c>
      <c r="Y194" s="1">
        <v>39</v>
      </c>
      <c r="Z194" s="1" t="s">
        <v>1640</v>
      </c>
      <c r="AA194" s="1" t="s">
        <v>975</v>
      </c>
      <c r="AB194" s="1">
        <v>3014885578</v>
      </c>
    </row>
    <row r="195" spans="1:28" ht="13.8">
      <c r="A195" s="331">
        <v>35664</v>
      </c>
      <c r="B195" s="331">
        <v>25100</v>
      </c>
      <c r="C195" s="115">
        <v>46059</v>
      </c>
      <c r="D195" s="1" t="s">
        <v>571</v>
      </c>
      <c r="E195" s="1" t="s">
        <v>572</v>
      </c>
      <c r="F195" s="1" t="s">
        <v>5</v>
      </c>
      <c r="G195" s="1">
        <v>890303</v>
      </c>
      <c r="H195" s="1" t="s">
        <v>221</v>
      </c>
      <c r="I195" s="1" t="s">
        <v>1012</v>
      </c>
      <c r="J195" s="1" t="s">
        <v>223</v>
      </c>
      <c r="K195" s="1"/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3">
        <v>0</v>
      </c>
      <c r="U195" s="1"/>
      <c r="V195" s="1"/>
      <c r="W195" s="1" t="s">
        <v>63</v>
      </c>
      <c r="X195" s="1" t="s">
        <v>225</v>
      </c>
      <c r="Y195" s="1">
        <v>39</v>
      </c>
      <c r="Z195" s="1"/>
      <c r="AA195" s="1" t="s">
        <v>975</v>
      </c>
      <c r="AB195" s="1">
        <v>3014885578</v>
      </c>
    </row>
    <row r="196" spans="1:28" ht="13.8">
      <c r="A196" s="331">
        <v>36229</v>
      </c>
      <c r="B196" s="331">
        <v>26129</v>
      </c>
      <c r="C196" s="115">
        <v>46059</v>
      </c>
      <c r="D196" s="1" t="s">
        <v>1414</v>
      </c>
      <c r="E196" s="1" t="s">
        <v>1415</v>
      </c>
      <c r="F196" s="1" t="s">
        <v>5</v>
      </c>
      <c r="G196" s="1">
        <v>861411</v>
      </c>
      <c r="H196" s="1" t="s">
        <v>406</v>
      </c>
      <c r="I196" s="1" t="s">
        <v>1081</v>
      </c>
      <c r="J196" s="1" t="s">
        <v>210</v>
      </c>
      <c r="K196" s="1"/>
      <c r="L196" s="2">
        <v>1150000</v>
      </c>
      <c r="M196" s="2">
        <v>406125</v>
      </c>
      <c r="N196" s="2">
        <v>205786</v>
      </c>
      <c r="O196" s="2">
        <v>23000</v>
      </c>
      <c r="P196" s="2">
        <v>0</v>
      </c>
      <c r="Q196" s="2">
        <v>108964</v>
      </c>
      <c r="R196" s="2">
        <v>0</v>
      </c>
      <c r="S196" s="2">
        <v>515089</v>
      </c>
      <c r="T196" s="3">
        <v>0.44790347826087001</v>
      </c>
      <c r="U196" s="1"/>
      <c r="V196" s="1" t="s">
        <v>1641</v>
      </c>
      <c r="W196" s="1" t="s">
        <v>202</v>
      </c>
      <c r="X196" s="1" t="s">
        <v>204</v>
      </c>
      <c r="Y196" s="1">
        <v>48</v>
      </c>
      <c r="Z196" s="1" t="s">
        <v>1642</v>
      </c>
      <c r="AA196" s="1" t="s">
        <v>1038</v>
      </c>
      <c r="AB196" s="1">
        <v>17873446017</v>
      </c>
    </row>
    <row r="197" spans="1:28" ht="13.8">
      <c r="A197" s="331">
        <v>32349</v>
      </c>
      <c r="B197" s="331">
        <v>26168</v>
      </c>
      <c r="C197" s="115">
        <v>46059</v>
      </c>
      <c r="D197" s="1" t="s">
        <v>1396</v>
      </c>
      <c r="E197" s="1" t="s">
        <v>1397</v>
      </c>
      <c r="F197" s="1" t="s">
        <v>4</v>
      </c>
      <c r="G197" s="1" t="s">
        <v>324</v>
      </c>
      <c r="H197" s="1" t="s">
        <v>325</v>
      </c>
      <c r="I197" s="1" t="s">
        <v>1097</v>
      </c>
      <c r="J197" s="1" t="s">
        <v>210</v>
      </c>
      <c r="K197" s="1" t="s">
        <v>1097</v>
      </c>
      <c r="L197" s="2">
        <v>650000</v>
      </c>
      <c r="M197" s="2">
        <v>318500</v>
      </c>
      <c r="N197" s="2">
        <v>0</v>
      </c>
      <c r="O197" s="2">
        <v>13000</v>
      </c>
      <c r="P197" s="2">
        <v>0</v>
      </c>
      <c r="Q197" s="2">
        <v>0</v>
      </c>
      <c r="R197" s="2">
        <v>0</v>
      </c>
      <c r="S197" s="2">
        <v>318500</v>
      </c>
      <c r="T197" s="3">
        <v>0.49</v>
      </c>
      <c r="U197" s="1"/>
      <c r="V197" s="1" t="s">
        <v>1643</v>
      </c>
      <c r="W197" s="1" t="s">
        <v>202</v>
      </c>
      <c r="X197" s="1" t="s">
        <v>213</v>
      </c>
      <c r="Y197" s="1">
        <v>28</v>
      </c>
      <c r="Z197" s="1" t="s">
        <v>1644</v>
      </c>
      <c r="AA197" s="1" t="s">
        <v>975</v>
      </c>
      <c r="AB197" s="1" t="s">
        <v>1645</v>
      </c>
    </row>
    <row r="198" spans="1:28" ht="13.8">
      <c r="A198" s="331">
        <v>29843</v>
      </c>
      <c r="B198" s="331">
        <v>25775</v>
      </c>
      <c r="C198" s="115">
        <v>46059</v>
      </c>
      <c r="D198" s="1" t="s">
        <v>820</v>
      </c>
      <c r="E198" s="1" t="s">
        <v>821</v>
      </c>
      <c r="F198" s="1" t="s">
        <v>4</v>
      </c>
      <c r="G198" s="1" t="s">
        <v>255</v>
      </c>
      <c r="H198" s="1" t="s">
        <v>256</v>
      </c>
      <c r="I198" s="1" t="s">
        <v>256</v>
      </c>
      <c r="J198" s="1" t="s">
        <v>210</v>
      </c>
      <c r="K198" s="1" t="s">
        <v>1066</v>
      </c>
      <c r="L198" s="2">
        <v>650000</v>
      </c>
      <c r="M198" s="2">
        <v>279800</v>
      </c>
      <c r="N198" s="2">
        <v>61814.38</v>
      </c>
      <c r="O198" s="2">
        <v>13000</v>
      </c>
      <c r="P198" s="2">
        <v>0</v>
      </c>
      <c r="Q198" s="2">
        <v>15585.62</v>
      </c>
      <c r="R198" s="2">
        <v>0</v>
      </c>
      <c r="S198" s="2">
        <v>295385.62</v>
      </c>
      <c r="T198" s="3">
        <v>0.45443941538462002</v>
      </c>
      <c r="U198" s="1"/>
      <c r="V198" s="1" t="s">
        <v>1646</v>
      </c>
      <c r="W198" s="1" t="s">
        <v>202</v>
      </c>
      <c r="X198" s="1" t="s">
        <v>213</v>
      </c>
      <c r="Y198" s="1">
        <v>21</v>
      </c>
      <c r="Z198" s="1" t="s">
        <v>1647</v>
      </c>
      <c r="AA198" s="1" t="s">
        <v>975</v>
      </c>
      <c r="AB198" s="1">
        <v>3147654785</v>
      </c>
    </row>
    <row r="199" spans="1:28" ht="13.8">
      <c r="A199" s="331">
        <v>29843</v>
      </c>
      <c r="B199" s="331">
        <v>26083</v>
      </c>
      <c r="C199" s="115">
        <v>46059</v>
      </c>
      <c r="D199" s="1" t="s">
        <v>820</v>
      </c>
      <c r="E199" s="1" t="s">
        <v>821</v>
      </c>
      <c r="F199" s="1" t="s">
        <v>4</v>
      </c>
      <c r="G199" s="1">
        <v>861426</v>
      </c>
      <c r="H199" s="1" t="s">
        <v>517</v>
      </c>
      <c r="I199" s="1" t="s">
        <v>1081</v>
      </c>
      <c r="J199" s="1" t="s">
        <v>210</v>
      </c>
      <c r="K199" s="1"/>
      <c r="L199" s="2">
        <v>900000</v>
      </c>
      <c r="M199" s="2">
        <v>310950</v>
      </c>
      <c r="N199" s="2">
        <v>209449.16</v>
      </c>
      <c r="O199" s="2">
        <v>18000</v>
      </c>
      <c r="P199" s="2">
        <v>0</v>
      </c>
      <c r="Q199" s="2">
        <v>50650.84</v>
      </c>
      <c r="R199" s="2">
        <v>0</v>
      </c>
      <c r="S199" s="2">
        <v>361600.84</v>
      </c>
      <c r="T199" s="3">
        <v>0.40177871111111002</v>
      </c>
      <c r="U199" s="1"/>
      <c r="V199" s="1" t="s">
        <v>1646</v>
      </c>
      <c r="W199" s="1" t="s">
        <v>202</v>
      </c>
      <c r="X199" s="1" t="s">
        <v>213</v>
      </c>
      <c r="Y199" s="1">
        <v>21</v>
      </c>
      <c r="Z199" s="1" t="s">
        <v>1647</v>
      </c>
      <c r="AA199" s="1" t="s">
        <v>975</v>
      </c>
      <c r="AB199" s="1">
        <v>3147654785</v>
      </c>
    </row>
    <row r="200" spans="1:28" ht="13.8">
      <c r="A200" s="331">
        <v>30743</v>
      </c>
      <c r="B200" s="331">
        <v>26172</v>
      </c>
      <c r="C200" s="115">
        <v>46059</v>
      </c>
      <c r="D200" s="1" t="s">
        <v>547</v>
      </c>
      <c r="E200" s="1" t="s">
        <v>548</v>
      </c>
      <c r="F200" s="1" t="s">
        <v>4</v>
      </c>
      <c r="G200" s="1" t="s">
        <v>868</v>
      </c>
      <c r="H200" s="1" t="s">
        <v>869</v>
      </c>
      <c r="I200" s="1" t="s">
        <v>1033</v>
      </c>
      <c r="J200" s="1" t="s">
        <v>210</v>
      </c>
      <c r="K200" s="1" t="s">
        <v>1033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3">
        <v>0</v>
      </c>
      <c r="U200" s="1"/>
      <c r="V200" s="1"/>
      <c r="W200" s="1" t="s">
        <v>63</v>
      </c>
      <c r="X200" s="1" t="s">
        <v>225</v>
      </c>
      <c r="Y200" s="1">
        <v>17</v>
      </c>
      <c r="Z200" s="1"/>
      <c r="AA200" s="1" t="s">
        <v>975</v>
      </c>
      <c r="AB200" s="1">
        <v>3043114739</v>
      </c>
    </row>
    <row r="201" spans="1:28" ht="13.8">
      <c r="A201" s="331">
        <v>36232</v>
      </c>
      <c r="B201" s="331">
        <v>26133</v>
      </c>
      <c r="C201" s="115">
        <v>46059</v>
      </c>
      <c r="D201" s="1" t="s">
        <v>758</v>
      </c>
      <c r="E201" s="1" t="s">
        <v>1578</v>
      </c>
      <c r="F201" s="1" t="s">
        <v>4</v>
      </c>
      <c r="G201" s="1" t="s">
        <v>1648</v>
      </c>
      <c r="H201" s="1" t="s">
        <v>1649</v>
      </c>
      <c r="I201" s="1" t="s">
        <v>1033</v>
      </c>
      <c r="J201" s="1" t="s">
        <v>210</v>
      </c>
      <c r="K201" s="1" t="s">
        <v>1033</v>
      </c>
      <c r="L201" s="2">
        <v>1100000</v>
      </c>
      <c r="M201" s="2">
        <v>539000</v>
      </c>
      <c r="N201" s="2">
        <v>0</v>
      </c>
      <c r="O201" s="2">
        <v>22000</v>
      </c>
      <c r="P201" s="2">
        <v>0</v>
      </c>
      <c r="Q201" s="2">
        <v>0</v>
      </c>
      <c r="R201" s="2">
        <v>0</v>
      </c>
      <c r="S201" s="2">
        <v>539000</v>
      </c>
      <c r="T201" s="3">
        <v>0.49</v>
      </c>
      <c r="U201" s="1"/>
      <c r="V201" s="1" t="s">
        <v>1650</v>
      </c>
      <c r="W201" s="1" t="s">
        <v>202</v>
      </c>
      <c r="X201" s="1" t="s">
        <v>248</v>
      </c>
      <c r="Y201" s="1">
        <v>47</v>
      </c>
      <c r="Z201" s="1" t="s">
        <v>1651</v>
      </c>
      <c r="AA201" s="1" t="s">
        <v>975</v>
      </c>
      <c r="AB201" s="1">
        <v>3113527118</v>
      </c>
    </row>
    <row r="202" spans="1:28" ht="13.8">
      <c r="A202" s="331">
        <v>36238</v>
      </c>
      <c r="B202" s="331">
        <v>26166</v>
      </c>
      <c r="C202" s="115">
        <v>46059</v>
      </c>
      <c r="D202" s="1" t="s">
        <v>1652</v>
      </c>
      <c r="E202" s="1" t="s">
        <v>1653</v>
      </c>
      <c r="F202" s="1" t="s">
        <v>4</v>
      </c>
      <c r="G202" s="1">
        <v>868116</v>
      </c>
      <c r="H202" s="1" t="s">
        <v>298</v>
      </c>
      <c r="I202" s="1" t="s">
        <v>983</v>
      </c>
      <c r="J202" s="1" t="s">
        <v>210</v>
      </c>
      <c r="K202" s="1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3">
        <v>0</v>
      </c>
      <c r="U202" s="1"/>
      <c r="V202" s="1"/>
      <c r="W202" s="1" t="s">
        <v>63</v>
      </c>
      <c r="X202" s="1" t="s">
        <v>204</v>
      </c>
      <c r="Y202" s="1">
        <v>39</v>
      </c>
      <c r="Z202" s="1"/>
      <c r="AA202" s="1" t="s">
        <v>975</v>
      </c>
      <c r="AB202" s="1">
        <v>3017505025</v>
      </c>
    </row>
    <row r="203" spans="1:28" ht="13.8">
      <c r="A203" s="331">
        <v>26436</v>
      </c>
      <c r="B203" s="331">
        <v>26044</v>
      </c>
      <c r="C203" s="115">
        <v>46059</v>
      </c>
      <c r="D203" s="1" t="s">
        <v>1422</v>
      </c>
      <c r="E203" s="1" t="s">
        <v>1423</v>
      </c>
      <c r="F203" s="1" t="s">
        <v>4</v>
      </c>
      <c r="G203" s="1">
        <v>861417</v>
      </c>
      <c r="H203" s="1" t="s">
        <v>1460</v>
      </c>
      <c r="I203" s="1" t="s">
        <v>1081</v>
      </c>
      <c r="J203" s="1" t="s">
        <v>210</v>
      </c>
      <c r="K203" s="1"/>
      <c r="L203" s="2">
        <v>2000000</v>
      </c>
      <c r="M203" s="2">
        <v>505905</v>
      </c>
      <c r="N203" s="2">
        <v>806290</v>
      </c>
      <c r="O203" s="2">
        <v>40000</v>
      </c>
      <c r="P203" s="2">
        <v>0</v>
      </c>
      <c r="Q203" s="2">
        <v>141900</v>
      </c>
      <c r="R203" s="2">
        <v>0</v>
      </c>
      <c r="S203" s="2">
        <v>647805</v>
      </c>
      <c r="T203" s="3">
        <v>0.32390249999999998</v>
      </c>
      <c r="U203" s="1"/>
      <c r="V203" s="1" t="s">
        <v>1654</v>
      </c>
      <c r="W203" s="1" t="s">
        <v>202</v>
      </c>
      <c r="X203" s="1" t="s">
        <v>225</v>
      </c>
      <c r="Y203" s="1">
        <v>33</v>
      </c>
      <c r="Z203" s="1" t="s">
        <v>1655</v>
      </c>
      <c r="AA203" s="1" t="s">
        <v>975</v>
      </c>
      <c r="AB203" s="1">
        <v>3195553429</v>
      </c>
    </row>
    <row r="204" spans="1:28" ht="13.8">
      <c r="A204" s="331">
        <v>35239</v>
      </c>
      <c r="B204" s="331">
        <v>24411</v>
      </c>
      <c r="C204" s="115">
        <v>46059</v>
      </c>
      <c r="D204" s="1" t="s">
        <v>417</v>
      </c>
      <c r="E204" s="1" t="s">
        <v>418</v>
      </c>
      <c r="F204" s="1" t="s">
        <v>4</v>
      </c>
      <c r="G204" s="1">
        <v>890302</v>
      </c>
      <c r="H204" s="1" t="s">
        <v>244</v>
      </c>
      <c r="I204" s="1" t="s">
        <v>1012</v>
      </c>
      <c r="J204" s="1" t="s">
        <v>223</v>
      </c>
      <c r="K204" s="1"/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3">
        <v>0</v>
      </c>
      <c r="U204" s="1"/>
      <c r="V204" s="1"/>
      <c r="W204" s="1" t="s">
        <v>63</v>
      </c>
      <c r="X204" s="1" t="s">
        <v>213</v>
      </c>
      <c r="Y204" s="1">
        <v>33</v>
      </c>
      <c r="Z204" s="1"/>
      <c r="AA204" s="1" t="s">
        <v>975</v>
      </c>
      <c r="AB204" s="1" t="s">
        <v>1656</v>
      </c>
    </row>
    <row r="205" spans="1:28" ht="13.8">
      <c r="A205" s="331">
        <v>36251</v>
      </c>
      <c r="B205" s="331">
        <v>26185</v>
      </c>
      <c r="C205" s="115">
        <v>46059</v>
      </c>
      <c r="D205" s="1" t="s">
        <v>219</v>
      </c>
      <c r="E205" s="1" t="s">
        <v>220</v>
      </c>
      <c r="F205" s="1" t="s">
        <v>4</v>
      </c>
      <c r="G205" s="1">
        <v>890302</v>
      </c>
      <c r="H205" s="1" t="s">
        <v>244</v>
      </c>
      <c r="I205" s="1" t="s">
        <v>1012</v>
      </c>
      <c r="J205" s="1" t="s">
        <v>223</v>
      </c>
      <c r="K205" s="1"/>
      <c r="L205" s="2">
        <v>250000</v>
      </c>
      <c r="M205" s="2">
        <v>122500</v>
      </c>
      <c r="N205" s="2">
        <v>0</v>
      </c>
      <c r="O205" s="2">
        <v>5000</v>
      </c>
      <c r="P205" s="2">
        <v>0</v>
      </c>
      <c r="Q205" s="2">
        <v>0</v>
      </c>
      <c r="R205" s="2">
        <v>0</v>
      </c>
      <c r="S205" s="2">
        <v>122500</v>
      </c>
      <c r="T205" s="3">
        <v>0.49</v>
      </c>
      <c r="U205" s="1"/>
      <c r="V205" s="1" t="s">
        <v>1657</v>
      </c>
      <c r="W205" s="1" t="s">
        <v>202</v>
      </c>
      <c r="X205" s="1" t="s">
        <v>225</v>
      </c>
      <c r="Y205" s="1">
        <v>29</v>
      </c>
      <c r="Z205" s="1" t="s">
        <v>1658</v>
      </c>
      <c r="AA205" s="1" t="s">
        <v>975</v>
      </c>
      <c r="AB205" s="1">
        <v>3012322394</v>
      </c>
    </row>
    <row r="206" spans="1:28" ht="13.8">
      <c r="A206" s="331">
        <v>36259</v>
      </c>
      <c r="B206" s="331">
        <v>26194</v>
      </c>
      <c r="C206" s="115">
        <v>46059</v>
      </c>
      <c r="D206" s="1" t="s">
        <v>1659</v>
      </c>
      <c r="E206" s="1" t="s">
        <v>1660</v>
      </c>
      <c r="F206" s="1" t="s">
        <v>3</v>
      </c>
      <c r="G206" s="1" t="s">
        <v>362</v>
      </c>
      <c r="H206" s="1" t="s">
        <v>363</v>
      </c>
      <c r="I206" s="1" t="s">
        <v>1062</v>
      </c>
      <c r="J206" s="1" t="s">
        <v>210</v>
      </c>
      <c r="K206" s="1"/>
      <c r="L206" s="2">
        <v>1000000</v>
      </c>
      <c r="M206" s="2">
        <v>195883</v>
      </c>
      <c r="N206" s="2">
        <v>499948.97</v>
      </c>
      <c r="O206" s="2">
        <v>20000</v>
      </c>
      <c r="P206" s="2">
        <v>0</v>
      </c>
      <c r="Q206" s="2">
        <v>88285.03</v>
      </c>
      <c r="R206" s="2">
        <v>0</v>
      </c>
      <c r="S206" s="2">
        <v>284168.03000000003</v>
      </c>
      <c r="T206" s="3">
        <v>0.28416803000000002</v>
      </c>
      <c r="U206" s="1"/>
      <c r="V206" s="1" t="s">
        <v>1661</v>
      </c>
      <c r="W206" s="1" t="s">
        <v>202</v>
      </c>
      <c r="X206" s="1" t="s">
        <v>672</v>
      </c>
      <c r="Y206" s="1">
        <v>38</v>
      </c>
      <c r="Z206" s="1" t="s">
        <v>1662</v>
      </c>
      <c r="AA206" s="1" t="s">
        <v>975</v>
      </c>
      <c r="AB206" s="1">
        <v>3106324697</v>
      </c>
    </row>
    <row r="207" spans="1:28" ht="13.8">
      <c r="A207" s="331">
        <v>26436</v>
      </c>
      <c r="B207" s="331">
        <v>26043</v>
      </c>
      <c r="C207" s="115">
        <v>46059</v>
      </c>
      <c r="D207" s="1" t="s">
        <v>1422</v>
      </c>
      <c r="E207" s="1" t="s">
        <v>1423</v>
      </c>
      <c r="F207" s="1" t="s">
        <v>4</v>
      </c>
      <c r="G207" s="1">
        <v>861411</v>
      </c>
      <c r="H207" s="1" t="s">
        <v>406</v>
      </c>
      <c r="I207" s="1" t="s">
        <v>1081</v>
      </c>
      <c r="J207" s="1" t="s">
        <v>210</v>
      </c>
      <c r="K207" s="1"/>
      <c r="L207" s="2">
        <v>1840000</v>
      </c>
      <c r="M207" s="2">
        <v>586850</v>
      </c>
      <c r="N207" s="2">
        <v>411572</v>
      </c>
      <c r="O207" s="2">
        <v>36800</v>
      </c>
      <c r="P207" s="2">
        <v>0</v>
      </c>
      <c r="Q207" s="2">
        <v>217928</v>
      </c>
      <c r="R207" s="2">
        <v>0</v>
      </c>
      <c r="S207" s="2">
        <v>804778</v>
      </c>
      <c r="T207" s="3">
        <v>0.43737934782609</v>
      </c>
      <c r="U207" s="1"/>
      <c r="V207" s="1" t="s">
        <v>1663</v>
      </c>
      <c r="W207" s="1" t="s">
        <v>202</v>
      </c>
      <c r="X207" s="1" t="s">
        <v>225</v>
      </c>
      <c r="Y207" s="1">
        <v>33</v>
      </c>
      <c r="Z207" s="1" t="s">
        <v>1664</v>
      </c>
      <c r="AA207" s="1" t="s">
        <v>975</v>
      </c>
      <c r="AB207" s="1">
        <v>3195553429</v>
      </c>
    </row>
    <row r="208" spans="1:28" ht="13.8">
      <c r="A208" s="331">
        <v>35800</v>
      </c>
      <c r="B208" s="331">
        <v>26196</v>
      </c>
      <c r="C208" s="115">
        <v>46059</v>
      </c>
      <c r="D208" s="1" t="s">
        <v>649</v>
      </c>
      <c r="E208" s="1" t="s">
        <v>650</v>
      </c>
      <c r="F208" s="1" t="s">
        <v>5</v>
      </c>
      <c r="G208" s="1">
        <v>861411</v>
      </c>
      <c r="H208" s="1" t="s">
        <v>406</v>
      </c>
      <c r="I208" s="1" t="s">
        <v>1081</v>
      </c>
      <c r="J208" s="1" t="s">
        <v>210</v>
      </c>
      <c r="K208" s="1"/>
      <c r="L208" s="2">
        <v>0</v>
      </c>
      <c r="M208" s="2">
        <v>0</v>
      </c>
      <c r="N208" s="2">
        <v>16462.88</v>
      </c>
      <c r="O208" s="2">
        <v>0</v>
      </c>
      <c r="P208" s="2">
        <v>0</v>
      </c>
      <c r="Q208" s="2">
        <v>8717.1200000000008</v>
      </c>
      <c r="R208" s="2">
        <v>0</v>
      </c>
      <c r="S208" s="2">
        <v>-16462.88</v>
      </c>
      <c r="T208" s="3">
        <v>0</v>
      </c>
      <c r="U208" s="1"/>
      <c r="V208" s="1"/>
      <c r="W208" s="1" t="s">
        <v>63</v>
      </c>
      <c r="X208" s="1" t="s">
        <v>204</v>
      </c>
      <c r="Y208" s="1">
        <v>62</v>
      </c>
      <c r="Z208" s="1"/>
      <c r="AA208" s="1" t="s">
        <v>1665</v>
      </c>
      <c r="AB208" s="1">
        <v>15147170975</v>
      </c>
    </row>
    <row r="209" spans="1:28" ht="13.8">
      <c r="A209" s="331">
        <v>35801</v>
      </c>
      <c r="B209" s="331">
        <v>25341</v>
      </c>
      <c r="C209" s="115">
        <v>46059</v>
      </c>
      <c r="D209" s="1" t="s">
        <v>649</v>
      </c>
      <c r="E209" s="1" t="s">
        <v>650</v>
      </c>
      <c r="F209" s="1" t="s">
        <v>5</v>
      </c>
      <c r="G209" s="1">
        <v>890303</v>
      </c>
      <c r="H209" s="1" t="s">
        <v>221</v>
      </c>
      <c r="I209" s="1" t="s">
        <v>1012</v>
      </c>
      <c r="J209" s="1" t="s">
        <v>223</v>
      </c>
      <c r="K209" s="1"/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3">
        <v>0</v>
      </c>
      <c r="U209" s="1"/>
      <c r="V209" s="1"/>
      <c r="W209" s="1" t="s">
        <v>63</v>
      </c>
      <c r="X209" s="1" t="s">
        <v>204</v>
      </c>
      <c r="Y209" s="1">
        <v>62</v>
      </c>
      <c r="Z209" s="1"/>
      <c r="AA209" s="1" t="s">
        <v>1665</v>
      </c>
      <c r="AB209" s="1">
        <v>15147170975</v>
      </c>
    </row>
    <row r="210" spans="1:28" ht="13.8">
      <c r="A210" s="331">
        <v>36223</v>
      </c>
      <c r="B210" s="331">
        <v>26112</v>
      </c>
      <c r="C210" s="115">
        <v>46060</v>
      </c>
      <c r="D210" s="1" t="s">
        <v>1666</v>
      </c>
      <c r="E210" s="1" t="s">
        <v>1667</v>
      </c>
      <c r="F210" s="1" t="s">
        <v>3</v>
      </c>
      <c r="G210" s="1">
        <v>890242</v>
      </c>
      <c r="H210" s="1" t="s">
        <v>331</v>
      </c>
      <c r="I210" s="1" t="s">
        <v>972</v>
      </c>
      <c r="J210" s="1" t="s">
        <v>223</v>
      </c>
      <c r="K210" s="1"/>
      <c r="L210" s="2">
        <v>250000</v>
      </c>
      <c r="M210" s="2">
        <v>122500</v>
      </c>
      <c r="N210" s="2">
        <v>0</v>
      </c>
      <c r="O210" s="2">
        <v>5000</v>
      </c>
      <c r="P210" s="2">
        <v>0</v>
      </c>
      <c r="Q210" s="2">
        <v>0</v>
      </c>
      <c r="R210" s="2">
        <v>0</v>
      </c>
      <c r="S210" s="2">
        <v>122500</v>
      </c>
      <c r="T210" s="3">
        <v>0.49</v>
      </c>
      <c r="U210" s="1"/>
      <c r="V210" s="1" t="s">
        <v>1668</v>
      </c>
      <c r="W210" s="1" t="s">
        <v>202</v>
      </c>
      <c r="X210" s="1" t="s">
        <v>213</v>
      </c>
      <c r="Y210" s="1">
        <v>29</v>
      </c>
      <c r="Z210" s="1" t="s">
        <v>1669</v>
      </c>
      <c r="AA210" s="1" t="s">
        <v>975</v>
      </c>
      <c r="AB210" s="1">
        <v>3147087159</v>
      </c>
    </row>
    <row r="211" spans="1:28" ht="13.8">
      <c r="A211" s="331">
        <v>26276</v>
      </c>
      <c r="B211" s="331">
        <v>13234</v>
      </c>
      <c r="C211" s="115">
        <v>46060</v>
      </c>
      <c r="D211" s="1" t="s">
        <v>205</v>
      </c>
      <c r="E211" s="1" t="s">
        <v>206</v>
      </c>
      <c r="F211" s="1" t="s">
        <v>3</v>
      </c>
      <c r="G211" s="1" t="s">
        <v>207</v>
      </c>
      <c r="H211" s="1" t="s">
        <v>208</v>
      </c>
      <c r="I211" s="1" t="s">
        <v>1033</v>
      </c>
      <c r="J211" s="1" t="s">
        <v>210</v>
      </c>
      <c r="K211" s="1" t="s">
        <v>1033</v>
      </c>
      <c r="L211" s="2">
        <v>570000</v>
      </c>
      <c r="M211" s="2">
        <v>279300</v>
      </c>
      <c r="N211" s="2">
        <v>0</v>
      </c>
      <c r="O211" s="2">
        <v>11400</v>
      </c>
      <c r="P211" s="2">
        <v>0</v>
      </c>
      <c r="Q211" s="2">
        <v>0</v>
      </c>
      <c r="R211" s="2">
        <v>0</v>
      </c>
      <c r="S211" s="2">
        <v>279300</v>
      </c>
      <c r="T211" s="3">
        <v>0.49</v>
      </c>
      <c r="U211" s="1"/>
      <c r="V211" s="1" t="s">
        <v>212</v>
      </c>
      <c r="W211" s="1" t="s">
        <v>203</v>
      </c>
      <c r="X211" s="1" t="s">
        <v>213</v>
      </c>
      <c r="Y211" s="1">
        <v>37</v>
      </c>
      <c r="Z211" s="1" t="s">
        <v>214</v>
      </c>
      <c r="AA211" s="1" t="s">
        <v>975</v>
      </c>
      <c r="AB211" s="1">
        <v>3004495669</v>
      </c>
    </row>
    <row r="212" spans="1:28" ht="13.8">
      <c r="A212" s="331">
        <v>35671</v>
      </c>
      <c r="B212" s="331">
        <v>25111</v>
      </c>
      <c r="C212" s="115">
        <v>46060</v>
      </c>
      <c r="D212" s="1" t="s">
        <v>1400</v>
      </c>
      <c r="E212" s="1" t="s">
        <v>1401</v>
      </c>
      <c r="F212" s="1" t="s">
        <v>4</v>
      </c>
      <c r="G212" s="1">
        <v>890242</v>
      </c>
      <c r="H212" s="1" t="s">
        <v>331</v>
      </c>
      <c r="I212" s="1" t="s">
        <v>972</v>
      </c>
      <c r="J212" s="1" t="s">
        <v>223</v>
      </c>
      <c r="K212" s="1"/>
      <c r="L212" s="2">
        <v>250000</v>
      </c>
      <c r="M212" s="2">
        <v>122500</v>
      </c>
      <c r="N212" s="2">
        <v>0</v>
      </c>
      <c r="O212" s="2">
        <v>5000</v>
      </c>
      <c r="P212" s="2">
        <v>0</v>
      </c>
      <c r="Q212" s="2">
        <v>0</v>
      </c>
      <c r="R212" s="2">
        <v>0</v>
      </c>
      <c r="S212" s="2">
        <v>122500</v>
      </c>
      <c r="T212" s="3">
        <v>0.49</v>
      </c>
      <c r="U212" s="1"/>
      <c r="V212" s="1" t="s">
        <v>1670</v>
      </c>
      <c r="W212" s="1" t="s">
        <v>202</v>
      </c>
      <c r="X212" s="1" t="s">
        <v>213</v>
      </c>
      <c r="Y212" s="1">
        <v>17</v>
      </c>
      <c r="Z212" s="1" t="s">
        <v>1671</v>
      </c>
      <c r="AA212" s="1" t="s">
        <v>975</v>
      </c>
      <c r="AB212" s="1">
        <v>3205278918</v>
      </c>
    </row>
    <row r="213" spans="1:28" ht="13.8">
      <c r="A213" s="331">
        <v>36262</v>
      </c>
      <c r="B213" s="331">
        <v>26199</v>
      </c>
      <c r="C213" s="115">
        <v>46060</v>
      </c>
      <c r="D213" s="1" t="s">
        <v>1666</v>
      </c>
      <c r="E213" s="1" t="s">
        <v>1667</v>
      </c>
      <c r="F213" s="1" t="s">
        <v>3</v>
      </c>
      <c r="G213" s="1" t="s">
        <v>255</v>
      </c>
      <c r="H213" s="1" t="s">
        <v>256</v>
      </c>
      <c r="I213" s="1" t="s">
        <v>256</v>
      </c>
      <c r="J213" s="1" t="s">
        <v>210</v>
      </c>
      <c r="K213" s="1" t="s">
        <v>1066</v>
      </c>
      <c r="L213" s="2">
        <v>325000</v>
      </c>
      <c r="M213" s="2">
        <v>159250</v>
      </c>
      <c r="N213" s="2">
        <v>0</v>
      </c>
      <c r="O213" s="2">
        <v>6500</v>
      </c>
      <c r="P213" s="2">
        <v>0</v>
      </c>
      <c r="Q213" s="2">
        <v>0</v>
      </c>
      <c r="R213" s="2">
        <v>0</v>
      </c>
      <c r="S213" s="2">
        <v>159250</v>
      </c>
      <c r="T213" s="3">
        <v>0.49</v>
      </c>
      <c r="U213" s="1"/>
      <c r="V213" s="1" t="s">
        <v>1672</v>
      </c>
      <c r="W213" s="1" t="s">
        <v>202</v>
      </c>
      <c r="X213" s="1" t="s">
        <v>213</v>
      </c>
      <c r="Y213" s="1">
        <v>29</v>
      </c>
      <c r="Z213" s="1" t="s">
        <v>1673</v>
      </c>
      <c r="AA213" s="1" t="s">
        <v>975</v>
      </c>
      <c r="AB213" s="1">
        <v>3147087159</v>
      </c>
    </row>
    <row r="214" spans="1:28" ht="13.8">
      <c r="A214" s="331">
        <v>36262</v>
      </c>
      <c r="B214" s="331">
        <v>26200</v>
      </c>
      <c r="C214" s="115">
        <v>46060</v>
      </c>
      <c r="D214" s="1" t="s">
        <v>1666</v>
      </c>
      <c r="E214" s="1" t="s">
        <v>1667</v>
      </c>
      <c r="F214" s="1" t="s">
        <v>3</v>
      </c>
      <c r="G214" s="1" t="s">
        <v>583</v>
      </c>
      <c r="H214" s="1" t="s">
        <v>584</v>
      </c>
      <c r="I214" s="1" t="s">
        <v>1065</v>
      </c>
      <c r="J214" s="1" t="s">
        <v>210</v>
      </c>
      <c r="K214" s="1"/>
      <c r="L214" s="2">
        <v>325000</v>
      </c>
      <c r="M214" s="2">
        <v>115700</v>
      </c>
      <c r="N214" s="2">
        <v>74000</v>
      </c>
      <c r="O214" s="2">
        <v>6500</v>
      </c>
      <c r="P214" s="2">
        <v>0</v>
      </c>
      <c r="Q214" s="2">
        <v>13100</v>
      </c>
      <c r="R214" s="2">
        <v>0</v>
      </c>
      <c r="S214" s="2">
        <v>128800</v>
      </c>
      <c r="T214" s="3">
        <v>0.39630769230768997</v>
      </c>
      <c r="U214" s="1"/>
      <c r="V214" s="1" t="s">
        <v>1672</v>
      </c>
      <c r="W214" s="1" t="s">
        <v>202</v>
      </c>
      <c r="X214" s="1" t="s">
        <v>213</v>
      </c>
      <c r="Y214" s="1">
        <v>29</v>
      </c>
      <c r="Z214" s="1" t="s">
        <v>1673</v>
      </c>
      <c r="AA214" s="1" t="s">
        <v>975</v>
      </c>
      <c r="AB214" s="1">
        <v>3147087159</v>
      </c>
    </row>
    <row r="215" spans="1:28" ht="13.8">
      <c r="A215" s="331">
        <v>34979</v>
      </c>
      <c r="B215" s="331">
        <v>24032</v>
      </c>
      <c r="C215" s="115">
        <v>46060</v>
      </c>
      <c r="D215" s="1" t="s">
        <v>360</v>
      </c>
      <c r="E215" s="1" t="s">
        <v>361</v>
      </c>
      <c r="F215" s="1" t="s">
        <v>2</v>
      </c>
      <c r="G215" s="1" t="s">
        <v>362</v>
      </c>
      <c r="H215" s="1" t="s">
        <v>363</v>
      </c>
      <c r="I215" s="1" t="s">
        <v>1062</v>
      </c>
      <c r="J215" s="1" t="s">
        <v>210</v>
      </c>
      <c r="K215" s="1"/>
      <c r="L215" s="2">
        <v>800000</v>
      </c>
      <c r="M215" s="2">
        <v>305300</v>
      </c>
      <c r="N215" s="2">
        <v>133120.57999999999</v>
      </c>
      <c r="O215" s="2">
        <v>16000</v>
      </c>
      <c r="P215" s="2">
        <v>0</v>
      </c>
      <c r="Q215" s="2">
        <v>40279.42</v>
      </c>
      <c r="R215" s="2">
        <v>0</v>
      </c>
      <c r="S215" s="2">
        <v>345579.42</v>
      </c>
      <c r="T215" s="3">
        <v>0.43197427500000002</v>
      </c>
      <c r="U215" s="1"/>
      <c r="V215" s="1" t="s">
        <v>1674</v>
      </c>
      <c r="W215" s="1" t="s">
        <v>202</v>
      </c>
      <c r="X215" s="1" t="s">
        <v>277</v>
      </c>
      <c r="Y215" s="1">
        <v>41</v>
      </c>
      <c r="Z215" s="1" t="s">
        <v>1675</v>
      </c>
      <c r="AA215" s="1" t="s">
        <v>975</v>
      </c>
      <c r="AB215" s="1">
        <v>3007413047</v>
      </c>
    </row>
    <row r="216" spans="1:28" ht="13.8">
      <c r="A216" s="331">
        <v>35815</v>
      </c>
      <c r="B216" s="331">
        <v>25373</v>
      </c>
      <c r="C216" s="115">
        <v>46060</v>
      </c>
      <c r="D216" s="1" t="s">
        <v>676</v>
      </c>
      <c r="E216" s="1" t="s">
        <v>677</v>
      </c>
      <c r="F216" s="1" t="s">
        <v>2</v>
      </c>
      <c r="G216" s="1" t="s">
        <v>623</v>
      </c>
      <c r="H216" s="1" t="s">
        <v>624</v>
      </c>
      <c r="I216" s="1" t="s">
        <v>1125</v>
      </c>
      <c r="J216" s="1" t="s">
        <v>210</v>
      </c>
      <c r="K216" s="1" t="s">
        <v>1126</v>
      </c>
      <c r="L216" s="2">
        <v>350000</v>
      </c>
      <c r="M216" s="2">
        <v>168352.5</v>
      </c>
      <c r="N216" s="2">
        <v>4115.72</v>
      </c>
      <c r="O216" s="2">
        <v>7000</v>
      </c>
      <c r="P216" s="2">
        <v>0</v>
      </c>
      <c r="Q216" s="2">
        <v>2179.2800000000002</v>
      </c>
      <c r="R216" s="2">
        <v>0</v>
      </c>
      <c r="S216" s="2">
        <v>170531.78</v>
      </c>
      <c r="T216" s="3">
        <v>0.48723365714285999</v>
      </c>
      <c r="U216" s="1"/>
      <c r="V216" s="1" t="s">
        <v>1676</v>
      </c>
      <c r="W216" s="1" t="s">
        <v>202</v>
      </c>
      <c r="X216" s="1" t="s">
        <v>213</v>
      </c>
      <c r="Y216" s="1">
        <v>36</v>
      </c>
      <c r="Z216" s="1" t="s">
        <v>1677</v>
      </c>
      <c r="AA216" s="1" t="s">
        <v>975</v>
      </c>
      <c r="AB216" s="1">
        <v>3125016427</v>
      </c>
    </row>
    <row r="217" spans="1:28" ht="13.8">
      <c r="A217" s="331">
        <v>35762</v>
      </c>
      <c r="B217" s="331">
        <v>26163</v>
      </c>
      <c r="C217" s="115">
        <v>46060</v>
      </c>
      <c r="D217" s="1" t="s">
        <v>503</v>
      </c>
      <c r="E217" s="1" t="s">
        <v>504</v>
      </c>
      <c r="F217" s="1" t="s">
        <v>2</v>
      </c>
      <c r="G217" s="1" t="s">
        <v>237</v>
      </c>
      <c r="H217" s="1" t="s">
        <v>238</v>
      </c>
      <c r="I217" s="1" t="s">
        <v>1209</v>
      </c>
      <c r="J217" s="1" t="s">
        <v>210</v>
      </c>
      <c r="K217" s="1" t="s">
        <v>1209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3">
        <v>0</v>
      </c>
      <c r="U217" s="1"/>
      <c r="V217" s="1"/>
      <c r="W217" s="1" t="s">
        <v>63</v>
      </c>
      <c r="X217" s="1" t="s">
        <v>213</v>
      </c>
      <c r="Y217" s="1">
        <v>20</v>
      </c>
      <c r="Z217" s="1"/>
      <c r="AA217" s="1" t="s">
        <v>975</v>
      </c>
      <c r="AB217" s="1">
        <v>3217190499</v>
      </c>
    </row>
    <row r="218" spans="1:28" ht="13.8">
      <c r="A218" s="331">
        <v>36058</v>
      </c>
      <c r="B218" s="331">
        <v>25840</v>
      </c>
      <c r="C218" s="115">
        <v>46060</v>
      </c>
      <c r="D218" s="1" t="s">
        <v>864</v>
      </c>
      <c r="E218" s="1" t="s">
        <v>865</v>
      </c>
      <c r="F218" s="1" t="s">
        <v>2</v>
      </c>
      <c r="G218" s="1" t="s">
        <v>499</v>
      </c>
      <c r="H218" s="1" t="s">
        <v>500</v>
      </c>
      <c r="I218" s="1" t="s">
        <v>1125</v>
      </c>
      <c r="J218" s="1" t="s">
        <v>210</v>
      </c>
      <c r="K218" s="1" t="s">
        <v>1126</v>
      </c>
      <c r="L218" s="2">
        <v>650000</v>
      </c>
      <c r="M218" s="2">
        <v>318500</v>
      </c>
      <c r="N218" s="2">
        <v>0</v>
      </c>
      <c r="O218" s="2">
        <v>13000</v>
      </c>
      <c r="P218" s="2">
        <v>0</v>
      </c>
      <c r="Q218" s="2">
        <v>0</v>
      </c>
      <c r="R218" s="2">
        <v>0</v>
      </c>
      <c r="S218" s="2">
        <v>318500</v>
      </c>
      <c r="T218" s="3">
        <v>0.49</v>
      </c>
      <c r="U218" s="1"/>
      <c r="V218" s="1" t="s">
        <v>1678</v>
      </c>
      <c r="W218" s="1" t="s">
        <v>202</v>
      </c>
      <c r="X218" s="1" t="s">
        <v>213</v>
      </c>
      <c r="Y218" s="1">
        <v>67</v>
      </c>
      <c r="Z218" s="1" t="s">
        <v>1679</v>
      </c>
      <c r="AA218" s="1" t="s">
        <v>975</v>
      </c>
      <c r="AB218" s="1">
        <v>4042188771</v>
      </c>
    </row>
    <row r="219" spans="1:28" ht="13.8">
      <c r="A219" s="331">
        <v>33482</v>
      </c>
      <c r="B219" s="331">
        <v>25900</v>
      </c>
      <c r="C219" s="115">
        <v>46060</v>
      </c>
      <c r="D219" s="1" t="s">
        <v>905</v>
      </c>
      <c r="E219" s="1" t="s">
        <v>906</v>
      </c>
      <c r="F219" s="1" t="s">
        <v>3</v>
      </c>
      <c r="G219" s="1" t="s">
        <v>391</v>
      </c>
      <c r="H219" s="1" t="s">
        <v>392</v>
      </c>
      <c r="I219" s="1" t="s">
        <v>1065</v>
      </c>
      <c r="J219" s="1" t="s">
        <v>210</v>
      </c>
      <c r="K219" s="1"/>
      <c r="L219" s="2">
        <v>500000</v>
      </c>
      <c r="M219" s="2">
        <v>245000</v>
      </c>
      <c r="N219" s="2">
        <v>0</v>
      </c>
      <c r="O219" s="2">
        <v>10000</v>
      </c>
      <c r="P219" s="2">
        <v>0</v>
      </c>
      <c r="Q219" s="2">
        <v>0</v>
      </c>
      <c r="R219" s="2">
        <v>0</v>
      </c>
      <c r="S219" s="2">
        <v>245000</v>
      </c>
      <c r="T219" s="3">
        <v>0.49</v>
      </c>
      <c r="U219" s="1"/>
      <c r="V219" s="1" t="s">
        <v>1680</v>
      </c>
      <c r="W219" s="1" t="s">
        <v>202</v>
      </c>
      <c r="X219" s="1" t="s">
        <v>277</v>
      </c>
      <c r="Y219" s="1">
        <v>27</v>
      </c>
      <c r="Z219" s="1" t="s">
        <v>1681</v>
      </c>
      <c r="AA219" s="1" t="s">
        <v>975</v>
      </c>
      <c r="AB219" s="1">
        <v>3052962478</v>
      </c>
    </row>
    <row r="220" spans="1:28" ht="13.8">
      <c r="A220" s="331">
        <v>36142</v>
      </c>
      <c r="B220" s="331">
        <v>25959</v>
      </c>
      <c r="C220" s="115">
        <v>46060</v>
      </c>
      <c r="D220" s="1" t="s">
        <v>1682</v>
      </c>
      <c r="E220" s="1" t="s">
        <v>1683</v>
      </c>
      <c r="F220" s="1" t="s">
        <v>3</v>
      </c>
      <c r="G220" s="1">
        <v>890302</v>
      </c>
      <c r="H220" s="1" t="s">
        <v>244</v>
      </c>
      <c r="I220" s="1" t="s">
        <v>1012</v>
      </c>
      <c r="J220" s="1" t="s">
        <v>223</v>
      </c>
      <c r="K220" s="1"/>
      <c r="L220" s="2">
        <v>180000</v>
      </c>
      <c r="M220" s="2">
        <v>88200</v>
      </c>
      <c r="N220" s="2">
        <v>0</v>
      </c>
      <c r="O220" s="2">
        <v>3600</v>
      </c>
      <c r="P220" s="2">
        <v>0</v>
      </c>
      <c r="Q220" s="2">
        <v>0</v>
      </c>
      <c r="R220" s="2">
        <v>0</v>
      </c>
      <c r="S220" s="2">
        <v>88200</v>
      </c>
      <c r="T220" s="3">
        <v>0.49</v>
      </c>
      <c r="U220" s="1"/>
      <c r="V220" s="1" t="s">
        <v>1684</v>
      </c>
      <c r="W220" s="1" t="s">
        <v>202</v>
      </c>
      <c r="X220" s="1" t="s">
        <v>225</v>
      </c>
      <c r="Y220" s="1">
        <v>30</v>
      </c>
      <c r="Z220" s="1" t="s">
        <v>1685</v>
      </c>
      <c r="AA220" s="1" t="s">
        <v>975</v>
      </c>
      <c r="AB220" s="1">
        <v>3135461993</v>
      </c>
    </row>
    <row r="221" spans="1:28" ht="13.8">
      <c r="A221" s="331">
        <v>29068</v>
      </c>
      <c r="B221" s="331">
        <v>23769</v>
      </c>
      <c r="C221" s="115">
        <v>46060</v>
      </c>
      <c r="D221" s="1" t="s">
        <v>345</v>
      </c>
      <c r="E221" s="1" t="s">
        <v>346</v>
      </c>
      <c r="F221" s="1" t="s">
        <v>4</v>
      </c>
      <c r="G221" s="1" t="s">
        <v>347</v>
      </c>
      <c r="H221" s="1" t="s">
        <v>348</v>
      </c>
      <c r="I221" s="1" t="s">
        <v>1062</v>
      </c>
      <c r="J221" s="1" t="s">
        <v>210</v>
      </c>
      <c r="K221" s="1"/>
      <c r="L221" s="2">
        <v>350000</v>
      </c>
      <c r="M221" s="2">
        <v>122475</v>
      </c>
      <c r="N221" s="2">
        <v>83331.87</v>
      </c>
      <c r="O221" s="2">
        <v>7000</v>
      </c>
      <c r="P221" s="2">
        <v>0</v>
      </c>
      <c r="Q221" s="2">
        <v>14718.13</v>
      </c>
      <c r="R221" s="2">
        <v>0</v>
      </c>
      <c r="S221" s="2">
        <v>137193.13</v>
      </c>
      <c r="T221" s="3">
        <v>0.39198037142857001</v>
      </c>
      <c r="U221" s="1"/>
      <c r="V221" s="1" t="s">
        <v>1686</v>
      </c>
      <c r="W221" s="1" t="s">
        <v>202</v>
      </c>
      <c r="X221" s="1" t="s">
        <v>213</v>
      </c>
      <c r="Y221" s="1">
        <v>31</v>
      </c>
      <c r="Z221" s="1" t="s">
        <v>1687</v>
      </c>
      <c r="AA221" s="1" t="s">
        <v>975</v>
      </c>
      <c r="AB221" s="1">
        <v>3007882923</v>
      </c>
    </row>
    <row r="222" spans="1:28" ht="13.8">
      <c r="A222" s="331">
        <v>23121</v>
      </c>
      <c r="B222" s="331">
        <v>22199</v>
      </c>
      <c r="C222" s="115">
        <v>46060</v>
      </c>
      <c r="D222" s="1" t="s">
        <v>283</v>
      </c>
      <c r="E222" s="1" t="s">
        <v>284</v>
      </c>
      <c r="F222" s="1" t="s">
        <v>4</v>
      </c>
      <c r="G222" s="1" t="s">
        <v>237</v>
      </c>
      <c r="H222" s="1" t="s">
        <v>238</v>
      </c>
      <c r="I222" s="1" t="s">
        <v>1209</v>
      </c>
      <c r="J222" s="1" t="s">
        <v>210</v>
      </c>
      <c r="K222" s="1" t="s">
        <v>1209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3">
        <v>0</v>
      </c>
      <c r="U222" s="1"/>
      <c r="V222" s="1"/>
      <c r="W222" s="1" t="s">
        <v>63</v>
      </c>
      <c r="X222" s="1" t="s">
        <v>213</v>
      </c>
      <c r="Y222" s="1">
        <v>48</v>
      </c>
      <c r="Z222" s="1"/>
      <c r="AA222" s="1" t="s">
        <v>975</v>
      </c>
      <c r="AB222" s="1">
        <v>3003150922</v>
      </c>
    </row>
    <row r="223" spans="1:28" ht="13.8">
      <c r="A223" s="331">
        <v>26436</v>
      </c>
      <c r="B223" s="331">
        <v>26045</v>
      </c>
      <c r="C223" s="115">
        <v>46060</v>
      </c>
      <c r="D223" s="1" t="s">
        <v>1422</v>
      </c>
      <c r="E223" s="1" t="s">
        <v>1423</v>
      </c>
      <c r="F223" s="1" t="s">
        <v>4</v>
      </c>
      <c r="G223" s="1">
        <v>861426</v>
      </c>
      <c r="H223" s="1" t="s">
        <v>299</v>
      </c>
      <c r="I223" s="1" t="s">
        <v>1081</v>
      </c>
      <c r="J223" s="1" t="s">
        <v>210</v>
      </c>
      <c r="K223" s="1"/>
      <c r="L223" s="2">
        <v>1040000</v>
      </c>
      <c r="M223" s="2">
        <v>157200</v>
      </c>
      <c r="N223" s="2">
        <v>599010</v>
      </c>
      <c r="O223" s="2">
        <v>20800</v>
      </c>
      <c r="P223" s="2">
        <v>0</v>
      </c>
      <c r="Q223" s="2">
        <v>105790</v>
      </c>
      <c r="R223" s="2">
        <v>0</v>
      </c>
      <c r="S223" s="2">
        <v>262990</v>
      </c>
      <c r="T223" s="3">
        <v>0.25287500000000002</v>
      </c>
      <c r="U223" s="1"/>
      <c r="V223" s="1" t="s">
        <v>1654</v>
      </c>
      <c r="W223" s="1" t="s">
        <v>202</v>
      </c>
      <c r="X223" s="1" t="s">
        <v>225</v>
      </c>
      <c r="Y223" s="1">
        <v>33</v>
      </c>
      <c r="Z223" s="1" t="s">
        <v>1655</v>
      </c>
      <c r="AA223" s="1" t="s">
        <v>975</v>
      </c>
      <c r="AB223" s="1">
        <v>3195553429</v>
      </c>
    </row>
    <row r="224" spans="1:28" ht="13.8">
      <c r="A224" s="331">
        <v>35021</v>
      </c>
      <c r="B224" s="331">
        <v>24088</v>
      </c>
      <c r="C224" s="115">
        <v>46060</v>
      </c>
      <c r="D224" s="1" t="s">
        <v>364</v>
      </c>
      <c r="E224" s="1" t="s">
        <v>365</v>
      </c>
      <c r="F224" s="1" t="s">
        <v>4</v>
      </c>
      <c r="G224" s="1" t="s">
        <v>366</v>
      </c>
      <c r="H224" s="1" t="s">
        <v>367</v>
      </c>
      <c r="I224" s="1" t="s">
        <v>1047</v>
      </c>
      <c r="J224" s="1" t="s">
        <v>210</v>
      </c>
      <c r="K224" s="1" t="s">
        <v>1048</v>
      </c>
      <c r="L224" s="2">
        <v>20000</v>
      </c>
      <c r="M224" s="2">
        <v>9800</v>
      </c>
      <c r="N224" s="2">
        <v>0</v>
      </c>
      <c r="O224" s="2">
        <v>400</v>
      </c>
      <c r="P224" s="2">
        <v>0</v>
      </c>
      <c r="Q224" s="2">
        <v>0</v>
      </c>
      <c r="R224" s="2">
        <v>0</v>
      </c>
      <c r="S224" s="2">
        <v>9800</v>
      </c>
      <c r="T224" s="3">
        <v>0.49</v>
      </c>
      <c r="U224" s="1"/>
      <c r="V224" s="1" t="s">
        <v>368</v>
      </c>
      <c r="W224" s="1" t="s">
        <v>203</v>
      </c>
      <c r="X224" s="1" t="s">
        <v>225</v>
      </c>
      <c r="Y224" s="1">
        <v>23</v>
      </c>
      <c r="Z224" s="1" t="s">
        <v>369</v>
      </c>
      <c r="AA224" s="1" t="s">
        <v>975</v>
      </c>
      <c r="AB224" s="1">
        <v>3196780636</v>
      </c>
    </row>
    <row r="225" spans="1:28" ht="13.8">
      <c r="A225" s="331">
        <v>35021</v>
      </c>
      <c r="B225" s="331">
        <v>24089</v>
      </c>
      <c r="C225" s="115">
        <v>46060</v>
      </c>
      <c r="D225" s="1" t="s">
        <v>364</v>
      </c>
      <c r="E225" s="1" t="s">
        <v>365</v>
      </c>
      <c r="F225" s="1" t="s">
        <v>4</v>
      </c>
      <c r="G225" s="1" t="s">
        <v>366</v>
      </c>
      <c r="H225" s="1" t="s">
        <v>367</v>
      </c>
      <c r="I225" s="1" t="s">
        <v>1047</v>
      </c>
      <c r="J225" s="1" t="s">
        <v>210</v>
      </c>
      <c r="K225" s="1" t="s">
        <v>1048</v>
      </c>
      <c r="L225" s="2">
        <v>130000</v>
      </c>
      <c r="M225" s="2">
        <v>63700</v>
      </c>
      <c r="N225" s="2">
        <v>0</v>
      </c>
      <c r="O225" s="2">
        <v>2600</v>
      </c>
      <c r="P225" s="2">
        <v>0</v>
      </c>
      <c r="Q225" s="2">
        <v>0</v>
      </c>
      <c r="R225" s="2">
        <v>0</v>
      </c>
      <c r="S225" s="2">
        <v>63700</v>
      </c>
      <c r="T225" s="3">
        <v>0.49</v>
      </c>
      <c r="U225" s="1"/>
      <c r="V225" s="1" t="s">
        <v>1688</v>
      </c>
      <c r="W225" s="1" t="s">
        <v>202</v>
      </c>
      <c r="X225" s="1" t="s">
        <v>225</v>
      </c>
      <c r="Y225" s="1">
        <v>23</v>
      </c>
      <c r="Z225" s="1" t="s">
        <v>1689</v>
      </c>
      <c r="AA225" s="1" t="s">
        <v>975</v>
      </c>
      <c r="AB225" s="1">
        <v>3196780636</v>
      </c>
    </row>
    <row r="226" spans="1:28" ht="13.8">
      <c r="A226" s="331">
        <v>35225</v>
      </c>
      <c r="B226" s="331">
        <v>24390</v>
      </c>
      <c r="C226" s="115">
        <v>46060</v>
      </c>
      <c r="D226" s="1" t="s">
        <v>411</v>
      </c>
      <c r="E226" s="1" t="s">
        <v>412</v>
      </c>
      <c r="F226" s="1" t="s">
        <v>3</v>
      </c>
      <c r="G226" s="1">
        <v>890303</v>
      </c>
      <c r="H226" s="1" t="s">
        <v>221</v>
      </c>
      <c r="I226" s="1" t="s">
        <v>1012</v>
      </c>
      <c r="J226" s="1" t="s">
        <v>223</v>
      </c>
      <c r="K226" s="1"/>
      <c r="L226" s="2">
        <v>180000</v>
      </c>
      <c r="M226" s="2">
        <v>88200</v>
      </c>
      <c r="N226" s="2">
        <v>0</v>
      </c>
      <c r="O226" s="2">
        <v>3600</v>
      </c>
      <c r="P226" s="2">
        <v>0</v>
      </c>
      <c r="Q226" s="2">
        <v>0</v>
      </c>
      <c r="R226" s="2">
        <v>0</v>
      </c>
      <c r="S226" s="2">
        <v>88200</v>
      </c>
      <c r="T226" s="3">
        <v>0.49</v>
      </c>
      <c r="U226" s="1"/>
      <c r="V226" s="1" t="s">
        <v>1690</v>
      </c>
      <c r="W226" s="1" t="s">
        <v>202</v>
      </c>
      <c r="X226" s="1" t="s">
        <v>204</v>
      </c>
      <c r="Y226" s="1">
        <v>38</v>
      </c>
      <c r="Z226" s="1" t="s">
        <v>1691</v>
      </c>
      <c r="AA226" s="1" t="s">
        <v>975</v>
      </c>
      <c r="AB226" s="1">
        <v>3045235068</v>
      </c>
    </row>
    <row r="227" spans="1:28" ht="13.8">
      <c r="A227" s="331">
        <v>33509</v>
      </c>
      <c r="B227" s="331">
        <v>21839</v>
      </c>
      <c r="C227" s="115">
        <v>46060</v>
      </c>
      <c r="D227" s="1" t="s">
        <v>279</v>
      </c>
      <c r="E227" s="1" t="s">
        <v>280</v>
      </c>
      <c r="F227" s="1" t="s">
        <v>4</v>
      </c>
      <c r="G227" s="1">
        <v>890302</v>
      </c>
      <c r="H227" s="1" t="s">
        <v>244</v>
      </c>
      <c r="I227" s="1" t="s">
        <v>1012</v>
      </c>
      <c r="J227" s="1" t="s">
        <v>223</v>
      </c>
      <c r="K227" s="1"/>
      <c r="L227" s="2">
        <v>180000</v>
      </c>
      <c r="M227" s="2">
        <v>90000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90000</v>
      </c>
      <c r="T227" s="3">
        <v>0.5</v>
      </c>
      <c r="U227" s="1"/>
      <c r="V227" s="1" t="s">
        <v>1692</v>
      </c>
      <c r="W227" s="1" t="s">
        <v>202</v>
      </c>
      <c r="X227" s="1" t="s">
        <v>213</v>
      </c>
      <c r="Y227" s="1">
        <v>45</v>
      </c>
      <c r="Z227" s="1" t="s">
        <v>1693</v>
      </c>
      <c r="AA227" s="1" t="s">
        <v>975</v>
      </c>
      <c r="AB227" s="1">
        <v>3014183023</v>
      </c>
    </row>
    <row r="228" spans="1:28" ht="13.8">
      <c r="A228" s="331">
        <v>35191</v>
      </c>
      <c r="B228" s="331">
        <v>24339</v>
      </c>
      <c r="C228" s="115">
        <v>46060</v>
      </c>
      <c r="D228" s="1" t="s">
        <v>401</v>
      </c>
      <c r="E228" s="1" t="s">
        <v>402</v>
      </c>
      <c r="F228" s="1" t="s">
        <v>4</v>
      </c>
      <c r="G228" s="1">
        <v>890303</v>
      </c>
      <c r="H228" s="1" t="s">
        <v>221</v>
      </c>
      <c r="I228" s="1" t="s">
        <v>1012</v>
      </c>
      <c r="J228" s="1" t="s">
        <v>223</v>
      </c>
      <c r="K228" s="1"/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3">
        <v>0</v>
      </c>
      <c r="U228" s="1"/>
      <c r="V228" s="1"/>
      <c r="W228" s="1" t="s">
        <v>63</v>
      </c>
      <c r="X228" s="1" t="s">
        <v>225</v>
      </c>
      <c r="Y228" s="1">
        <v>34</v>
      </c>
      <c r="Z228" s="1"/>
      <c r="AA228" s="1" t="s">
        <v>975</v>
      </c>
      <c r="AB228" s="1">
        <v>3145346102</v>
      </c>
    </row>
    <row r="229" spans="1:28" ht="13.8">
      <c r="A229" s="331">
        <v>35805</v>
      </c>
      <c r="B229" s="331">
        <v>25351</v>
      </c>
      <c r="C229" s="115">
        <v>46060</v>
      </c>
      <c r="D229" s="1" t="s">
        <v>656</v>
      </c>
      <c r="E229" s="1" t="s">
        <v>657</v>
      </c>
      <c r="F229" s="1" t="s">
        <v>2</v>
      </c>
      <c r="G229" s="1" t="s">
        <v>255</v>
      </c>
      <c r="H229" s="1" t="s">
        <v>256</v>
      </c>
      <c r="I229" s="1" t="s">
        <v>256</v>
      </c>
      <c r="J229" s="1" t="s">
        <v>210</v>
      </c>
      <c r="K229" s="1" t="s">
        <v>1066</v>
      </c>
      <c r="L229" s="2">
        <v>650000</v>
      </c>
      <c r="M229" s="2">
        <v>279800</v>
      </c>
      <c r="N229" s="2">
        <v>61814.38</v>
      </c>
      <c r="O229" s="2">
        <v>13000</v>
      </c>
      <c r="P229" s="2">
        <v>0</v>
      </c>
      <c r="Q229" s="2">
        <v>15585.62</v>
      </c>
      <c r="R229" s="2">
        <v>0</v>
      </c>
      <c r="S229" s="2">
        <v>295385.62</v>
      </c>
      <c r="T229" s="3">
        <v>0.45443941538462002</v>
      </c>
      <c r="U229" s="1"/>
      <c r="V229" s="1" t="s">
        <v>1694</v>
      </c>
      <c r="W229" s="1" t="s">
        <v>202</v>
      </c>
      <c r="X229" s="1" t="s">
        <v>213</v>
      </c>
      <c r="Y229" s="1">
        <v>17</v>
      </c>
      <c r="Z229" s="1" t="s">
        <v>1695</v>
      </c>
      <c r="AA229" s="1" t="s">
        <v>975</v>
      </c>
      <c r="AB229" s="1">
        <v>3106309142</v>
      </c>
    </row>
    <row r="230" spans="1:28" ht="13.8">
      <c r="A230" s="331">
        <v>35815</v>
      </c>
      <c r="B230" s="331">
        <v>26197</v>
      </c>
      <c r="C230" s="115">
        <v>46060</v>
      </c>
      <c r="D230" s="1" t="s">
        <v>676</v>
      </c>
      <c r="E230" s="1" t="s">
        <v>677</v>
      </c>
      <c r="F230" s="1" t="s">
        <v>2</v>
      </c>
      <c r="G230" s="1">
        <v>861411</v>
      </c>
      <c r="H230" s="1" t="s">
        <v>406</v>
      </c>
      <c r="I230" s="1" t="s">
        <v>1081</v>
      </c>
      <c r="J230" s="1" t="s">
        <v>210</v>
      </c>
      <c r="K230" s="1"/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3">
        <v>0</v>
      </c>
      <c r="U230" s="1"/>
      <c r="V230" s="1"/>
      <c r="W230" s="1" t="s">
        <v>63</v>
      </c>
      <c r="X230" s="1" t="s">
        <v>213</v>
      </c>
      <c r="Y230" s="1">
        <v>36</v>
      </c>
      <c r="Z230" s="1"/>
      <c r="AA230" s="1" t="s">
        <v>975</v>
      </c>
      <c r="AB230" s="1">
        <v>3125016427</v>
      </c>
    </row>
    <row r="231" spans="1:28" ht="13.8">
      <c r="A231" s="331">
        <v>34425</v>
      </c>
      <c r="B231" s="331">
        <v>20802</v>
      </c>
      <c r="C231" s="115">
        <v>46060</v>
      </c>
      <c r="D231" s="1" t="s">
        <v>253</v>
      </c>
      <c r="E231" s="1" t="s">
        <v>254</v>
      </c>
      <c r="F231" s="1" t="s">
        <v>3</v>
      </c>
      <c r="G231" s="1" t="s">
        <v>255</v>
      </c>
      <c r="H231" s="1" t="s">
        <v>256</v>
      </c>
      <c r="I231" s="1" t="s">
        <v>256</v>
      </c>
      <c r="J231" s="1" t="s">
        <v>210</v>
      </c>
      <c r="K231" s="1" t="s">
        <v>1066</v>
      </c>
      <c r="L231" s="2">
        <v>350000</v>
      </c>
      <c r="M231" s="2">
        <v>132800</v>
      </c>
      <c r="N231" s="2">
        <v>67148.100000000006</v>
      </c>
      <c r="O231" s="2">
        <v>7000</v>
      </c>
      <c r="P231" s="2">
        <v>0</v>
      </c>
      <c r="Q231" s="2">
        <v>10251.9</v>
      </c>
      <c r="R231" s="2">
        <v>0</v>
      </c>
      <c r="S231" s="2">
        <v>143051.9</v>
      </c>
      <c r="T231" s="3">
        <v>0.40871971428571002</v>
      </c>
      <c r="U231" s="1"/>
      <c r="V231" s="1" t="s">
        <v>259</v>
      </c>
      <c r="W231" s="1" t="s">
        <v>203</v>
      </c>
      <c r="X231" s="1" t="s">
        <v>248</v>
      </c>
      <c r="Y231" s="1">
        <v>38</v>
      </c>
      <c r="Z231" s="1" t="s">
        <v>260</v>
      </c>
      <c r="AA231" s="1" t="s">
        <v>975</v>
      </c>
      <c r="AB231" s="1">
        <v>3172800409</v>
      </c>
    </row>
    <row r="232" spans="1:28" ht="13.8">
      <c r="A232" s="331">
        <v>34425</v>
      </c>
      <c r="B232" s="331">
        <v>23595</v>
      </c>
      <c r="C232" s="115">
        <v>46060</v>
      </c>
      <c r="D232" s="1" t="s">
        <v>253</v>
      </c>
      <c r="E232" s="1" t="s">
        <v>254</v>
      </c>
      <c r="F232" s="1" t="s">
        <v>3</v>
      </c>
      <c r="G232" s="1" t="s">
        <v>255</v>
      </c>
      <c r="H232" s="1" t="s">
        <v>256</v>
      </c>
      <c r="I232" s="1" t="s">
        <v>256</v>
      </c>
      <c r="J232" s="1" t="s">
        <v>210</v>
      </c>
      <c r="K232" s="1" t="s">
        <v>1066</v>
      </c>
      <c r="L232" s="2">
        <v>300000</v>
      </c>
      <c r="M232" s="2">
        <v>108300</v>
      </c>
      <c r="N232" s="2">
        <v>67148.100000000006</v>
      </c>
      <c r="O232" s="2">
        <v>6000</v>
      </c>
      <c r="P232" s="2">
        <v>0</v>
      </c>
      <c r="Q232" s="2">
        <v>10251.9</v>
      </c>
      <c r="R232" s="2">
        <v>0</v>
      </c>
      <c r="S232" s="2">
        <v>118551.9</v>
      </c>
      <c r="T232" s="3">
        <v>0.395173</v>
      </c>
      <c r="U232" s="1"/>
      <c r="V232" s="1" t="s">
        <v>1696</v>
      </c>
      <c r="W232" s="1" t="s">
        <v>202</v>
      </c>
      <c r="X232" s="1" t="s">
        <v>248</v>
      </c>
      <c r="Y232" s="1">
        <v>38</v>
      </c>
      <c r="Z232" s="1" t="s">
        <v>1697</v>
      </c>
      <c r="AA232" s="1" t="s">
        <v>975</v>
      </c>
      <c r="AB232" s="1">
        <v>3172800409</v>
      </c>
    </row>
    <row r="233" spans="1:28" ht="13.8">
      <c r="A233" s="331">
        <v>35969</v>
      </c>
      <c r="B233" s="331">
        <v>25660</v>
      </c>
      <c r="C233" s="115">
        <v>46060</v>
      </c>
      <c r="D233" s="1" t="s">
        <v>767</v>
      </c>
      <c r="E233" s="1" t="s">
        <v>768</v>
      </c>
      <c r="F233" s="1" t="s">
        <v>3</v>
      </c>
      <c r="G233" s="1">
        <v>890242</v>
      </c>
      <c r="H233" s="1" t="s">
        <v>331</v>
      </c>
      <c r="I233" s="1" t="s">
        <v>972</v>
      </c>
      <c r="J233" s="1" t="s">
        <v>223</v>
      </c>
      <c r="K233" s="1"/>
      <c r="L233" s="2">
        <v>250000</v>
      </c>
      <c r="M233" s="2">
        <v>122500</v>
      </c>
      <c r="N233" s="2">
        <v>0</v>
      </c>
      <c r="O233" s="2">
        <v>5000</v>
      </c>
      <c r="P233" s="2">
        <v>0</v>
      </c>
      <c r="Q233" s="2">
        <v>0</v>
      </c>
      <c r="R233" s="2">
        <v>0</v>
      </c>
      <c r="S233" s="2">
        <v>122500</v>
      </c>
      <c r="T233" s="3">
        <v>0.49</v>
      </c>
      <c r="U233" s="1"/>
      <c r="V233" s="1" t="s">
        <v>1698</v>
      </c>
      <c r="W233" s="1" t="s">
        <v>202</v>
      </c>
      <c r="X233" s="1" t="s">
        <v>277</v>
      </c>
      <c r="Y233" s="1">
        <v>36</v>
      </c>
      <c r="Z233" s="1" t="s">
        <v>1699</v>
      </c>
      <c r="AA233" s="1" t="s">
        <v>975</v>
      </c>
      <c r="AB233" s="1">
        <v>3006181295</v>
      </c>
    </row>
    <row r="234" spans="1:28" ht="13.8">
      <c r="A234" s="331">
        <v>33012</v>
      </c>
      <c r="B234" s="331">
        <v>21003</v>
      </c>
      <c r="C234" s="115">
        <v>46060</v>
      </c>
      <c r="D234" s="1" t="s">
        <v>1700</v>
      </c>
      <c r="E234" s="1" t="s">
        <v>1701</v>
      </c>
      <c r="F234" s="1" t="s">
        <v>3</v>
      </c>
      <c r="G234" s="1">
        <v>890303</v>
      </c>
      <c r="H234" s="1" t="s">
        <v>281</v>
      </c>
      <c r="I234" s="1" t="s">
        <v>983</v>
      </c>
      <c r="J234" s="1" t="s">
        <v>210</v>
      </c>
      <c r="K234" s="1"/>
      <c r="L234" s="2">
        <v>180000</v>
      </c>
      <c r="M234" s="2">
        <v>88200</v>
      </c>
      <c r="N234" s="2">
        <v>0</v>
      </c>
      <c r="O234" s="2">
        <v>3600</v>
      </c>
      <c r="P234" s="2">
        <v>0</v>
      </c>
      <c r="Q234" s="2">
        <v>0</v>
      </c>
      <c r="R234" s="2">
        <v>0</v>
      </c>
      <c r="S234" s="2">
        <v>88200</v>
      </c>
      <c r="T234" s="3">
        <v>0.49</v>
      </c>
      <c r="U234" s="1"/>
      <c r="V234" s="1" t="s">
        <v>1702</v>
      </c>
      <c r="W234" s="1" t="s">
        <v>202</v>
      </c>
      <c r="X234" s="1" t="s">
        <v>213</v>
      </c>
      <c r="Y234" s="1">
        <v>40</v>
      </c>
      <c r="Z234" s="1" t="s">
        <v>1703</v>
      </c>
      <c r="AA234" s="1" t="s">
        <v>975</v>
      </c>
      <c r="AB234" s="1">
        <v>3104146685</v>
      </c>
    </row>
    <row r="235" spans="1:28" ht="13.8">
      <c r="A235" s="331">
        <v>36268</v>
      </c>
      <c r="B235" s="331">
        <v>26212</v>
      </c>
      <c r="C235" s="115">
        <v>46060</v>
      </c>
      <c r="D235" s="1" t="s">
        <v>1418</v>
      </c>
      <c r="E235" s="1" t="s">
        <v>1419</v>
      </c>
      <c r="F235" s="1" t="s">
        <v>127</v>
      </c>
      <c r="G235" s="1">
        <v>890242</v>
      </c>
      <c r="H235" s="1" t="s">
        <v>331</v>
      </c>
      <c r="I235" s="1" t="s">
        <v>972</v>
      </c>
      <c r="J235" s="1" t="s">
        <v>223</v>
      </c>
      <c r="K235" s="1"/>
      <c r="L235" s="2">
        <v>250000</v>
      </c>
      <c r="M235" s="2">
        <v>122500</v>
      </c>
      <c r="N235" s="2">
        <v>0</v>
      </c>
      <c r="O235" s="2">
        <v>5000</v>
      </c>
      <c r="P235" s="2">
        <v>0</v>
      </c>
      <c r="Q235" s="2">
        <v>0</v>
      </c>
      <c r="R235" s="2">
        <v>0</v>
      </c>
      <c r="S235" s="2">
        <v>122500</v>
      </c>
      <c r="T235" s="3">
        <v>0.49</v>
      </c>
      <c r="U235" s="1"/>
      <c r="V235" s="1" t="s">
        <v>1704</v>
      </c>
      <c r="W235" s="1" t="s">
        <v>202</v>
      </c>
      <c r="X235" s="1" t="s">
        <v>213</v>
      </c>
      <c r="Y235" s="1">
        <v>25</v>
      </c>
      <c r="Z235" s="1" t="s">
        <v>1705</v>
      </c>
      <c r="AA235" s="1" t="s">
        <v>975</v>
      </c>
      <c r="AB235" s="1">
        <v>3013607262</v>
      </c>
    </row>
    <row r="236" spans="1:28" ht="13.8">
      <c r="A236" s="331">
        <v>35776</v>
      </c>
      <c r="B236" s="331">
        <v>25302</v>
      </c>
      <c r="C236" s="115">
        <v>46060</v>
      </c>
      <c r="D236" s="1" t="s">
        <v>637</v>
      </c>
      <c r="E236" s="1" t="s">
        <v>638</v>
      </c>
      <c r="F236" s="1" t="s">
        <v>3</v>
      </c>
      <c r="G236" s="1">
        <v>890242</v>
      </c>
      <c r="H236" s="1" t="s">
        <v>331</v>
      </c>
      <c r="I236" s="1" t="s">
        <v>972</v>
      </c>
      <c r="J236" s="1" t="s">
        <v>223</v>
      </c>
      <c r="K236" s="1"/>
      <c r="L236" s="2">
        <v>250000</v>
      </c>
      <c r="M236" s="2">
        <v>122500</v>
      </c>
      <c r="N236" s="2">
        <v>0</v>
      </c>
      <c r="O236" s="2">
        <v>5000</v>
      </c>
      <c r="P236" s="2">
        <v>0</v>
      </c>
      <c r="Q236" s="2">
        <v>0</v>
      </c>
      <c r="R236" s="2">
        <v>0</v>
      </c>
      <c r="S236" s="2">
        <v>122500</v>
      </c>
      <c r="T236" s="3">
        <v>0.49</v>
      </c>
      <c r="U236" s="1"/>
      <c r="V236" s="1" t="s">
        <v>1706</v>
      </c>
      <c r="W236" s="1" t="s">
        <v>202</v>
      </c>
      <c r="X236" s="1" t="s">
        <v>213</v>
      </c>
      <c r="Y236" s="1">
        <v>28</v>
      </c>
      <c r="Z236" s="1" t="s">
        <v>1707</v>
      </c>
      <c r="AA236" s="1" t="s">
        <v>975</v>
      </c>
      <c r="AB236" s="1">
        <v>3126442635</v>
      </c>
    </row>
    <row r="237" spans="1:28" ht="13.8">
      <c r="A237" s="331">
        <v>34841</v>
      </c>
      <c r="B237" s="331">
        <v>23836</v>
      </c>
      <c r="C237" s="115">
        <v>46060</v>
      </c>
      <c r="D237" s="1" t="s">
        <v>350</v>
      </c>
      <c r="E237" s="1" t="s">
        <v>351</v>
      </c>
      <c r="F237" s="1" t="s">
        <v>127</v>
      </c>
      <c r="G237" s="1">
        <v>890302</v>
      </c>
      <c r="H237" s="1" t="s">
        <v>244</v>
      </c>
      <c r="I237" s="1" t="s">
        <v>1012</v>
      </c>
      <c r="J237" s="1" t="s">
        <v>223</v>
      </c>
      <c r="K237" s="1"/>
      <c r="L237" s="2">
        <v>180000</v>
      </c>
      <c r="M237" s="2">
        <v>88200</v>
      </c>
      <c r="N237" s="2">
        <v>0</v>
      </c>
      <c r="O237" s="2">
        <v>3600</v>
      </c>
      <c r="P237" s="2">
        <v>0</v>
      </c>
      <c r="Q237" s="2">
        <v>0</v>
      </c>
      <c r="R237" s="2">
        <v>0</v>
      </c>
      <c r="S237" s="2">
        <v>88200</v>
      </c>
      <c r="T237" s="3">
        <v>0.49</v>
      </c>
      <c r="U237" s="1"/>
      <c r="V237" s="1" t="s">
        <v>1708</v>
      </c>
      <c r="W237" s="1" t="s">
        <v>202</v>
      </c>
      <c r="X237" s="1" t="s">
        <v>213</v>
      </c>
      <c r="Y237" s="1">
        <v>24</v>
      </c>
      <c r="Z237" s="1" t="s">
        <v>1709</v>
      </c>
      <c r="AA237" s="1" t="s">
        <v>975</v>
      </c>
      <c r="AB237" s="1">
        <v>3192625035</v>
      </c>
    </row>
    <row r="238" spans="1:28" ht="13.8">
      <c r="A238" s="331">
        <v>35942</v>
      </c>
      <c r="B238" s="331">
        <v>25598</v>
      </c>
      <c r="C238" s="115">
        <v>46060</v>
      </c>
      <c r="D238" s="1" t="s">
        <v>750</v>
      </c>
      <c r="E238" s="1" t="s">
        <v>751</v>
      </c>
      <c r="F238" s="1" t="s">
        <v>3</v>
      </c>
      <c r="G238" s="1">
        <v>890242</v>
      </c>
      <c r="H238" s="1" t="s">
        <v>331</v>
      </c>
      <c r="I238" s="1" t="s">
        <v>972</v>
      </c>
      <c r="J238" s="1" t="s">
        <v>223</v>
      </c>
      <c r="K238" s="1"/>
      <c r="L238" s="2">
        <v>250000</v>
      </c>
      <c r="M238" s="2">
        <v>125000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125000</v>
      </c>
      <c r="T238" s="3">
        <v>0.5</v>
      </c>
      <c r="U238" s="1"/>
      <c r="V238" s="1" t="s">
        <v>1710</v>
      </c>
      <c r="W238" s="1" t="s">
        <v>202</v>
      </c>
      <c r="X238" s="1" t="s">
        <v>277</v>
      </c>
      <c r="Y238" s="1">
        <v>18</v>
      </c>
      <c r="Z238" s="1" t="s">
        <v>1711</v>
      </c>
      <c r="AA238" s="1" t="s">
        <v>975</v>
      </c>
      <c r="AB238" s="1">
        <v>3118064223</v>
      </c>
    </row>
    <row r="239" spans="1:28" ht="13.8">
      <c r="A239" s="331">
        <v>34653</v>
      </c>
      <c r="B239" s="331">
        <v>24946</v>
      </c>
      <c r="C239" s="115">
        <v>46060</v>
      </c>
      <c r="D239" s="1" t="s">
        <v>523</v>
      </c>
      <c r="E239" s="1" t="s">
        <v>524</v>
      </c>
      <c r="F239" s="1" t="s">
        <v>127</v>
      </c>
      <c r="G239" s="1" t="s">
        <v>324</v>
      </c>
      <c r="H239" s="1" t="s">
        <v>325</v>
      </c>
      <c r="I239" s="1" t="s">
        <v>1097</v>
      </c>
      <c r="J239" s="1" t="s">
        <v>210</v>
      </c>
      <c r="K239" s="1" t="s">
        <v>1097</v>
      </c>
      <c r="L239" s="2">
        <v>650000</v>
      </c>
      <c r="M239" s="2">
        <v>318500</v>
      </c>
      <c r="N239" s="2">
        <v>0</v>
      </c>
      <c r="O239" s="2">
        <v>13000</v>
      </c>
      <c r="P239" s="2">
        <v>0</v>
      </c>
      <c r="Q239" s="2">
        <v>0</v>
      </c>
      <c r="R239" s="2">
        <v>0</v>
      </c>
      <c r="S239" s="2">
        <v>318500</v>
      </c>
      <c r="T239" s="3">
        <v>0.49</v>
      </c>
      <c r="U239" s="1"/>
      <c r="V239" s="1" t="s">
        <v>1712</v>
      </c>
      <c r="W239" s="1" t="s">
        <v>202</v>
      </c>
      <c r="X239" s="1" t="s">
        <v>277</v>
      </c>
      <c r="Y239" s="1">
        <v>55</v>
      </c>
      <c r="Z239" s="1" t="s">
        <v>1713</v>
      </c>
      <c r="AA239" s="1" t="s">
        <v>975</v>
      </c>
      <c r="AB239" s="1">
        <v>3104243627</v>
      </c>
    </row>
    <row r="240" spans="1:28" ht="13.8">
      <c r="A240" s="331">
        <v>35505</v>
      </c>
      <c r="B240" s="331">
        <v>25191</v>
      </c>
      <c r="C240" s="115">
        <v>46060</v>
      </c>
      <c r="D240" s="1" t="s">
        <v>595</v>
      </c>
      <c r="E240" s="1" t="s">
        <v>596</v>
      </c>
      <c r="F240" s="1" t="s">
        <v>127</v>
      </c>
      <c r="G240" s="1" t="s">
        <v>597</v>
      </c>
      <c r="H240" s="1" t="s">
        <v>598</v>
      </c>
      <c r="I240" s="1" t="s">
        <v>1033</v>
      </c>
      <c r="J240" s="1" t="s">
        <v>210</v>
      </c>
      <c r="K240" s="1" t="s">
        <v>1033</v>
      </c>
      <c r="L240" s="2">
        <v>150000</v>
      </c>
      <c r="M240" s="2">
        <v>75000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75000</v>
      </c>
      <c r="T240" s="3">
        <v>0.5</v>
      </c>
      <c r="U240" s="1"/>
      <c r="V240" s="1" t="s">
        <v>1714</v>
      </c>
      <c r="W240" s="1" t="s">
        <v>202</v>
      </c>
      <c r="X240" s="1" t="s">
        <v>213</v>
      </c>
      <c r="Y240" s="1">
        <v>45</v>
      </c>
      <c r="Z240" s="1" t="s">
        <v>1715</v>
      </c>
      <c r="AA240" s="1" t="s">
        <v>975</v>
      </c>
      <c r="AB240" s="1">
        <v>3006684368</v>
      </c>
    </row>
    <row r="241" spans="1:28" ht="13.8">
      <c r="A241" s="331">
        <v>35335</v>
      </c>
      <c r="B241" s="331">
        <v>24888</v>
      </c>
      <c r="C241" s="115">
        <v>46060</v>
      </c>
      <c r="D241" s="1" t="s">
        <v>505</v>
      </c>
      <c r="E241" s="1" t="s">
        <v>506</v>
      </c>
      <c r="F241" s="1" t="s">
        <v>127</v>
      </c>
      <c r="G241" s="1" t="s">
        <v>324</v>
      </c>
      <c r="H241" s="1" t="s">
        <v>325</v>
      </c>
      <c r="I241" s="1" t="s">
        <v>1097</v>
      </c>
      <c r="J241" s="1" t="s">
        <v>210</v>
      </c>
      <c r="K241" s="1" t="s">
        <v>1097</v>
      </c>
      <c r="L241" s="2">
        <v>650000</v>
      </c>
      <c r="M241" s="2">
        <v>325000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325000</v>
      </c>
      <c r="T241" s="3">
        <v>0.5</v>
      </c>
      <c r="U241" s="1"/>
      <c r="V241" s="1" t="s">
        <v>1716</v>
      </c>
      <c r="W241" s="1" t="s">
        <v>202</v>
      </c>
      <c r="X241" s="1" t="s">
        <v>213</v>
      </c>
      <c r="Y241" s="1">
        <v>16</v>
      </c>
      <c r="Z241" s="1" t="s">
        <v>1717</v>
      </c>
      <c r="AA241" s="1" t="s">
        <v>975</v>
      </c>
      <c r="AB241" s="1">
        <v>3002872378</v>
      </c>
    </row>
    <row r="242" spans="1:28" ht="13.8">
      <c r="A242" s="331">
        <v>35335</v>
      </c>
      <c r="B242" s="331">
        <v>26224</v>
      </c>
      <c r="C242" s="115">
        <v>46060</v>
      </c>
      <c r="D242" s="1" t="s">
        <v>505</v>
      </c>
      <c r="E242" s="1" t="s">
        <v>506</v>
      </c>
      <c r="F242" s="1" t="s">
        <v>127</v>
      </c>
      <c r="G242" s="1" t="s">
        <v>255</v>
      </c>
      <c r="H242" s="1" t="s">
        <v>256</v>
      </c>
      <c r="I242" s="1" t="s">
        <v>256</v>
      </c>
      <c r="J242" s="1" t="s">
        <v>210</v>
      </c>
      <c r="K242" s="1" t="s">
        <v>1066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3">
        <v>0</v>
      </c>
      <c r="U242" s="1"/>
      <c r="V242" s="1"/>
      <c r="W242" s="1" t="s">
        <v>63</v>
      </c>
      <c r="X242" s="1" t="s">
        <v>213</v>
      </c>
      <c r="Y242" s="1">
        <v>16</v>
      </c>
      <c r="Z242" s="1"/>
      <c r="AA242" s="1" t="s">
        <v>975</v>
      </c>
      <c r="AB242" s="1">
        <v>3002872378</v>
      </c>
    </row>
    <row r="243" spans="1:28" ht="13.8">
      <c r="A243" s="331">
        <v>36274</v>
      </c>
      <c r="B243" s="331">
        <v>26223</v>
      </c>
      <c r="C243" s="115">
        <v>46060</v>
      </c>
      <c r="D243" s="1" t="s">
        <v>443</v>
      </c>
      <c r="E243" s="1" t="s">
        <v>444</v>
      </c>
      <c r="F243" s="1" t="s">
        <v>127</v>
      </c>
      <c r="G243" s="1">
        <v>890303</v>
      </c>
      <c r="H243" s="1" t="s">
        <v>221</v>
      </c>
      <c r="I243" s="1" t="s">
        <v>1012</v>
      </c>
      <c r="J243" s="1" t="s">
        <v>223</v>
      </c>
      <c r="K243" s="1"/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3">
        <v>0</v>
      </c>
      <c r="U243" s="1"/>
      <c r="V243" s="1"/>
      <c r="W243" s="1" t="s">
        <v>63</v>
      </c>
      <c r="X243" s="1" t="s">
        <v>213</v>
      </c>
      <c r="Y243" s="1">
        <v>53</v>
      </c>
      <c r="Z243" s="1"/>
      <c r="AA243" s="1" t="s">
        <v>975</v>
      </c>
      <c r="AB243" s="1">
        <v>3015673481</v>
      </c>
    </row>
    <row r="244" spans="1:28" ht="13.8">
      <c r="A244" s="331">
        <v>36042</v>
      </c>
      <c r="B244" s="331">
        <v>25804</v>
      </c>
      <c r="C244" s="115">
        <v>46060</v>
      </c>
      <c r="D244" s="1" t="s">
        <v>836</v>
      </c>
      <c r="E244" s="1" t="s">
        <v>837</v>
      </c>
      <c r="F244" s="1" t="s">
        <v>127</v>
      </c>
      <c r="G244" s="1" t="s">
        <v>499</v>
      </c>
      <c r="H244" s="1" t="s">
        <v>500</v>
      </c>
      <c r="I244" s="1" t="s">
        <v>1125</v>
      </c>
      <c r="J244" s="1" t="s">
        <v>210</v>
      </c>
      <c r="K244" s="1" t="s">
        <v>1126</v>
      </c>
      <c r="L244" s="2">
        <v>650000</v>
      </c>
      <c r="M244" s="2">
        <v>318500</v>
      </c>
      <c r="N244" s="2">
        <v>0</v>
      </c>
      <c r="O244" s="2">
        <v>13000</v>
      </c>
      <c r="P244" s="2">
        <v>0</v>
      </c>
      <c r="Q244" s="2">
        <v>0</v>
      </c>
      <c r="R244" s="2">
        <v>0</v>
      </c>
      <c r="S244" s="2">
        <v>318500</v>
      </c>
      <c r="T244" s="3">
        <v>0.49</v>
      </c>
      <c r="U244" s="1"/>
      <c r="V244" s="1" t="s">
        <v>1718</v>
      </c>
      <c r="W244" s="1" t="s">
        <v>202</v>
      </c>
      <c r="X244" s="1" t="s">
        <v>213</v>
      </c>
      <c r="Y244" s="1">
        <v>38</v>
      </c>
      <c r="Z244" s="1" t="s">
        <v>1719</v>
      </c>
      <c r="AA244" s="1" t="s">
        <v>975</v>
      </c>
      <c r="AB244" s="1">
        <v>3016352992</v>
      </c>
    </row>
    <row r="245" spans="1:28" ht="13.8">
      <c r="A245" s="331">
        <v>36244</v>
      </c>
      <c r="B245" s="331">
        <v>26176</v>
      </c>
      <c r="C245" s="115">
        <v>46060</v>
      </c>
      <c r="D245" s="1" t="s">
        <v>1720</v>
      </c>
      <c r="E245" s="1" t="s">
        <v>1721</v>
      </c>
      <c r="F245" s="1" t="s">
        <v>3</v>
      </c>
      <c r="G245" s="1" t="s">
        <v>237</v>
      </c>
      <c r="H245" s="1" t="s">
        <v>238</v>
      </c>
      <c r="I245" s="1" t="s">
        <v>1209</v>
      </c>
      <c r="J245" s="1" t="s">
        <v>210</v>
      </c>
      <c r="K245" s="1" t="s">
        <v>1209</v>
      </c>
      <c r="L245" s="2">
        <v>350000</v>
      </c>
      <c r="M245" s="2">
        <v>171500</v>
      </c>
      <c r="N245" s="2">
        <v>0</v>
      </c>
      <c r="O245" s="2">
        <v>7000</v>
      </c>
      <c r="P245" s="2">
        <v>0</v>
      </c>
      <c r="Q245" s="2">
        <v>0</v>
      </c>
      <c r="R245" s="2">
        <v>0</v>
      </c>
      <c r="S245" s="2">
        <v>171500</v>
      </c>
      <c r="T245" s="3">
        <v>0.49</v>
      </c>
      <c r="U245" s="1"/>
      <c r="V245" s="1" t="s">
        <v>1722</v>
      </c>
      <c r="W245" s="1" t="s">
        <v>202</v>
      </c>
      <c r="X245" s="1" t="s">
        <v>225</v>
      </c>
      <c r="Y245" s="1">
        <v>48</v>
      </c>
      <c r="Z245" s="1" t="s">
        <v>1723</v>
      </c>
      <c r="AA245" s="1" t="s">
        <v>975</v>
      </c>
      <c r="AB245" s="1" t="s">
        <v>1593</v>
      </c>
    </row>
    <row r="246" spans="1:28" ht="13.8">
      <c r="A246" s="331">
        <v>36202</v>
      </c>
      <c r="B246" s="331">
        <v>26071</v>
      </c>
      <c r="C246" s="115">
        <v>46060</v>
      </c>
      <c r="D246" s="1" t="s">
        <v>1724</v>
      </c>
      <c r="E246" s="1" t="s">
        <v>1725</v>
      </c>
      <c r="F246" s="1" t="s">
        <v>3</v>
      </c>
      <c r="G246" s="1">
        <v>890242</v>
      </c>
      <c r="H246" s="1" t="s">
        <v>331</v>
      </c>
      <c r="I246" s="1" t="s">
        <v>972</v>
      </c>
      <c r="J246" s="1" t="s">
        <v>223</v>
      </c>
      <c r="K246" s="1"/>
      <c r="L246" s="2">
        <v>250000</v>
      </c>
      <c r="M246" s="2">
        <v>122500</v>
      </c>
      <c r="N246" s="2">
        <v>0</v>
      </c>
      <c r="O246" s="2">
        <v>5000</v>
      </c>
      <c r="P246" s="2">
        <v>0</v>
      </c>
      <c r="Q246" s="2">
        <v>0</v>
      </c>
      <c r="R246" s="2">
        <v>0</v>
      </c>
      <c r="S246" s="2">
        <v>122500</v>
      </c>
      <c r="T246" s="3">
        <v>0.49</v>
      </c>
      <c r="U246" s="1"/>
      <c r="V246" s="1" t="s">
        <v>1726</v>
      </c>
      <c r="W246" s="1" t="s">
        <v>202</v>
      </c>
      <c r="X246" s="1" t="s">
        <v>277</v>
      </c>
      <c r="Y246" s="1">
        <v>47</v>
      </c>
      <c r="Z246" s="1" t="s">
        <v>1727</v>
      </c>
      <c r="AA246" s="1" t="s">
        <v>975</v>
      </c>
      <c r="AB246" s="1">
        <v>3003146466</v>
      </c>
    </row>
    <row r="247" spans="1:28" ht="13.8">
      <c r="A247" s="331">
        <v>36187</v>
      </c>
      <c r="B247" s="331">
        <v>26034</v>
      </c>
      <c r="C247" s="115">
        <v>46060</v>
      </c>
      <c r="D247" s="1" t="s">
        <v>1728</v>
      </c>
      <c r="E247" s="1" t="s">
        <v>1729</v>
      </c>
      <c r="F247" s="1" t="s">
        <v>3</v>
      </c>
      <c r="G247" s="1">
        <v>863104</v>
      </c>
      <c r="H247" s="1" t="s">
        <v>1730</v>
      </c>
      <c r="I247" s="1" t="s">
        <v>983</v>
      </c>
      <c r="J247" s="1" t="s">
        <v>210</v>
      </c>
      <c r="K247" s="1"/>
      <c r="L247" s="2">
        <v>400000</v>
      </c>
      <c r="M247" s="2">
        <v>200000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200000</v>
      </c>
      <c r="T247" s="3">
        <v>0.5</v>
      </c>
      <c r="U247" s="1"/>
      <c r="V247" s="1" t="s">
        <v>1731</v>
      </c>
      <c r="W247" s="1" t="s">
        <v>202</v>
      </c>
      <c r="X247" s="1" t="s">
        <v>213</v>
      </c>
      <c r="Y247" s="1">
        <v>32</v>
      </c>
      <c r="Z247" s="1" t="s">
        <v>1732</v>
      </c>
      <c r="AA247" s="1" t="s">
        <v>975</v>
      </c>
      <c r="AB247" s="1">
        <v>3506403791</v>
      </c>
    </row>
    <row r="248" spans="1:28" ht="13.8">
      <c r="A248" s="331">
        <v>36278</v>
      </c>
      <c r="B248" s="331">
        <v>26230</v>
      </c>
      <c r="C248" s="115">
        <v>46060</v>
      </c>
      <c r="D248" s="1" t="s">
        <v>1724</v>
      </c>
      <c r="E248" s="1" t="s">
        <v>1725</v>
      </c>
      <c r="F248" s="1" t="s">
        <v>3</v>
      </c>
      <c r="G248" s="1">
        <v>863101</v>
      </c>
      <c r="H248" s="1" t="s">
        <v>378</v>
      </c>
      <c r="I248" s="1" t="s">
        <v>983</v>
      </c>
      <c r="J248" s="1" t="s">
        <v>210</v>
      </c>
      <c r="K248" s="1"/>
      <c r="L248" s="2">
        <v>300000</v>
      </c>
      <c r="M248" s="2">
        <v>147000</v>
      </c>
      <c r="N248" s="2">
        <v>0</v>
      </c>
      <c r="O248" s="2">
        <v>6000</v>
      </c>
      <c r="P248" s="2">
        <v>0</v>
      </c>
      <c r="Q248" s="2">
        <v>0</v>
      </c>
      <c r="R248" s="2">
        <v>0</v>
      </c>
      <c r="S248" s="2">
        <v>147000</v>
      </c>
      <c r="T248" s="3">
        <v>0.49</v>
      </c>
      <c r="U248" s="1"/>
      <c r="V248" s="1" t="s">
        <v>1733</v>
      </c>
      <c r="W248" s="1" t="s">
        <v>202</v>
      </c>
      <c r="X248" s="1" t="s">
        <v>277</v>
      </c>
      <c r="Y248" s="1">
        <v>47</v>
      </c>
      <c r="Z248" s="1" t="s">
        <v>1734</v>
      </c>
      <c r="AA248" s="1" t="s">
        <v>975</v>
      </c>
      <c r="AB248" s="1">
        <v>3003146466</v>
      </c>
    </row>
    <row r="249" spans="1:28" ht="13.8">
      <c r="A249" s="331">
        <v>36279</v>
      </c>
      <c r="B249" s="331">
        <v>26231</v>
      </c>
      <c r="C249" s="115">
        <v>46061</v>
      </c>
      <c r="D249" s="1" t="s">
        <v>1735</v>
      </c>
      <c r="E249" s="1" t="s">
        <v>1736</v>
      </c>
      <c r="F249" s="1" t="s">
        <v>3</v>
      </c>
      <c r="G249" s="1" t="s">
        <v>451</v>
      </c>
      <c r="H249" s="1" t="s">
        <v>452</v>
      </c>
      <c r="I249" s="1" t="s">
        <v>2566</v>
      </c>
      <c r="J249" s="1" t="s">
        <v>210</v>
      </c>
      <c r="K249" s="1" t="s">
        <v>1048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3">
        <v>0</v>
      </c>
      <c r="U249" s="1"/>
      <c r="V249" s="1"/>
      <c r="W249" s="1" t="s">
        <v>63</v>
      </c>
      <c r="X249" s="1" t="s">
        <v>248</v>
      </c>
      <c r="Y249" s="1">
        <v>37</v>
      </c>
      <c r="Z249" s="1"/>
      <c r="AA249" s="1" t="s">
        <v>975</v>
      </c>
      <c r="AB249" s="1">
        <v>3016209779</v>
      </c>
    </row>
    <row r="250" spans="1:28" ht="13.8">
      <c r="A250" s="331">
        <v>36193</v>
      </c>
      <c r="B250" s="331">
        <v>26049</v>
      </c>
      <c r="C250" s="115">
        <v>46062</v>
      </c>
      <c r="D250" s="1" t="s">
        <v>1337</v>
      </c>
      <c r="E250" s="1" t="s">
        <v>1338</v>
      </c>
      <c r="F250" s="1" t="s">
        <v>4</v>
      </c>
      <c r="G250" s="1">
        <v>890242</v>
      </c>
      <c r="H250" s="1" t="s">
        <v>331</v>
      </c>
      <c r="I250" s="1" t="s">
        <v>972</v>
      </c>
      <c r="J250" s="1" t="s">
        <v>223</v>
      </c>
      <c r="K250" s="1"/>
      <c r="L250" s="2">
        <v>250000</v>
      </c>
      <c r="M250" s="2">
        <v>122500</v>
      </c>
      <c r="N250" s="2">
        <v>0</v>
      </c>
      <c r="O250" s="2">
        <v>5000</v>
      </c>
      <c r="P250" s="2">
        <v>0</v>
      </c>
      <c r="Q250" s="2">
        <v>0</v>
      </c>
      <c r="R250" s="2">
        <v>0</v>
      </c>
      <c r="S250" s="2">
        <v>122500</v>
      </c>
      <c r="T250" s="3">
        <v>0.49</v>
      </c>
      <c r="U250" s="1"/>
      <c r="V250" s="1" t="s">
        <v>1339</v>
      </c>
      <c r="W250" s="1" t="s">
        <v>202</v>
      </c>
      <c r="X250" s="1" t="s">
        <v>225</v>
      </c>
      <c r="Y250" s="1">
        <v>18</v>
      </c>
      <c r="Z250" s="1" t="s">
        <v>1340</v>
      </c>
      <c r="AA250" s="1" t="s">
        <v>975</v>
      </c>
      <c r="AB250" s="1">
        <v>3054040072</v>
      </c>
    </row>
    <row r="251" spans="1:28" ht="13.8">
      <c r="A251" s="331">
        <v>36109</v>
      </c>
      <c r="B251" s="331">
        <v>25902</v>
      </c>
      <c r="C251" s="115">
        <v>46062</v>
      </c>
      <c r="D251" s="1" t="s">
        <v>909</v>
      </c>
      <c r="E251" s="1" t="s">
        <v>910</v>
      </c>
      <c r="F251" s="1" t="s">
        <v>2</v>
      </c>
      <c r="G251" s="1">
        <v>890242</v>
      </c>
      <c r="H251" s="1" t="s">
        <v>331</v>
      </c>
      <c r="I251" s="1" t="s">
        <v>972</v>
      </c>
      <c r="J251" s="1" t="s">
        <v>223</v>
      </c>
      <c r="K251" s="1"/>
      <c r="L251" s="2">
        <v>250000</v>
      </c>
      <c r="M251" s="2">
        <v>122500</v>
      </c>
      <c r="N251" s="2">
        <v>0</v>
      </c>
      <c r="O251" s="2">
        <v>5000</v>
      </c>
      <c r="P251" s="2">
        <v>0</v>
      </c>
      <c r="Q251" s="2">
        <v>0</v>
      </c>
      <c r="R251" s="2">
        <v>0</v>
      </c>
      <c r="S251" s="2">
        <v>122500</v>
      </c>
      <c r="T251" s="3">
        <v>0.49</v>
      </c>
      <c r="U251" s="1"/>
      <c r="V251" s="1" t="s">
        <v>1795</v>
      </c>
      <c r="W251" s="1" t="s">
        <v>202</v>
      </c>
      <c r="X251" s="1" t="s">
        <v>213</v>
      </c>
      <c r="Y251" s="1">
        <v>39</v>
      </c>
      <c r="Z251" s="1" t="s">
        <v>1796</v>
      </c>
      <c r="AA251" s="1" t="s">
        <v>975</v>
      </c>
      <c r="AB251" s="1">
        <v>3128398956</v>
      </c>
    </row>
    <row r="252" spans="1:28" ht="13.8">
      <c r="A252" s="331">
        <v>31054</v>
      </c>
      <c r="B252" s="331">
        <v>25007</v>
      </c>
      <c r="C252" s="115">
        <v>46062</v>
      </c>
      <c r="D252" s="1" t="s">
        <v>553</v>
      </c>
      <c r="E252" s="1" t="s">
        <v>554</v>
      </c>
      <c r="F252" s="1" t="s">
        <v>126</v>
      </c>
      <c r="G252" s="1" t="s">
        <v>324</v>
      </c>
      <c r="H252" s="1" t="s">
        <v>325</v>
      </c>
      <c r="I252" s="1" t="s">
        <v>1097</v>
      </c>
      <c r="J252" s="1" t="s">
        <v>210</v>
      </c>
      <c r="K252" s="1" t="s">
        <v>1097</v>
      </c>
      <c r="L252" s="2">
        <v>500000</v>
      </c>
      <c r="M252" s="2">
        <v>245000</v>
      </c>
      <c r="N252" s="2">
        <v>0</v>
      </c>
      <c r="O252" s="2">
        <v>10000</v>
      </c>
      <c r="P252" s="2">
        <v>0</v>
      </c>
      <c r="Q252" s="2">
        <v>0</v>
      </c>
      <c r="R252" s="2">
        <v>0</v>
      </c>
      <c r="S252" s="2">
        <v>245000</v>
      </c>
      <c r="T252" s="3">
        <v>0.49</v>
      </c>
      <c r="U252" s="1"/>
      <c r="V252" s="1" t="s">
        <v>1797</v>
      </c>
      <c r="W252" s="1" t="s">
        <v>202</v>
      </c>
      <c r="X252" s="1" t="s">
        <v>213</v>
      </c>
      <c r="Y252" s="1">
        <v>31</v>
      </c>
      <c r="Z252" s="1" t="s">
        <v>1798</v>
      </c>
      <c r="AA252" s="1" t="s">
        <v>975</v>
      </c>
      <c r="AB252" s="1">
        <v>3113738218</v>
      </c>
    </row>
    <row r="253" spans="1:28" ht="13.8">
      <c r="A253" s="331">
        <v>35602</v>
      </c>
      <c r="B253" s="331">
        <v>24984</v>
      </c>
      <c r="C253" s="115">
        <v>46062</v>
      </c>
      <c r="D253" s="1" t="s">
        <v>545</v>
      </c>
      <c r="E253" s="1" t="s">
        <v>546</v>
      </c>
      <c r="F253" s="1" t="s">
        <v>127</v>
      </c>
      <c r="G253" s="1">
        <v>890302</v>
      </c>
      <c r="H253" s="1" t="s">
        <v>244</v>
      </c>
      <c r="I253" s="1" t="s">
        <v>1012</v>
      </c>
      <c r="J253" s="1" t="s">
        <v>223</v>
      </c>
      <c r="K253" s="1"/>
      <c r="L253" s="2">
        <v>180000</v>
      </c>
      <c r="M253" s="2">
        <v>90000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90000</v>
      </c>
      <c r="T253" s="3">
        <v>0.5</v>
      </c>
      <c r="U253" s="1"/>
      <c r="V253" s="1" t="s">
        <v>1799</v>
      </c>
      <c r="W253" s="1" t="s">
        <v>202</v>
      </c>
      <c r="X253" s="1" t="s">
        <v>277</v>
      </c>
      <c r="Y253" s="1">
        <v>34</v>
      </c>
      <c r="Z253" s="1" t="s">
        <v>1800</v>
      </c>
      <c r="AA253" s="1" t="s">
        <v>975</v>
      </c>
      <c r="AB253" s="1">
        <v>3223907554</v>
      </c>
    </row>
    <row r="254" spans="1:28" ht="13.8">
      <c r="A254" s="331">
        <v>35802</v>
      </c>
      <c r="B254" s="331">
        <v>25343</v>
      </c>
      <c r="C254" s="115">
        <v>46062</v>
      </c>
      <c r="D254" s="1" t="s">
        <v>651</v>
      </c>
      <c r="E254" s="1" t="s">
        <v>1801</v>
      </c>
      <c r="F254" s="1" t="s">
        <v>2</v>
      </c>
      <c r="G254" s="1">
        <v>890242</v>
      </c>
      <c r="H254" s="1" t="s">
        <v>331</v>
      </c>
      <c r="I254" s="1" t="s">
        <v>972</v>
      </c>
      <c r="J254" s="1" t="s">
        <v>223</v>
      </c>
      <c r="K254" s="1"/>
      <c r="L254" s="2">
        <v>250000</v>
      </c>
      <c r="M254" s="2">
        <v>122500</v>
      </c>
      <c r="N254" s="2">
        <v>0</v>
      </c>
      <c r="O254" s="2">
        <v>5000</v>
      </c>
      <c r="P254" s="2">
        <v>0</v>
      </c>
      <c r="Q254" s="2">
        <v>0</v>
      </c>
      <c r="R254" s="2">
        <v>0</v>
      </c>
      <c r="S254" s="2">
        <v>122500</v>
      </c>
      <c r="T254" s="3">
        <v>0.49</v>
      </c>
      <c r="U254" s="1"/>
      <c r="V254" s="1" t="s">
        <v>1802</v>
      </c>
      <c r="W254" s="1" t="s">
        <v>202</v>
      </c>
      <c r="X254" s="1" t="s">
        <v>213</v>
      </c>
      <c r="Y254" s="1">
        <v>23</v>
      </c>
      <c r="Z254" s="1" t="s">
        <v>1803</v>
      </c>
      <c r="AA254" s="1" t="s">
        <v>975</v>
      </c>
      <c r="AB254" s="1">
        <v>3225314635</v>
      </c>
    </row>
    <row r="255" spans="1:28" ht="13.8">
      <c r="A255" s="331">
        <v>36125</v>
      </c>
      <c r="B255" s="331">
        <v>25920</v>
      </c>
      <c r="C255" s="115">
        <v>46062</v>
      </c>
      <c r="D255" s="1" t="s">
        <v>921</v>
      </c>
      <c r="E255" s="1" t="s">
        <v>922</v>
      </c>
      <c r="F255" s="1" t="s">
        <v>127</v>
      </c>
      <c r="G255" s="1" t="s">
        <v>923</v>
      </c>
      <c r="H255" s="1" t="s">
        <v>924</v>
      </c>
      <c r="I255" s="1" t="s">
        <v>256</v>
      </c>
      <c r="J255" s="1" t="s">
        <v>210</v>
      </c>
      <c r="K255" s="1" t="s">
        <v>1066</v>
      </c>
      <c r="L255" s="2">
        <v>0</v>
      </c>
      <c r="M255" s="2">
        <v>0</v>
      </c>
      <c r="N255" s="2">
        <v>43499.99</v>
      </c>
      <c r="O255" s="2">
        <v>0</v>
      </c>
      <c r="P255" s="2">
        <v>0</v>
      </c>
      <c r="Q255" s="2">
        <v>7676.01</v>
      </c>
      <c r="R255" s="2">
        <v>0</v>
      </c>
      <c r="S255" s="2">
        <v>-43499.99</v>
      </c>
      <c r="T255" s="3">
        <v>0</v>
      </c>
      <c r="U255" s="1"/>
      <c r="V255" s="1"/>
      <c r="W255" s="1" t="s">
        <v>63</v>
      </c>
      <c r="X255" s="1" t="s">
        <v>213</v>
      </c>
      <c r="Y255" s="1">
        <v>13</v>
      </c>
      <c r="Z255" s="1"/>
      <c r="AA255" s="1" t="s">
        <v>975</v>
      </c>
      <c r="AB255" s="1">
        <v>3054355519</v>
      </c>
    </row>
    <row r="256" spans="1:28" ht="13.8">
      <c r="A256" s="331">
        <v>36104</v>
      </c>
      <c r="B256" s="331">
        <v>26235</v>
      </c>
      <c r="C256" s="115">
        <v>46062</v>
      </c>
      <c r="D256" s="1" t="s">
        <v>1127</v>
      </c>
      <c r="E256" s="1" t="s">
        <v>1128</v>
      </c>
      <c r="F256" s="1" t="s">
        <v>127</v>
      </c>
      <c r="G256" s="1" t="s">
        <v>362</v>
      </c>
      <c r="H256" s="1" t="s">
        <v>363</v>
      </c>
      <c r="I256" s="1" t="s">
        <v>1062</v>
      </c>
      <c r="J256" s="1" t="s">
        <v>210</v>
      </c>
      <c r="K256" s="1"/>
      <c r="L256" s="2">
        <v>600000</v>
      </c>
      <c r="M256" s="2">
        <v>146941.5</v>
      </c>
      <c r="N256" s="2">
        <v>249953.88</v>
      </c>
      <c r="O256" s="2">
        <v>12000</v>
      </c>
      <c r="P256" s="2">
        <v>0</v>
      </c>
      <c r="Q256" s="2">
        <v>44163.12</v>
      </c>
      <c r="R256" s="2">
        <v>0</v>
      </c>
      <c r="S256" s="2">
        <v>191104.62</v>
      </c>
      <c r="T256" s="3">
        <v>0.3185077</v>
      </c>
      <c r="U256" s="1"/>
      <c r="V256" s="1" t="s">
        <v>1804</v>
      </c>
      <c r="W256" s="1" t="s">
        <v>202</v>
      </c>
      <c r="X256" s="1" t="s">
        <v>225</v>
      </c>
      <c r="Y256" s="1">
        <v>56</v>
      </c>
      <c r="Z256" s="1" t="s">
        <v>1805</v>
      </c>
      <c r="AA256" s="1" t="s">
        <v>975</v>
      </c>
      <c r="AB256" s="1">
        <v>3163034459</v>
      </c>
    </row>
    <row r="257" spans="1:28" ht="13.8">
      <c r="A257" s="331">
        <v>36135</v>
      </c>
      <c r="B257" s="331">
        <v>25936</v>
      </c>
      <c r="C257" s="115">
        <v>46062</v>
      </c>
      <c r="D257" s="1" t="s">
        <v>1806</v>
      </c>
      <c r="E257" s="1" t="s">
        <v>945</v>
      </c>
      <c r="F257" s="1" t="s">
        <v>2</v>
      </c>
      <c r="G257" s="1">
        <v>890242</v>
      </c>
      <c r="H257" s="1" t="s">
        <v>331</v>
      </c>
      <c r="I257" s="1" t="s">
        <v>972</v>
      </c>
      <c r="J257" s="1" t="s">
        <v>223</v>
      </c>
      <c r="K257" s="1"/>
      <c r="L257" s="2">
        <v>250000</v>
      </c>
      <c r="M257" s="2">
        <v>122500</v>
      </c>
      <c r="N257" s="2">
        <v>0</v>
      </c>
      <c r="O257" s="2">
        <v>5000</v>
      </c>
      <c r="P257" s="2">
        <v>0</v>
      </c>
      <c r="Q257" s="2">
        <v>0</v>
      </c>
      <c r="R257" s="2">
        <v>0</v>
      </c>
      <c r="S257" s="2">
        <v>122500</v>
      </c>
      <c r="T257" s="3">
        <v>0.49</v>
      </c>
      <c r="U257" s="1"/>
      <c r="V257" s="1" t="s">
        <v>1807</v>
      </c>
      <c r="W257" s="1" t="s">
        <v>202</v>
      </c>
      <c r="X257" s="1" t="s">
        <v>213</v>
      </c>
      <c r="Y257" s="1">
        <v>37</v>
      </c>
      <c r="Z257" s="1" t="s">
        <v>1808</v>
      </c>
      <c r="AA257" s="1" t="s">
        <v>1038</v>
      </c>
      <c r="AB257" s="1">
        <v>3105005635</v>
      </c>
    </row>
    <row r="258" spans="1:28" ht="13.8">
      <c r="A258" s="331">
        <v>34049</v>
      </c>
      <c r="B258" s="331">
        <v>24590</v>
      </c>
      <c r="C258" s="115">
        <v>46062</v>
      </c>
      <c r="D258" s="1" t="s">
        <v>449</v>
      </c>
      <c r="E258" s="1" t="s">
        <v>450</v>
      </c>
      <c r="F258" s="1" t="s">
        <v>127</v>
      </c>
      <c r="G258" s="1" t="s">
        <v>301</v>
      </c>
      <c r="H258" s="1" t="s">
        <v>302</v>
      </c>
      <c r="I258" s="1" t="s">
        <v>1058</v>
      </c>
      <c r="J258" s="1" t="s">
        <v>210</v>
      </c>
      <c r="K258" s="1" t="s">
        <v>1058</v>
      </c>
      <c r="L258" s="2">
        <v>2100000</v>
      </c>
      <c r="M258" s="2">
        <v>941900</v>
      </c>
      <c r="N258" s="2">
        <v>148000</v>
      </c>
      <c r="O258" s="2">
        <v>42000</v>
      </c>
      <c r="P258" s="2">
        <v>0</v>
      </c>
      <c r="Q258" s="2">
        <v>26200</v>
      </c>
      <c r="R258" s="2">
        <v>0</v>
      </c>
      <c r="S258" s="2">
        <v>968100</v>
      </c>
      <c r="T258" s="3">
        <v>0.46100000000000002</v>
      </c>
      <c r="U258" s="1"/>
      <c r="V258" s="1" t="s">
        <v>1809</v>
      </c>
      <c r="W258" s="1" t="s">
        <v>202</v>
      </c>
      <c r="X258" s="1" t="s">
        <v>204</v>
      </c>
      <c r="Y258" s="1">
        <v>77</v>
      </c>
      <c r="Z258" s="1" t="s">
        <v>1810</v>
      </c>
      <c r="AA258" s="1" t="s">
        <v>975</v>
      </c>
      <c r="AB258" s="1">
        <v>3106425826</v>
      </c>
    </row>
    <row r="259" spans="1:28" ht="13.8">
      <c r="A259" s="331">
        <v>34049</v>
      </c>
      <c r="B259" s="331">
        <v>24591</v>
      </c>
      <c r="C259" s="115">
        <v>46062</v>
      </c>
      <c r="D259" s="1" t="s">
        <v>449</v>
      </c>
      <c r="E259" s="1" t="s">
        <v>450</v>
      </c>
      <c r="F259" s="1" t="s">
        <v>127</v>
      </c>
      <c r="G259" s="1" t="s">
        <v>451</v>
      </c>
      <c r="H259" s="1" t="s">
        <v>452</v>
      </c>
      <c r="I259" s="1" t="s">
        <v>2566</v>
      </c>
      <c r="J259" s="1" t="s">
        <v>210</v>
      </c>
      <c r="K259" s="1" t="s">
        <v>1048</v>
      </c>
      <c r="L259" s="2">
        <v>450000</v>
      </c>
      <c r="M259" s="2">
        <v>220500</v>
      </c>
      <c r="N259" s="2">
        <v>0</v>
      </c>
      <c r="O259" s="2">
        <v>9000</v>
      </c>
      <c r="P259" s="2">
        <v>0</v>
      </c>
      <c r="Q259" s="2">
        <v>0</v>
      </c>
      <c r="R259" s="2">
        <v>0</v>
      </c>
      <c r="S259" s="2">
        <v>220500</v>
      </c>
      <c r="T259" s="3">
        <v>0.49</v>
      </c>
      <c r="U259" s="1"/>
      <c r="V259" s="1" t="s">
        <v>1809</v>
      </c>
      <c r="W259" s="1" t="s">
        <v>202</v>
      </c>
      <c r="X259" s="1" t="s">
        <v>204</v>
      </c>
      <c r="Y259" s="1">
        <v>77</v>
      </c>
      <c r="Z259" s="1" t="s">
        <v>1810</v>
      </c>
      <c r="AA259" s="1" t="s">
        <v>975</v>
      </c>
      <c r="AB259" s="1">
        <v>3106425826</v>
      </c>
    </row>
    <row r="260" spans="1:28" ht="13.8">
      <c r="A260" s="331">
        <v>36131</v>
      </c>
      <c r="B260" s="331">
        <v>25932</v>
      </c>
      <c r="C260" s="115">
        <v>46062</v>
      </c>
      <c r="D260" s="1" t="s">
        <v>1811</v>
      </c>
      <c r="E260" s="1" t="s">
        <v>1812</v>
      </c>
      <c r="F260" s="1" t="s">
        <v>107</v>
      </c>
      <c r="G260" s="1">
        <v>890304</v>
      </c>
      <c r="H260" s="1" t="s">
        <v>913</v>
      </c>
      <c r="I260" s="1" t="s">
        <v>972</v>
      </c>
      <c r="J260" s="1" t="s">
        <v>223</v>
      </c>
      <c r="K260" s="1"/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3">
        <v>0</v>
      </c>
      <c r="U260" s="1"/>
      <c r="V260" s="1"/>
      <c r="W260" s="1" t="s">
        <v>63</v>
      </c>
      <c r="X260" s="1" t="s">
        <v>213</v>
      </c>
      <c r="Y260" s="1">
        <v>40</v>
      </c>
      <c r="Z260" s="1"/>
      <c r="AA260" s="1" t="s">
        <v>1038</v>
      </c>
      <c r="AB260" s="1">
        <v>17875976336</v>
      </c>
    </row>
    <row r="261" spans="1:28" ht="13.8">
      <c r="A261" s="331">
        <v>36253</v>
      </c>
      <c r="B261" s="331">
        <v>26187</v>
      </c>
      <c r="C261" s="115">
        <v>46062</v>
      </c>
      <c r="D261" s="1" t="s">
        <v>1393</v>
      </c>
      <c r="E261" s="1" t="s">
        <v>1394</v>
      </c>
      <c r="F261" s="1" t="s">
        <v>4</v>
      </c>
      <c r="G261" s="1">
        <v>890242</v>
      </c>
      <c r="H261" s="1" t="s">
        <v>331</v>
      </c>
      <c r="I261" s="1" t="s">
        <v>972</v>
      </c>
      <c r="J261" s="1" t="s">
        <v>223</v>
      </c>
      <c r="K261" s="1"/>
      <c r="L261" s="2">
        <v>250000</v>
      </c>
      <c r="M261" s="2">
        <v>122500</v>
      </c>
      <c r="N261" s="2">
        <v>0</v>
      </c>
      <c r="O261" s="2">
        <v>5000</v>
      </c>
      <c r="P261" s="2">
        <v>0</v>
      </c>
      <c r="Q261" s="2">
        <v>0</v>
      </c>
      <c r="R261" s="2">
        <v>0</v>
      </c>
      <c r="S261" s="2">
        <v>122500</v>
      </c>
      <c r="T261" s="3">
        <v>0.49</v>
      </c>
      <c r="U261" s="1"/>
      <c r="V261" s="1" t="s">
        <v>1813</v>
      </c>
      <c r="W261" s="1" t="s">
        <v>202</v>
      </c>
      <c r="X261" s="1" t="s">
        <v>225</v>
      </c>
      <c r="Y261" s="1">
        <v>22</v>
      </c>
      <c r="Z261" s="1" t="s">
        <v>1814</v>
      </c>
      <c r="AA261" s="1" t="s">
        <v>975</v>
      </c>
      <c r="AB261" s="1">
        <v>3218845932</v>
      </c>
    </row>
    <row r="262" spans="1:28" ht="13.8">
      <c r="A262" s="331">
        <v>35302</v>
      </c>
      <c r="B262" s="331">
        <v>24514</v>
      </c>
      <c r="C262" s="115">
        <v>46062</v>
      </c>
      <c r="D262" s="1" t="s">
        <v>427</v>
      </c>
      <c r="E262" s="1" t="s">
        <v>428</v>
      </c>
      <c r="F262" s="1" t="s">
        <v>127</v>
      </c>
      <c r="G262" s="1">
        <v>861401</v>
      </c>
      <c r="H262" s="1" t="s">
        <v>307</v>
      </c>
      <c r="I262" s="1" t="s">
        <v>983</v>
      </c>
      <c r="J262" s="1" t="s">
        <v>210</v>
      </c>
      <c r="K262" s="1"/>
      <c r="L262" s="2">
        <v>300000</v>
      </c>
      <c r="M262" s="2">
        <v>150000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150000</v>
      </c>
      <c r="T262" s="3">
        <v>0.5</v>
      </c>
      <c r="U262" s="1"/>
      <c r="V262" s="1" t="s">
        <v>1815</v>
      </c>
      <c r="W262" s="1" t="s">
        <v>202</v>
      </c>
      <c r="X262" s="1" t="s">
        <v>277</v>
      </c>
      <c r="Y262" s="1">
        <v>40</v>
      </c>
      <c r="Z262" s="1" t="s">
        <v>1816</v>
      </c>
      <c r="AA262" s="1" t="s">
        <v>975</v>
      </c>
      <c r="AB262" s="1">
        <v>3122790086</v>
      </c>
    </row>
    <row r="263" spans="1:28" ht="13.8">
      <c r="A263" s="331">
        <v>36240</v>
      </c>
      <c r="B263" s="331">
        <v>26170</v>
      </c>
      <c r="C263" s="115">
        <v>46062</v>
      </c>
      <c r="D263" s="1" t="s">
        <v>925</v>
      </c>
      <c r="E263" s="1" t="s">
        <v>926</v>
      </c>
      <c r="F263" s="1" t="s">
        <v>127</v>
      </c>
      <c r="G263" s="1" t="s">
        <v>471</v>
      </c>
      <c r="H263" s="1" t="s">
        <v>472</v>
      </c>
      <c r="I263" s="1" t="s">
        <v>1209</v>
      </c>
      <c r="J263" s="1" t="s">
        <v>210</v>
      </c>
      <c r="K263" s="1" t="s">
        <v>1209</v>
      </c>
      <c r="L263" s="2">
        <v>200000</v>
      </c>
      <c r="M263" s="2">
        <v>98000</v>
      </c>
      <c r="N263" s="2">
        <v>0</v>
      </c>
      <c r="O263" s="2">
        <v>4000</v>
      </c>
      <c r="P263" s="2">
        <v>0</v>
      </c>
      <c r="Q263" s="2">
        <v>0</v>
      </c>
      <c r="R263" s="2">
        <v>0</v>
      </c>
      <c r="S263" s="2">
        <v>98000</v>
      </c>
      <c r="T263" s="3">
        <v>0.49</v>
      </c>
      <c r="U263" s="1"/>
      <c r="V263" s="1" t="s">
        <v>1817</v>
      </c>
      <c r="W263" s="1" t="s">
        <v>202</v>
      </c>
      <c r="X263" s="1" t="s">
        <v>213</v>
      </c>
      <c r="Y263" s="1">
        <v>22</v>
      </c>
      <c r="Z263" s="1" t="s">
        <v>1818</v>
      </c>
      <c r="AA263" s="1" t="s">
        <v>975</v>
      </c>
      <c r="AB263" s="1">
        <v>3008831848</v>
      </c>
    </row>
    <row r="264" spans="1:28" ht="13.8">
      <c r="A264" s="331">
        <v>36240</v>
      </c>
      <c r="B264" s="331">
        <v>26171</v>
      </c>
      <c r="C264" s="115">
        <v>46062</v>
      </c>
      <c r="D264" s="1" t="s">
        <v>925</v>
      </c>
      <c r="E264" s="1" t="s">
        <v>926</v>
      </c>
      <c r="F264" s="1" t="s">
        <v>127</v>
      </c>
      <c r="G264" s="1" t="s">
        <v>1308</v>
      </c>
      <c r="H264" s="1" t="s">
        <v>1309</v>
      </c>
      <c r="I264" s="1" t="s">
        <v>1062</v>
      </c>
      <c r="J264" s="1" t="s">
        <v>210</v>
      </c>
      <c r="K264" s="1"/>
      <c r="L264" s="2">
        <v>200000</v>
      </c>
      <c r="M264" s="2">
        <v>96039</v>
      </c>
      <c r="N264" s="2">
        <v>3333.35</v>
      </c>
      <c r="O264" s="2">
        <v>4000</v>
      </c>
      <c r="P264" s="2">
        <v>0</v>
      </c>
      <c r="Q264" s="2">
        <v>588.65</v>
      </c>
      <c r="R264" s="2">
        <v>0</v>
      </c>
      <c r="S264" s="2">
        <v>96627.65</v>
      </c>
      <c r="T264" s="3">
        <v>0.48313824999999999</v>
      </c>
      <c r="U264" s="1"/>
      <c r="V264" s="1" t="s">
        <v>1817</v>
      </c>
      <c r="W264" s="1" t="s">
        <v>202</v>
      </c>
      <c r="X264" s="1" t="s">
        <v>213</v>
      </c>
      <c r="Y264" s="1">
        <v>22</v>
      </c>
      <c r="Z264" s="1" t="s">
        <v>1818</v>
      </c>
      <c r="AA264" s="1" t="s">
        <v>975</v>
      </c>
      <c r="AB264" s="1">
        <v>3008831848</v>
      </c>
    </row>
    <row r="265" spans="1:28" ht="13.8">
      <c r="A265" s="331">
        <v>34602</v>
      </c>
      <c r="B265" s="331">
        <v>26254</v>
      </c>
      <c r="C265" s="115">
        <v>46062</v>
      </c>
      <c r="D265" s="1" t="s">
        <v>1306</v>
      </c>
      <c r="E265" s="1" t="s">
        <v>1307</v>
      </c>
      <c r="F265" s="1" t="s">
        <v>127</v>
      </c>
      <c r="G265" s="1" t="s">
        <v>324</v>
      </c>
      <c r="H265" s="1" t="s">
        <v>325</v>
      </c>
      <c r="I265" s="1" t="s">
        <v>1097</v>
      </c>
      <c r="J265" s="1" t="s">
        <v>210</v>
      </c>
      <c r="K265" s="1" t="s">
        <v>1097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3">
        <v>0</v>
      </c>
      <c r="U265" s="1"/>
      <c r="V265" s="1"/>
      <c r="W265" s="1" t="s">
        <v>63</v>
      </c>
      <c r="X265" s="1" t="s">
        <v>225</v>
      </c>
      <c r="Y265" s="1">
        <v>23</v>
      </c>
      <c r="Z265" s="1"/>
      <c r="AA265" s="1" t="s">
        <v>975</v>
      </c>
      <c r="AB265" s="1">
        <v>3197273627</v>
      </c>
    </row>
    <row r="266" spans="1:28" ht="13.8">
      <c r="A266" s="331">
        <v>36239</v>
      </c>
      <c r="B266" s="331">
        <v>26167</v>
      </c>
      <c r="C266" s="115">
        <v>46062</v>
      </c>
      <c r="D266" s="1" t="s">
        <v>1374</v>
      </c>
      <c r="E266" s="1" t="s">
        <v>1375</v>
      </c>
      <c r="F266" s="1" t="s">
        <v>3</v>
      </c>
      <c r="G266" s="1" t="s">
        <v>324</v>
      </c>
      <c r="H266" s="1" t="s">
        <v>325</v>
      </c>
      <c r="I266" s="1" t="s">
        <v>1097</v>
      </c>
      <c r="J266" s="1" t="s">
        <v>210</v>
      </c>
      <c r="K266" s="1" t="s">
        <v>1097</v>
      </c>
      <c r="L266" s="2">
        <v>650000</v>
      </c>
      <c r="M266" s="2">
        <v>318500</v>
      </c>
      <c r="N266" s="2">
        <v>0</v>
      </c>
      <c r="O266" s="2">
        <v>13000</v>
      </c>
      <c r="P266" s="2">
        <v>0</v>
      </c>
      <c r="Q266" s="2">
        <v>0</v>
      </c>
      <c r="R266" s="2">
        <v>0</v>
      </c>
      <c r="S266" s="2">
        <v>318500</v>
      </c>
      <c r="T266" s="3">
        <v>0.49</v>
      </c>
      <c r="U266" s="1"/>
      <c r="V266" s="1" t="s">
        <v>1819</v>
      </c>
      <c r="W266" s="1" t="s">
        <v>202</v>
      </c>
      <c r="X266" s="1" t="s">
        <v>225</v>
      </c>
      <c r="Y266" s="1">
        <v>28</v>
      </c>
      <c r="Z266" s="1" t="s">
        <v>1820</v>
      </c>
      <c r="AA266" s="1" t="s">
        <v>975</v>
      </c>
      <c r="AB266" s="1">
        <v>17864771236</v>
      </c>
    </row>
    <row r="267" spans="1:28" ht="13.8">
      <c r="A267" s="331">
        <v>33747</v>
      </c>
      <c r="B267" s="331">
        <v>22322</v>
      </c>
      <c r="C267" s="115">
        <v>46062</v>
      </c>
      <c r="D267" s="1" t="s">
        <v>287</v>
      </c>
      <c r="E267" s="1" t="s">
        <v>288</v>
      </c>
      <c r="F267" s="1" t="s">
        <v>2</v>
      </c>
      <c r="G267" s="1" t="s">
        <v>289</v>
      </c>
      <c r="H267" s="1" t="s">
        <v>290</v>
      </c>
      <c r="I267" s="1" t="s">
        <v>1065</v>
      </c>
      <c r="J267" s="1" t="s">
        <v>210</v>
      </c>
      <c r="K267" s="1"/>
      <c r="L267" s="2">
        <v>0</v>
      </c>
      <c r="M267" s="2">
        <v>0</v>
      </c>
      <c r="N267" s="2">
        <v>33367.379999999997</v>
      </c>
      <c r="O267" s="2">
        <v>0</v>
      </c>
      <c r="P267" s="2">
        <v>0</v>
      </c>
      <c r="Q267" s="2">
        <v>15182.62</v>
      </c>
      <c r="R267" s="2">
        <v>0</v>
      </c>
      <c r="S267" s="2">
        <v>-33367.379999999997</v>
      </c>
      <c r="T267" s="3">
        <v>0</v>
      </c>
      <c r="U267" s="1"/>
      <c r="V267" s="1"/>
      <c r="W267" s="1" t="s">
        <v>63</v>
      </c>
      <c r="X267" s="1" t="s">
        <v>248</v>
      </c>
      <c r="Y267" s="1">
        <v>47</v>
      </c>
      <c r="Z267" s="1"/>
      <c r="AA267" s="1" t="s">
        <v>975</v>
      </c>
      <c r="AB267" s="1">
        <v>3162587059</v>
      </c>
    </row>
    <row r="268" spans="1:28" ht="13.8">
      <c r="A268" s="331">
        <v>36285</v>
      </c>
      <c r="B268" s="331">
        <v>26242</v>
      </c>
      <c r="C268" s="115">
        <v>46062</v>
      </c>
      <c r="D268" s="1" t="s">
        <v>909</v>
      </c>
      <c r="E268" s="1" t="s">
        <v>910</v>
      </c>
      <c r="F268" s="1" t="s">
        <v>2</v>
      </c>
      <c r="G268" s="1" t="s">
        <v>362</v>
      </c>
      <c r="H268" s="1" t="s">
        <v>363</v>
      </c>
      <c r="I268" s="1" t="s">
        <v>1062</v>
      </c>
      <c r="J268" s="1" t="s">
        <v>210</v>
      </c>
      <c r="K268" s="1"/>
      <c r="L268" s="2">
        <v>600000</v>
      </c>
      <c r="M268" s="2">
        <v>146941.5</v>
      </c>
      <c r="N268" s="2">
        <v>249999.2</v>
      </c>
      <c r="O268" s="2">
        <v>12000</v>
      </c>
      <c r="P268" s="2">
        <v>0</v>
      </c>
      <c r="Q268" s="2">
        <v>44117.8</v>
      </c>
      <c r="R268" s="2">
        <v>0</v>
      </c>
      <c r="S268" s="2">
        <v>191059.3</v>
      </c>
      <c r="T268" s="3">
        <v>0.31843216666667001</v>
      </c>
      <c r="U268" s="1"/>
      <c r="V268" s="1" t="s">
        <v>1821</v>
      </c>
      <c r="W268" s="1" t="s">
        <v>202</v>
      </c>
      <c r="X268" s="1" t="s">
        <v>213</v>
      </c>
      <c r="Y268" s="1">
        <v>39</v>
      </c>
      <c r="Z268" s="1" t="s">
        <v>1822</v>
      </c>
      <c r="AA268" s="1" t="s">
        <v>975</v>
      </c>
      <c r="AB268" s="1">
        <v>3128398956</v>
      </c>
    </row>
    <row r="269" spans="1:28" ht="13.8">
      <c r="A269" s="331">
        <v>27956</v>
      </c>
      <c r="B269" s="331">
        <v>24136</v>
      </c>
      <c r="C269" s="115">
        <v>46062</v>
      </c>
      <c r="D269" s="1" t="s">
        <v>372</v>
      </c>
      <c r="E269" s="1" t="s">
        <v>373</v>
      </c>
      <c r="F269" s="1" t="s">
        <v>2</v>
      </c>
      <c r="G269" s="1" t="s">
        <v>207</v>
      </c>
      <c r="H269" s="1" t="s">
        <v>208</v>
      </c>
      <c r="I269" s="1" t="s">
        <v>1033</v>
      </c>
      <c r="J269" s="1" t="s">
        <v>210</v>
      </c>
      <c r="K269" s="1" t="s">
        <v>1033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3">
        <v>0</v>
      </c>
      <c r="U269" s="1"/>
      <c r="V269" s="1"/>
      <c r="W269" s="1" t="s">
        <v>63</v>
      </c>
      <c r="X269" s="1" t="s">
        <v>225</v>
      </c>
      <c r="Y269" s="1">
        <v>43</v>
      </c>
      <c r="Z269" s="1"/>
      <c r="AA269" s="1" t="s">
        <v>975</v>
      </c>
      <c r="AB269" s="1">
        <v>3146590821</v>
      </c>
    </row>
    <row r="270" spans="1:28" ht="13.8">
      <c r="A270" s="331">
        <v>34464</v>
      </c>
      <c r="B270" s="331">
        <v>25437</v>
      </c>
      <c r="C270" s="115">
        <v>46062</v>
      </c>
      <c r="D270" s="1" t="s">
        <v>1292</v>
      </c>
      <c r="E270" s="1" t="s">
        <v>1293</v>
      </c>
      <c r="F270" s="1" t="s">
        <v>2</v>
      </c>
      <c r="G270" s="1" t="s">
        <v>451</v>
      </c>
      <c r="H270" s="1" t="s">
        <v>452</v>
      </c>
      <c r="I270" s="1" t="s">
        <v>2566</v>
      </c>
      <c r="J270" s="1" t="s">
        <v>210</v>
      </c>
      <c r="K270" s="1" t="s">
        <v>1048</v>
      </c>
      <c r="L270" s="2">
        <v>350000</v>
      </c>
      <c r="M270" s="2">
        <v>173000</v>
      </c>
      <c r="N270" s="2">
        <v>0</v>
      </c>
      <c r="O270" s="2">
        <v>4000</v>
      </c>
      <c r="P270" s="2">
        <v>0</v>
      </c>
      <c r="Q270" s="2">
        <v>0</v>
      </c>
      <c r="R270" s="2">
        <v>0</v>
      </c>
      <c r="S270" s="2">
        <v>173000</v>
      </c>
      <c r="T270" s="3">
        <v>0.49428571428571</v>
      </c>
      <c r="U270" s="1"/>
      <c r="V270" s="1" t="s">
        <v>1823</v>
      </c>
      <c r="W270" s="1" t="s">
        <v>202</v>
      </c>
      <c r="X270" s="1" t="s">
        <v>277</v>
      </c>
      <c r="Y270" s="1">
        <v>29</v>
      </c>
      <c r="Z270" s="1" t="s">
        <v>1824</v>
      </c>
      <c r="AA270" s="1" t="s">
        <v>975</v>
      </c>
      <c r="AB270" s="1">
        <v>3226479242</v>
      </c>
    </row>
    <row r="271" spans="1:28" ht="13.8">
      <c r="A271" s="331">
        <v>36280</v>
      </c>
      <c r="B271" s="331">
        <v>26236</v>
      </c>
      <c r="C271" s="115">
        <v>46062</v>
      </c>
      <c r="D271" s="1" t="s">
        <v>1406</v>
      </c>
      <c r="E271" s="1" t="s">
        <v>1407</v>
      </c>
      <c r="F271" s="1" t="s">
        <v>2</v>
      </c>
      <c r="G271" s="1" t="s">
        <v>326</v>
      </c>
      <c r="H271" s="1" t="s">
        <v>327</v>
      </c>
      <c r="I271" s="1" t="s">
        <v>1047</v>
      </c>
      <c r="J271" s="1" t="s">
        <v>210</v>
      </c>
      <c r="K271" s="1" t="s">
        <v>1048</v>
      </c>
      <c r="L271" s="2">
        <v>950000</v>
      </c>
      <c r="M271" s="2">
        <v>465500</v>
      </c>
      <c r="N271" s="2">
        <v>0</v>
      </c>
      <c r="O271" s="2">
        <v>19000</v>
      </c>
      <c r="P271" s="2">
        <v>0</v>
      </c>
      <c r="Q271" s="2">
        <v>0</v>
      </c>
      <c r="R271" s="2">
        <v>0</v>
      </c>
      <c r="S271" s="2">
        <v>465500</v>
      </c>
      <c r="T271" s="3">
        <v>0.49</v>
      </c>
      <c r="U271" s="1"/>
      <c r="V271" s="1" t="s">
        <v>1420</v>
      </c>
      <c r="W271" s="1" t="s">
        <v>202</v>
      </c>
      <c r="X271" s="1" t="s">
        <v>277</v>
      </c>
      <c r="Y271" s="1">
        <v>35</v>
      </c>
      <c r="Z271" s="1" t="s">
        <v>1421</v>
      </c>
      <c r="AA271" s="1" t="s">
        <v>975</v>
      </c>
      <c r="AB271" s="1">
        <v>3122360633</v>
      </c>
    </row>
    <row r="272" spans="1:28" ht="13.8">
      <c r="A272" s="331">
        <v>36267</v>
      </c>
      <c r="B272" s="331">
        <v>26211</v>
      </c>
      <c r="C272" s="115">
        <v>46062</v>
      </c>
      <c r="D272" s="1" t="s">
        <v>1406</v>
      </c>
      <c r="E272" s="1" t="s">
        <v>1407</v>
      </c>
      <c r="F272" s="1" t="s">
        <v>2</v>
      </c>
      <c r="G272" s="1">
        <v>890242</v>
      </c>
      <c r="H272" s="1" t="s">
        <v>331</v>
      </c>
      <c r="I272" s="1" t="s">
        <v>972</v>
      </c>
      <c r="J272" s="1" t="s">
        <v>223</v>
      </c>
      <c r="K272" s="1"/>
      <c r="L272" s="2">
        <v>250000</v>
      </c>
      <c r="M272" s="2">
        <v>122500</v>
      </c>
      <c r="N272" s="2">
        <v>0</v>
      </c>
      <c r="O272" s="2">
        <v>5000</v>
      </c>
      <c r="P272" s="2">
        <v>0</v>
      </c>
      <c r="Q272" s="2">
        <v>0</v>
      </c>
      <c r="R272" s="2">
        <v>0</v>
      </c>
      <c r="S272" s="2">
        <v>122500</v>
      </c>
      <c r="T272" s="3">
        <v>0.49</v>
      </c>
      <c r="U272" s="1"/>
      <c r="V272" s="1" t="s">
        <v>1408</v>
      </c>
      <c r="W272" s="1" t="s">
        <v>202</v>
      </c>
      <c r="X272" s="1" t="s">
        <v>277</v>
      </c>
      <c r="Y272" s="1">
        <v>35</v>
      </c>
      <c r="Z272" s="1" t="s">
        <v>1409</v>
      </c>
      <c r="AA272" s="1" t="s">
        <v>975</v>
      </c>
      <c r="AB272" s="1">
        <v>3122360633</v>
      </c>
    </row>
    <row r="273" spans="1:28" ht="13.8">
      <c r="A273" s="331">
        <v>35288</v>
      </c>
      <c r="B273" s="331">
        <v>24491</v>
      </c>
      <c r="C273" s="115">
        <v>46062</v>
      </c>
      <c r="D273" s="1" t="s">
        <v>425</v>
      </c>
      <c r="E273" s="1" t="s">
        <v>426</v>
      </c>
      <c r="F273" s="1" t="s">
        <v>4</v>
      </c>
      <c r="G273" s="1">
        <v>890303</v>
      </c>
      <c r="H273" s="1" t="s">
        <v>281</v>
      </c>
      <c r="I273" s="1" t="s">
        <v>983</v>
      </c>
      <c r="J273" s="1" t="s">
        <v>210</v>
      </c>
      <c r="K273" s="1"/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3">
        <v>0</v>
      </c>
      <c r="U273" s="1"/>
      <c r="V273" s="1"/>
      <c r="W273" s="1" t="s">
        <v>63</v>
      </c>
      <c r="X273" s="1" t="s">
        <v>213</v>
      </c>
      <c r="Y273" s="1">
        <v>32</v>
      </c>
      <c r="Z273" s="1"/>
      <c r="AA273" s="1" t="s">
        <v>975</v>
      </c>
      <c r="AB273" s="1">
        <v>3173962138</v>
      </c>
    </row>
    <row r="274" spans="1:28" ht="13.8">
      <c r="A274" s="331">
        <v>35789</v>
      </c>
      <c r="B274" s="331">
        <v>25321</v>
      </c>
      <c r="C274" s="115">
        <v>46062</v>
      </c>
      <c r="D274" s="1" t="s">
        <v>643</v>
      </c>
      <c r="E274" s="1" t="s">
        <v>644</v>
      </c>
      <c r="F274" s="1" t="s">
        <v>3</v>
      </c>
      <c r="G274" s="1">
        <v>890303</v>
      </c>
      <c r="H274" s="1" t="s">
        <v>221</v>
      </c>
      <c r="I274" s="1" t="s">
        <v>1012</v>
      </c>
      <c r="J274" s="1" t="s">
        <v>223</v>
      </c>
      <c r="K274" s="1"/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3">
        <v>0</v>
      </c>
      <c r="U274" s="1"/>
      <c r="V274" s="1"/>
      <c r="W274" s="1" t="s">
        <v>63</v>
      </c>
      <c r="X274" s="1" t="s">
        <v>529</v>
      </c>
      <c r="Y274" s="1">
        <v>37</v>
      </c>
      <c r="Z274" s="1"/>
      <c r="AA274" s="1" t="s">
        <v>975</v>
      </c>
      <c r="AB274" s="1">
        <v>3108398572</v>
      </c>
    </row>
    <row r="275" spans="1:28" ht="13.8">
      <c r="A275" s="331">
        <v>36242</v>
      </c>
      <c r="B275" s="331">
        <v>26174</v>
      </c>
      <c r="C275" s="115">
        <v>46062</v>
      </c>
      <c r="D275" s="1" t="s">
        <v>1376</v>
      </c>
      <c r="E275" s="1" t="s">
        <v>1377</v>
      </c>
      <c r="F275" s="1" t="s">
        <v>126</v>
      </c>
      <c r="G275" s="1">
        <v>890242</v>
      </c>
      <c r="H275" s="1" t="s">
        <v>331</v>
      </c>
      <c r="I275" s="1" t="s">
        <v>972</v>
      </c>
      <c r="J275" s="1" t="s">
        <v>223</v>
      </c>
      <c r="K275" s="1"/>
      <c r="L275" s="2">
        <v>250000</v>
      </c>
      <c r="M275" s="2">
        <v>124500</v>
      </c>
      <c r="N275" s="2">
        <v>0</v>
      </c>
      <c r="O275" s="2">
        <v>1000</v>
      </c>
      <c r="P275" s="2">
        <v>0</v>
      </c>
      <c r="Q275" s="2">
        <v>0</v>
      </c>
      <c r="R275" s="2">
        <v>0</v>
      </c>
      <c r="S275" s="2">
        <v>124500</v>
      </c>
      <c r="T275" s="3">
        <v>0.498</v>
      </c>
      <c r="U275" s="1"/>
      <c r="V275" s="1" t="s">
        <v>1825</v>
      </c>
      <c r="W275" s="1" t="s">
        <v>202</v>
      </c>
      <c r="X275" s="1" t="s">
        <v>277</v>
      </c>
      <c r="Y275" s="1">
        <v>4</v>
      </c>
      <c r="Z275" s="1" t="s">
        <v>1826</v>
      </c>
      <c r="AA275" s="1" t="s">
        <v>975</v>
      </c>
      <c r="AB275" s="1">
        <v>3123124672</v>
      </c>
    </row>
    <row r="276" spans="1:28" ht="13.8">
      <c r="A276" s="331">
        <v>33257</v>
      </c>
      <c r="B276" s="331">
        <v>22430</v>
      </c>
      <c r="C276" s="115">
        <v>46062</v>
      </c>
      <c r="D276" s="1" t="s">
        <v>1282</v>
      </c>
      <c r="E276" s="1" t="s">
        <v>1283</v>
      </c>
      <c r="F276" s="1" t="s">
        <v>126</v>
      </c>
      <c r="G276" s="1" t="s">
        <v>1284</v>
      </c>
      <c r="H276" s="1" t="s">
        <v>1285</v>
      </c>
      <c r="I276" s="1" t="s">
        <v>1097</v>
      </c>
      <c r="J276" s="1" t="s">
        <v>210</v>
      </c>
      <c r="K276" s="1" t="s">
        <v>1097</v>
      </c>
      <c r="L276" s="2">
        <v>650000</v>
      </c>
      <c r="M276" s="2">
        <v>318500</v>
      </c>
      <c r="N276" s="2">
        <v>0</v>
      </c>
      <c r="O276" s="2">
        <v>13000</v>
      </c>
      <c r="P276" s="2">
        <v>0</v>
      </c>
      <c r="Q276" s="2">
        <v>0</v>
      </c>
      <c r="R276" s="2">
        <v>0</v>
      </c>
      <c r="S276" s="2">
        <v>318500</v>
      </c>
      <c r="T276" s="3">
        <v>0.49</v>
      </c>
      <c r="U276" s="1"/>
      <c r="V276" s="1" t="s">
        <v>1827</v>
      </c>
      <c r="W276" s="1" t="s">
        <v>202</v>
      </c>
      <c r="X276" s="1" t="s">
        <v>277</v>
      </c>
      <c r="Y276" s="1">
        <v>39</v>
      </c>
      <c r="Z276" s="1" t="s">
        <v>1828</v>
      </c>
      <c r="AA276" s="1" t="s">
        <v>1829</v>
      </c>
      <c r="AB276" s="1">
        <v>56966131612</v>
      </c>
    </row>
    <row r="277" spans="1:28" ht="13.8">
      <c r="A277" s="331">
        <v>35850</v>
      </c>
      <c r="B277" s="331">
        <v>25449</v>
      </c>
      <c r="C277" s="115">
        <v>46062</v>
      </c>
      <c r="D277" s="1" t="s">
        <v>701</v>
      </c>
      <c r="E277" s="1" t="s">
        <v>702</v>
      </c>
      <c r="F277" s="1" t="s">
        <v>126</v>
      </c>
      <c r="G277" s="1">
        <v>890303</v>
      </c>
      <c r="H277" s="1" t="s">
        <v>221</v>
      </c>
      <c r="I277" s="1" t="s">
        <v>1012</v>
      </c>
      <c r="J277" s="1" t="s">
        <v>223</v>
      </c>
      <c r="K277" s="1"/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3">
        <v>0</v>
      </c>
      <c r="U277" s="1"/>
      <c r="V277" s="1"/>
      <c r="W277" s="1" t="s">
        <v>63</v>
      </c>
      <c r="X277" s="1" t="s">
        <v>213</v>
      </c>
      <c r="Y277" s="1">
        <v>67</v>
      </c>
      <c r="Z277" s="1"/>
      <c r="AA277" s="1" t="s">
        <v>975</v>
      </c>
      <c r="AB277" s="1">
        <v>3107333974</v>
      </c>
    </row>
    <row r="278" spans="1:28" ht="13.8">
      <c r="A278" s="331">
        <v>35722</v>
      </c>
      <c r="B278" s="331">
        <v>26268</v>
      </c>
      <c r="C278" s="115">
        <v>46062</v>
      </c>
      <c r="D278" s="1" t="s">
        <v>701</v>
      </c>
      <c r="E278" s="1" t="s">
        <v>702</v>
      </c>
      <c r="F278" s="1" t="s">
        <v>126</v>
      </c>
      <c r="G278" s="1" t="s">
        <v>499</v>
      </c>
      <c r="H278" s="1" t="s">
        <v>500</v>
      </c>
      <c r="I278" s="1" t="s">
        <v>1125</v>
      </c>
      <c r="J278" s="1" t="s">
        <v>210</v>
      </c>
      <c r="K278" s="1" t="s">
        <v>1126</v>
      </c>
      <c r="L278" s="2">
        <v>400000</v>
      </c>
      <c r="M278" s="2">
        <v>196000</v>
      </c>
      <c r="N278" s="2">
        <v>0</v>
      </c>
      <c r="O278" s="2">
        <v>8000</v>
      </c>
      <c r="P278" s="2">
        <v>0</v>
      </c>
      <c r="Q278" s="2">
        <v>0</v>
      </c>
      <c r="R278" s="2">
        <v>0</v>
      </c>
      <c r="S278" s="2">
        <v>196000</v>
      </c>
      <c r="T278" s="3">
        <v>0.49</v>
      </c>
      <c r="U278" s="1"/>
      <c r="V278" s="1" t="s">
        <v>1830</v>
      </c>
      <c r="W278" s="1" t="s">
        <v>202</v>
      </c>
      <c r="X278" s="1" t="s">
        <v>213</v>
      </c>
      <c r="Y278" s="1">
        <v>67</v>
      </c>
      <c r="Z278" s="1" t="s">
        <v>1831</v>
      </c>
      <c r="AA278" s="1" t="s">
        <v>975</v>
      </c>
      <c r="AB278" s="1">
        <v>3107333974</v>
      </c>
    </row>
    <row r="279" spans="1:28" ht="13.8">
      <c r="A279" s="331">
        <v>24565</v>
      </c>
      <c r="B279" s="331">
        <v>12933</v>
      </c>
      <c r="C279" s="115">
        <v>46062</v>
      </c>
      <c r="D279" s="1" t="s">
        <v>1832</v>
      </c>
      <c r="E279" s="1" t="s">
        <v>1833</v>
      </c>
      <c r="F279" s="1" t="s">
        <v>3</v>
      </c>
      <c r="G279" s="1" t="s">
        <v>289</v>
      </c>
      <c r="H279" s="1" t="s">
        <v>290</v>
      </c>
      <c r="I279" s="1" t="s">
        <v>1065</v>
      </c>
      <c r="J279" s="1" t="s">
        <v>210</v>
      </c>
      <c r="K279" s="1"/>
      <c r="L279" s="2">
        <v>475000</v>
      </c>
      <c r="M279" s="2">
        <v>208475</v>
      </c>
      <c r="N279" s="2">
        <v>33367.379999999997</v>
      </c>
      <c r="O279" s="2">
        <v>9500</v>
      </c>
      <c r="P279" s="2">
        <v>0</v>
      </c>
      <c r="Q279" s="2">
        <v>15182.62</v>
      </c>
      <c r="R279" s="2">
        <v>0</v>
      </c>
      <c r="S279" s="2">
        <v>223657.62</v>
      </c>
      <c r="T279" s="3">
        <v>0.47085814736842002</v>
      </c>
      <c r="U279" s="1"/>
      <c r="V279" s="1" t="s">
        <v>1834</v>
      </c>
      <c r="W279" s="1" t="s">
        <v>202</v>
      </c>
      <c r="X279" s="1" t="s">
        <v>225</v>
      </c>
      <c r="Y279" s="1">
        <v>40</v>
      </c>
      <c r="Z279" s="1" t="s">
        <v>1835</v>
      </c>
      <c r="AA279" s="1" t="s">
        <v>975</v>
      </c>
      <c r="AB279" s="1">
        <v>3176447588</v>
      </c>
    </row>
    <row r="280" spans="1:28" ht="13.8">
      <c r="A280" s="331">
        <v>36192</v>
      </c>
      <c r="B280" s="331">
        <v>26048</v>
      </c>
      <c r="C280" s="115">
        <v>46062</v>
      </c>
      <c r="D280" s="1" t="s">
        <v>1335</v>
      </c>
      <c r="E280" s="1" t="s">
        <v>1336</v>
      </c>
      <c r="F280" s="1" t="s">
        <v>126</v>
      </c>
      <c r="G280" s="1">
        <v>890242</v>
      </c>
      <c r="H280" s="1" t="s">
        <v>331</v>
      </c>
      <c r="I280" s="1" t="s">
        <v>972</v>
      </c>
      <c r="J280" s="1" t="s">
        <v>223</v>
      </c>
      <c r="K280" s="1"/>
      <c r="L280" s="2">
        <v>250000</v>
      </c>
      <c r="M280" s="2">
        <v>125000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125000</v>
      </c>
      <c r="T280" s="3">
        <v>0.5</v>
      </c>
      <c r="U280" s="1"/>
      <c r="V280" s="1" t="s">
        <v>1836</v>
      </c>
      <c r="W280" s="1" t="s">
        <v>202</v>
      </c>
      <c r="X280" s="1" t="s">
        <v>213</v>
      </c>
      <c r="Y280" s="1">
        <v>42</v>
      </c>
      <c r="Z280" s="1" t="s">
        <v>1837</v>
      </c>
      <c r="AA280" s="1" t="s">
        <v>975</v>
      </c>
      <c r="AB280" s="1">
        <v>3137204397</v>
      </c>
    </row>
    <row r="281" spans="1:28" ht="13.8">
      <c r="A281" s="331">
        <v>23794</v>
      </c>
      <c r="B281" s="331">
        <v>25133</v>
      </c>
      <c r="C281" s="115">
        <v>46062</v>
      </c>
      <c r="D281" s="1" t="s">
        <v>581</v>
      </c>
      <c r="E281" s="1" t="s">
        <v>582</v>
      </c>
      <c r="F281" s="1" t="s">
        <v>3</v>
      </c>
      <c r="G281" s="1" t="s">
        <v>289</v>
      </c>
      <c r="H281" s="1" t="s">
        <v>290</v>
      </c>
      <c r="I281" s="1" t="s">
        <v>1065</v>
      </c>
      <c r="J281" s="1" t="s">
        <v>210</v>
      </c>
      <c r="K281" s="1"/>
      <c r="L281" s="2">
        <v>0</v>
      </c>
      <c r="M281" s="2">
        <v>0</v>
      </c>
      <c r="N281" s="2">
        <v>16683.689999999999</v>
      </c>
      <c r="O281" s="2">
        <v>0</v>
      </c>
      <c r="P281" s="2">
        <v>0</v>
      </c>
      <c r="Q281" s="2">
        <v>7591.31</v>
      </c>
      <c r="R281" s="2">
        <v>0</v>
      </c>
      <c r="S281" s="2">
        <v>-16683.689999999999</v>
      </c>
      <c r="T281" s="3">
        <v>0</v>
      </c>
      <c r="U281" s="1"/>
      <c r="V281" s="1"/>
      <c r="W281" s="1" t="s">
        <v>63</v>
      </c>
      <c r="X281" s="1" t="s">
        <v>225</v>
      </c>
      <c r="Y281" s="1">
        <v>36</v>
      </c>
      <c r="Z281" s="1"/>
      <c r="AA281" s="1" t="s">
        <v>975</v>
      </c>
      <c r="AB281" s="1">
        <v>3167430922</v>
      </c>
    </row>
    <row r="282" spans="1:28" ht="13.8">
      <c r="A282" s="331">
        <v>36247</v>
      </c>
      <c r="B282" s="331">
        <v>26179</v>
      </c>
      <c r="C282" s="115">
        <v>46062</v>
      </c>
      <c r="D282" s="1" t="s">
        <v>1385</v>
      </c>
      <c r="E282" s="1" t="s">
        <v>1386</v>
      </c>
      <c r="F282" s="1" t="s">
        <v>3</v>
      </c>
      <c r="G282" s="1">
        <v>890242</v>
      </c>
      <c r="H282" s="1" t="s">
        <v>331</v>
      </c>
      <c r="I282" s="1" t="s">
        <v>972</v>
      </c>
      <c r="J282" s="1" t="s">
        <v>223</v>
      </c>
      <c r="K282" s="1"/>
      <c r="L282" s="2">
        <v>250000</v>
      </c>
      <c r="M282" s="2">
        <v>122500</v>
      </c>
      <c r="N282" s="2">
        <v>0</v>
      </c>
      <c r="O282" s="2">
        <v>5000</v>
      </c>
      <c r="P282" s="2">
        <v>0</v>
      </c>
      <c r="Q282" s="2">
        <v>0</v>
      </c>
      <c r="R282" s="2">
        <v>0</v>
      </c>
      <c r="S282" s="2">
        <v>122500</v>
      </c>
      <c r="T282" s="3">
        <v>0.49</v>
      </c>
      <c r="U282" s="1"/>
      <c r="V282" s="1" t="s">
        <v>1838</v>
      </c>
      <c r="W282" s="1" t="s">
        <v>202</v>
      </c>
      <c r="X282" s="1" t="s">
        <v>213</v>
      </c>
      <c r="Y282" s="1">
        <v>31</v>
      </c>
      <c r="Z282" s="1" t="s">
        <v>1839</v>
      </c>
      <c r="AA282" s="1" t="s">
        <v>975</v>
      </c>
      <c r="AB282" s="1">
        <v>3205240856</v>
      </c>
    </row>
    <row r="283" spans="1:28" ht="13.8">
      <c r="A283" s="331">
        <v>36311</v>
      </c>
      <c r="B283" s="331">
        <v>26286</v>
      </c>
      <c r="C283" s="115">
        <v>46062</v>
      </c>
      <c r="D283" s="1" t="s">
        <v>1840</v>
      </c>
      <c r="E283" s="1" t="s">
        <v>1841</v>
      </c>
      <c r="F283" s="1" t="s">
        <v>126</v>
      </c>
      <c r="G283" s="1">
        <v>890242</v>
      </c>
      <c r="H283" s="1" t="s">
        <v>331</v>
      </c>
      <c r="I283" s="1" t="s">
        <v>972</v>
      </c>
      <c r="J283" s="1" t="s">
        <v>223</v>
      </c>
      <c r="K283" s="1"/>
      <c r="L283" s="2">
        <v>250000</v>
      </c>
      <c r="M283" s="2">
        <v>122500</v>
      </c>
      <c r="N283" s="2">
        <v>0</v>
      </c>
      <c r="O283" s="2">
        <v>5000</v>
      </c>
      <c r="P283" s="2">
        <v>0</v>
      </c>
      <c r="Q283" s="2">
        <v>0</v>
      </c>
      <c r="R283" s="2">
        <v>0</v>
      </c>
      <c r="S283" s="2">
        <v>122500</v>
      </c>
      <c r="T283" s="3">
        <v>0.49</v>
      </c>
      <c r="U283" s="1"/>
      <c r="V283" s="1" t="s">
        <v>1842</v>
      </c>
      <c r="W283" s="1" t="s">
        <v>202</v>
      </c>
      <c r="X283" s="1" t="s">
        <v>672</v>
      </c>
      <c r="Y283" s="1">
        <v>49</v>
      </c>
      <c r="Z283" s="1" t="s">
        <v>1843</v>
      </c>
      <c r="AA283" s="1" t="s">
        <v>1844</v>
      </c>
      <c r="AB283" s="1">
        <v>972544904630</v>
      </c>
    </row>
    <row r="284" spans="1:28" ht="13.8">
      <c r="A284" s="331">
        <v>36252</v>
      </c>
      <c r="B284" s="331">
        <v>26186</v>
      </c>
      <c r="C284" s="115">
        <v>46062</v>
      </c>
      <c r="D284" s="1" t="s">
        <v>1391</v>
      </c>
      <c r="E284" s="1" t="s">
        <v>1392</v>
      </c>
      <c r="F284" s="1" t="s">
        <v>3</v>
      </c>
      <c r="G284" s="1">
        <v>890242</v>
      </c>
      <c r="H284" s="1" t="s">
        <v>331</v>
      </c>
      <c r="I284" s="1" t="s">
        <v>972</v>
      </c>
      <c r="J284" s="1" t="s">
        <v>223</v>
      </c>
      <c r="K284" s="1"/>
      <c r="L284" s="2">
        <v>250000</v>
      </c>
      <c r="M284" s="2">
        <v>122500</v>
      </c>
      <c r="N284" s="2">
        <v>0</v>
      </c>
      <c r="O284" s="2">
        <v>5000</v>
      </c>
      <c r="P284" s="2">
        <v>0</v>
      </c>
      <c r="Q284" s="2">
        <v>0</v>
      </c>
      <c r="R284" s="2">
        <v>0</v>
      </c>
      <c r="S284" s="2">
        <v>122500</v>
      </c>
      <c r="T284" s="3">
        <v>0.49</v>
      </c>
      <c r="U284" s="1"/>
      <c r="V284" s="1" t="s">
        <v>1845</v>
      </c>
      <c r="W284" s="1" t="s">
        <v>202</v>
      </c>
      <c r="X284" s="1" t="s">
        <v>213</v>
      </c>
      <c r="Y284" s="1">
        <v>42</v>
      </c>
      <c r="Z284" s="1" t="s">
        <v>1846</v>
      </c>
      <c r="AA284" s="1" t="s">
        <v>975</v>
      </c>
      <c r="AB284" s="1">
        <v>3244655709</v>
      </c>
    </row>
    <row r="285" spans="1:28" ht="13.8">
      <c r="A285" s="331">
        <v>36320</v>
      </c>
      <c r="B285" s="331">
        <v>26298</v>
      </c>
      <c r="C285" s="115">
        <v>46062</v>
      </c>
      <c r="D285" s="1" t="s">
        <v>1335</v>
      </c>
      <c r="E285" s="1" t="s">
        <v>1336</v>
      </c>
      <c r="F285" s="1" t="s">
        <v>126</v>
      </c>
      <c r="G285" s="1">
        <v>861401</v>
      </c>
      <c r="H285" s="1" t="s">
        <v>307</v>
      </c>
      <c r="I285" s="1" t="s">
        <v>983</v>
      </c>
      <c r="J285" s="1" t="s">
        <v>210</v>
      </c>
      <c r="K285" s="1"/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3">
        <v>0</v>
      </c>
      <c r="U285" s="1"/>
      <c r="V285" s="1"/>
      <c r="W285" s="1" t="s">
        <v>63</v>
      </c>
      <c r="X285" s="1" t="s">
        <v>213</v>
      </c>
      <c r="Y285" s="1">
        <v>42</v>
      </c>
      <c r="Z285" s="1"/>
      <c r="AA285" s="1" t="s">
        <v>975</v>
      </c>
      <c r="AB285" s="1">
        <v>3137204397</v>
      </c>
    </row>
    <row r="286" spans="1:28" ht="13.8">
      <c r="A286" s="331">
        <v>34074</v>
      </c>
      <c r="B286" s="331">
        <v>22690</v>
      </c>
      <c r="C286" s="115">
        <v>46062</v>
      </c>
      <c r="D286" s="1" t="s">
        <v>293</v>
      </c>
      <c r="E286" s="1" t="s">
        <v>294</v>
      </c>
      <c r="F286" s="1" t="s">
        <v>4</v>
      </c>
      <c r="G286" s="1">
        <v>868116</v>
      </c>
      <c r="H286" s="1" t="s">
        <v>298</v>
      </c>
      <c r="I286" s="1" t="s">
        <v>983</v>
      </c>
      <c r="J286" s="1" t="s">
        <v>210</v>
      </c>
      <c r="K286" s="1"/>
      <c r="L286" s="2">
        <v>150000</v>
      </c>
      <c r="M286" s="2">
        <v>66250.5</v>
      </c>
      <c r="N286" s="2">
        <v>13221.01</v>
      </c>
      <c r="O286" s="2">
        <v>0</v>
      </c>
      <c r="P286" s="2">
        <v>0</v>
      </c>
      <c r="Q286" s="2">
        <v>4277.99</v>
      </c>
      <c r="R286" s="2">
        <v>0</v>
      </c>
      <c r="S286" s="2">
        <v>70528.490000000005</v>
      </c>
      <c r="T286" s="3">
        <v>0.47018993333332998</v>
      </c>
      <c r="U286" s="1"/>
      <c r="V286" s="1" t="s">
        <v>1847</v>
      </c>
      <c r="W286" s="1" t="s">
        <v>202</v>
      </c>
      <c r="X286" s="1" t="s">
        <v>225</v>
      </c>
      <c r="Y286" s="1">
        <v>21</v>
      </c>
      <c r="Z286" s="1" t="s">
        <v>1848</v>
      </c>
      <c r="AA286" s="1" t="s">
        <v>975</v>
      </c>
      <c r="AB286" s="1">
        <v>16179080426</v>
      </c>
    </row>
    <row r="287" spans="1:28" ht="13.8">
      <c r="A287" s="331">
        <v>34074</v>
      </c>
      <c r="B287" s="331">
        <v>22691</v>
      </c>
      <c r="C287" s="115">
        <v>46062</v>
      </c>
      <c r="D287" s="1" t="s">
        <v>293</v>
      </c>
      <c r="E287" s="1" t="s">
        <v>294</v>
      </c>
      <c r="F287" s="1" t="s">
        <v>4</v>
      </c>
      <c r="G287" s="1">
        <v>861426</v>
      </c>
      <c r="H287" s="1" t="s">
        <v>299</v>
      </c>
      <c r="I287" s="1" t="s">
        <v>1081</v>
      </c>
      <c r="J287" s="1" t="s">
        <v>210</v>
      </c>
      <c r="K287" s="1"/>
      <c r="L287" s="2">
        <v>1300000</v>
      </c>
      <c r="M287" s="2">
        <v>297600</v>
      </c>
      <c r="N287" s="2">
        <v>599010</v>
      </c>
      <c r="O287" s="2">
        <v>0</v>
      </c>
      <c r="P287" s="2">
        <v>0</v>
      </c>
      <c r="Q287" s="2">
        <v>105790</v>
      </c>
      <c r="R287" s="2">
        <v>0</v>
      </c>
      <c r="S287" s="2">
        <v>403390</v>
      </c>
      <c r="T287" s="3">
        <v>0.31030000000000002</v>
      </c>
      <c r="U287" s="1"/>
      <c r="V287" s="1" t="s">
        <v>1847</v>
      </c>
      <c r="W287" s="1" t="s">
        <v>202</v>
      </c>
      <c r="X287" s="1" t="s">
        <v>225</v>
      </c>
      <c r="Y287" s="1">
        <v>21</v>
      </c>
      <c r="Z287" s="1" t="s">
        <v>1848</v>
      </c>
      <c r="AA287" s="1" t="s">
        <v>975</v>
      </c>
      <c r="AB287" s="1">
        <v>16179080426</v>
      </c>
    </row>
    <row r="288" spans="1:28" ht="13.8">
      <c r="A288" s="331">
        <v>28837</v>
      </c>
      <c r="B288" s="331">
        <v>26272</v>
      </c>
      <c r="C288" s="115">
        <v>46062</v>
      </c>
      <c r="D288" s="1" t="s">
        <v>1832</v>
      </c>
      <c r="E288" s="1" t="s">
        <v>1833</v>
      </c>
      <c r="F288" s="1" t="s">
        <v>4</v>
      </c>
      <c r="G288" s="1" t="s">
        <v>324</v>
      </c>
      <c r="H288" s="1" t="s">
        <v>325</v>
      </c>
      <c r="I288" s="1" t="s">
        <v>1097</v>
      </c>
      <c r="J288" s="1" t="s">
        <v>210</v>
      </c>
      <c r="K288" s="1" t="s">
        <v>1097</v>
      </c>
      <c r="L288" s="2">
        <v>617500</v>
      </c>
      <c r="M288" s="2">
        <v>302575</v>
      </c>
      <c r="N288" s="2">
        <v>0</v>
      </c>
      <c r="O288" s="2">
        <v>12350</v>
      </c>
      <c r="P288" s="2">
        <v>0</v>
      </c>
      <c r="Q288" s="2">
        <v>0</v>
      </c>
      <c r="R288" s="2">
        <v>0</v>
      </c>
      <c r="S288" s="2">
        <v>302575</v>
      </c>
      <c r="T288" s="3">
        <v>0.49</v>
      </c>
      <c r="U288" s="1"/>
      <c r="V288" s="1" t="s">
        <v>1849</v>
      </c>
      <c r="W288" s="1" t="s">
        <v>202</v>
      </c>
      <c r="X288" s="1" t="s">
        <v>225</v>
      </c>
      <c r="Y288" s="1">
        <v>40</v>
      </c>
      <c r="Z288" s="1" t="s">
        <v>1850</v>
      </c>
      <c r="AA288" s="1" t="s">
        <v>975</v>
      </c>
      <c r="AB288" s="1">
        <v>3176447588</v>
      </c>
    </row>
    <row r="289" spans="1:28" ht="13.8">
      <c r="A289" s="331">
        <v>32917</v>
      </c>
      <c r="B289" s="331">
        <v>24999</v>
      </c>
      <c r="C289" s="115">
        <v>46062</v>
      </c>
      <c r="D289" s="1" t="s">
        <v>549</v>
      </c>
      <c r="E289" s="1" t="s">
        <v>550</v>
      </c>
      <c r="F289" s="1" t="s">
        <v>4</v>
      </c>
      <c r="G289" s="1" t="s">
        <v>324</v>
      </c>
      <c r="H289" s="1" t="s">
        <v>325</v>
      </c>
      <c r="I289" s="1" t="s">
        <v>1097</v>
      </c>
      <c r="J289" s="1" t="s">
        <v>210</v>
      </c>
      <c r="K289" s="1" t="s">
        <v>1097</v>
      </c>
      <c r="L289" s="2">
        <v>650000</v>
      </c>
      <c r="M289" s="2">
        <v>318500</v>
      </c>
      <c r="N289" s="2">
        <v>0</v>
      </c>
      <c r="O289" s="2">
        <v>13000</v>
      </c>
      <c r="P289" s="2">
        <v>0</v>
      </c>
      <c r="Q289" s="2">
        <v>0</v>
      </c>
      <c r="R289" s="2">
        <v>0</v>
      </c>
      <c r="S289" s="2">
        <v>318500</v>
      </c>
      <c r="T289" s="3">
        <v>0.49</v>
      </c>
      <c r="U289" s="1"/>
      <c r="V289" s="1" t="s">
        <v>1851</v>
      </c>
      <c r="W289" s="1" t="s">
        <v>202</v>
      </c>
      <c r="X289" s="1" t="s">
        <v>225</v>
      </c>
      <c r="Y289" s="1">
        <v>52</v>
      </c>
      <c r="Z289" s="1" t="s">
        <v>1852</v>
      </c>
      <c r="AA289" s="1" t="s">
        <v>975</v>
      </c>
      <c r="AB289" s="1">
        <v>3113738218</v>
      </c>
    </row>
    <row r="290" spans="1:28" ht="13.8">
      <c r="A290" s="331">
        <v>32184</v>
      </c>
      <c r="B290" s="331">
        <v>25000</v>
      </c>
      <c r="C290" s="115">
        <v>46062</v>
      </c>
      <c r="D290" s="1" t="s">
        <v>551</v>
      </c>
      <c r="E290" s="1" t="s">
        <v>552</v>
      </c>
      <c r="F290" s="1" t="s">
        <v>4</v>
      </c>
      <c r="G290" s="1" t="s">
        <v>324</v>
      </c>
      <c r="H290" s="1" t="s">
        <v>325</v>
      </c>
      <c r="I290" s="1" t="s">
        <v>1097</v>
      </c>
      <c r="J290" s="1" t="s">
        <v>210</v>
      </c>
      <c r="K290" s="1" t="s">
        <v>1097</v>
      </c>
      <c r="L290" s="2">
        <v>650000</v>
      </c>
      <c r="M290" s="2">
        <v>318500</v>
      </c>
      <c r="N290" s="2">
        <v>0</v>
      </c>
      <c r="O290" s="2">
        <v>13000</v>
      </c>
      <c r="P290" s="2">
        <v>0</v>
      </c>
      <c r="Q290" s="2">
        <v>0</v>
      </c>
      <c r="R290" s="2">
        <v>0</v>
      </c>
      <c r="S290" s="2">
        <v>318500</v>
      </c>
      <c r="T290" s="3">
        <v>0.49</v>
      </c>
      <c r="U290" s="1"/>
      <c r="V290" s="1" t="s">
        <v>1851</v>
      </c>
      <c r="W290" s="1" t="s">
        <v>202</v>
      </c>
      <c r="X290" s="1" t="s">
        <v>225</v>
      </c>
      <c r="Y290" s="1">
        <v>64</v>
      </c>
      <c r="Z290" s="1" t="s">
        <v>1853</v>
      </c>
      <c r="AA290" s="1" t="s">
        <v>975</v>
      </c>
      <c r="AB290" s="1">
        <v>3147832788</v>
      </c>
    </row>
    <row r="291" spans="1:28" ht="13.8">
      <c r="A291" s="331">
        <v>32917</v>
      </c>
      <c r="B291" s="331">
        <v>26243</v>
      </c>
      <c r="C291" s="115">
        <v>46062</v>
      </c>
      <c r="D291" s="1" t="s">
        <v>549</v>
      </c>
      <c r="E291" s="1" t="s">
        <v>550</v>
      </c>
      <c r="F291" s="1" t="s">
        <v>4</v>
      </c>
      <c r="G291" s="1" t="s">
        <v>499</v>
      </c>
      <c r="H291" s="1" t="s">
        <v>500</v>
      </c>
      <c r="I291" s="1" t="s">
        <v>1125</v>
      </c>
      <c r="J291" s="1" t="s">
        <v>210</v>
      </c>
      <c r="K291" s="1" t="s">
        <v>1126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3">
        <v>0</v>
      </c>
      <c r="U291" s="1"/>
      <c r="V291" s="1"/>
      <c r="W291" s="1" t="s">
        <v>63</v>
      </c>
      <c r="X291" s="1" t="s">
        <v>225</v>
      </c>
      <c r="Y291" s="1">
        <v>52</v>
      </c>
      <c r="Z291" s="1"/>
      <c r="AA291" s="1" t="s">
        <v>975</v>
      </c>
      <c r="AB291" s="1">
        <v>3113738218</v>
      </c>
    </row>
    <row r="292" spans="1:28" ht="13.8">
      <c r="A292" s="331">
        <v>32184</v>
      </c>
      <c r="B292" s="331">
        <v>26244</v>
      </c>
      <c r="C292" s="115">
        <v>46062</v>
      </c>
      <c r="D292" s="1" t="s">
        <v>551</v>
      </c>
      <c r="E292" s="1" t="s">
        <v>552</v>
      </c>
      <c r="F292" s="1" t="s">
        <v>4</v>
      </c>
      <c r="G292" s="1" t="s">
        <v>499</v>
      </c>
      <c r="H292" s="1" t="s">
        <v>500</v>
      </c>
      <c r="I292" s="1" t="s">
        <v>1125</v>
      </c>
      <c r="J292" s="1" t="s">
        <v>210</v>
      </c>
      <c r="K292" s="1" t="s">
        <v>1126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3">
        <v>0</v>
      </c>
      <c r="U292" s="1"/>
      <c r="V292" s="1"/>
      <c r="W292" s="1" t="s">
        <v>63</v>
      </c>
      <c r="X292" s="1" t="s">
        <v>225</v>
      </c>
      <c r="Y292" s="1">
        <v>64</v>
      </c>
      <c r="Z292" s="1"/>
      <c r="AA292" s="1" t="s">
        <v>975</v>
      </c>
      <c r="AB292" s="1">
        <v>3147832788</v>
      </c>
    </row>
    <row r="293" spans="1:28" ht="13.8">
      <c r="A293" s="331">
        <v>36272</v>
      </c>
      <c r="B293" s="331">
        <v>26218</v>
      </c>
      <c r="C293" s="115">
        <v>46062</v>
      </c>
      <c r="D293" s="1" t="s">
        <v>1416</v>
      </c>
      <c r="E293" s="1" t="s">
        <v>1417</v>
      </c>
      <c r="F293" s="1" t="s">
        <v>3</v>
      </c>
      <c r="G293" s="1">
        <v>868114</v>
      </c>
      <c r="H293" s="1" t="s">
        <v>312</v>
      </c>
      <c r="I293" s="1" t="s">
        <v>983</v>
      </c>
      <c r="J293" s="1" t="s">
        <v>210</v>
      </c>
      <c r="K293" s="1"/>
      <c r="L293" s="2">
        <v>350000</v>
      </c>
      <c r="M293" s="2">
        <v>161894</v>
      </c>
      <c r="N293" s="2">
        <v>22335.360000000001</v>
      </c>
      <c r="O293" s="2">
        <v>0</v>
      </c>
      <c r="P293" s="2">
        <v>0</v>
      </c>
      <c r="Q293" s="2">
        <v>3876.64</v>
      </c>
      <c r="R293" s="2">
        <v>0</v>
      </c>
      <c r="S293" s="2">
        <v>165770.64000000001</v>
      </c>
      <c r="T293" s="3">
        <v>0.47363040000000001</v>
      </c>
      <c r="U293" s="1"/>
      <c r="V293" s="1" t="s">
        <v>1854</v>
      </c>
      <c r="W293" s="1" t="s">
        <v>202</v>
      </c>
      <c r="X293" s="1" t="s">
        <v>225</v>
      </c>
      <c r="Y293" s="1">
        <v>35</v>
      </c>
      <c r="Z293" s="1" t="s">
        <v>1855</v>
      </c>
      <c r="AA293" s="1" t="s">
        <v>975</v>
      </c>
      <c r="AB293" s="1">
        <v>3148758491</v>
      </c>
    </row>
    <row r="294" spans="1:28" ht="13.8">
      <c r="A294" s="331">
        <v>36195</v>
      </c>
      <c r="B294" s="331">
        <v>26057</v>
      </c>
      <c r="C294" s="115">
        <v>46062</v>
      </c>
      <c r="D294" s="1" t="s">
        <v>1856</v>
      </c>
      <c r="E294" s="1" t="s">
        <v>1857</v>
      </c>
      <c r="F294" s="1" t="s">
        <v>4</v>
      </c>
      <c r="G294" s="1" t="s">
        <v>555</v>
      </c>
      <c r="H294" s="1" t="s">
        <v>556</v>
      </c>
      <c r="I294" s="1" t="s">
        <v>1065</v>
      </c>
      <c r="J294" s="1" t="s">
        <v>210</v>
      </c>
      <c r="K294" s="1"/>
      <c r="L294" s="2">
        <v>0</v>
      </c>
      <c r="M294" s="2">
        <v>0</v>
      </c>
      <c r="N294" s="2">
        <v>111000</v>
      </c>
      <c r="O294" s="2">
        <v>0</v>
      </c>
      <c r="P294" s="2">
        <v>0</v>
      </c>
      <c r="Q294" s="2">
        <v>19650</v>
      </c>
      <c r="R294" s="2">
        <v>0</v>
      </c>
      <c r="S294" s="2">
        <v>-111000</v>
      </c>
      <c r="T294" s="3">
        <v>0</v>
      </c>
      <c r="U294" s="1"/>
      <c r="V294" s="1"/>
      <c r="W294" s="1" t="s">
        <v>63</v>
      </c>
      <c r="X294" s="1" t="s">
        <v>225</v>
      </c>
      <c r="Y294" s="1">
        <v>31</v>
      </c>
      <c r="Z294" s="1"/>
      <c r="AA294" s="1" t="s">
        <v>975</v>
      </c>
      <c r="AB294" s="1">
        <v>3113820992</v>
      </c>
    </row>
    <row r="295" spans="1:28" ht="13.8">
      <c r="A295" s="331">
        <v>34074</v>
      </c>
      <c r="B295" s="331">
        <v>22689</v>
      </c>
      <c r="C295" s="115">
        <v>46062</v>
      </c>
      <c r="D295" s="1" t="s">
        <v>293</v>
      </c>
      <c r="E295" s="1" t="s">
        <v>294</v>
      </c>
      <c r="F295" s="1" t="s">
        <v>4</v>
      </c>
      <c r="G295" s="1" t="s">
        <v>295</v>
      </c>
      <c r="H295" s="1" t="s">
        <v>296</v>
      </c>
      <c r="I295" s="1" t="s">
        <v>1047</v>
      </c>
      <c r="J295" s="1" t="s">
        <v>210</v>
      </c>
      <c r="K295" s="1" t="s">
        <v>1048</v>
      </c>
      <c r="L295" s="2">
        <v>1600000</v>
      </c>
      <c r="M295" s="2">
        <v>756450</v>
      </c>
      <c r="N295" s="2">
        <v>74000</v>
      </c>
      <c r="O295" s="2">
        <v>0</v>
      </c>
      <c r="P295" s="2">
        <v>0</v>
      </c>
      <c r="Q295" s="2">
        <v>13100</v>
      </c>
      <c r="R295" s="2">
        <v>0</v>
      </c>
      <c r="S295" s="2">
        <v>769550</v>
      </c>
      <c r="T295" s="3">
        <v>0.48096875</v>
      </c>
      <c r="U295" s="1"/>
      <c r="V295" s="1" t="s">
        <v>1847</v>
      </c>
      <c r="W295" s="1" t="s">
        <v>202</v>
      </c>
      <c r="X295" s="1" t="s">
        <v>225</v>
      </c>
      <c r="Y295" s="1">
        <v>21</v>
      </c>
      <c r="Z295" s="1" t="s">
        <v>1848</v>
      </c>
      <c r="AA295" s="1" t="s">
        <v>975</v>
      </c>
      <c r="AB295" s="1">
        <v>16179080426</v>
      </c>
    </row>
    <row r="296" spans="1:28" ht="13.8">
      <c r="A296" s="331">
        <v>27946</v>
      </c>
      <c r="B296" s="331">
        <v>26228</v>
      </c>
      <c r="C296" s="115">
        <v>46062</v>
      </c>
      <c r="D296" s="1" t="s">
        <v>1858</v>
      </c>
      <c r="E296" s="1" t="s">
        <v>1859</v>
      </c>
      <c r="F296" s="1" t="s">
        <v>4</v>
      </c>
      <c r="G296" s="1" t="s">
        <v>362</v>
      </c>
      <c r="H296" s="1" t="s">
        <v>363</v>
      </c>
      <c r="I296" s="1" t="s">
        <v>1062</v>
      </c>
      <c r="J296" s="1" t="s">
        <v>210</v>
      </c>
      <c r="K296" s="1"/>
      <c r="L296" s="2">
        <v>1200000</v>
      </c>
      <c r="M296" s="2">
        <v>293883</v>
      </c>
      <c r="N296" s="2">
        <v>499953.07</v>
      </c>
      <c r="O296" s="2">
        <v>24000</v>
      </c>
      <c r="P296" s="2">
        <v>0</v>
      </c>
      <c r="Q296" s="2">
        <v>88280.93</v>
      </c>
      <c r="R296" s="2">
        <v>0</v>
      </c>
      <c r="S296" s="2">
        <v>382163.93</v>
      </c>
      <c r="T296" s="3">
        <v>0.31846994166666998</v>
      </c>
      <c r="U296" s="1"/>
      <c r="V296" s="1" t="s">
        <v>1860</v>
      </c>
      <c r="W296" s="1" t="s">
        <v>202</v>
      </c>
      <c r="X296" s="1" t="s">
        <v>319</v>
      </c>
      <c r="Y296" s="1">
        <v>44</v>
      </c>
      <c r="Z296" s="1" t="s">
        <v>1861</v>
      </c>
      <c r="AA296" s="1" t="s">
        <v>975</v>
      </c>
      <c r="AB296" s="1">
        <v>3016937889</v>
      </c>
    </row>
    <row r="297" spans="1:28" ht="13.8">
      <c r="A297" s="331">
        <v>36170</v>
      </c>
      <c r="B297" s="331">
        <v>26006</v>
      </c>
      <c r="C297" s="115">
        <v>46063</v>
      </c>
      <c r="D297" s="1" t="s">
        <v>1323</v>
      </c>
      <c r="E297" s="1" t="s">
        <v>1862</v>
      </c>
      <c r="F297" s="1" t="s">
        <v>126</v>
      </c>
      <c r="G297" s="1">
        <v>890242</v>
      </c>
      <c r="H297" s="1" t="s">
        <v>331</v>
      </c>
      <c r="I297" s="1" t="s">
        <v>972</v>
      </c>
      <c r="J297" s="1" t="s">
        <v>223</v>
      </c>
      <c r="K297" s="1"/>
      <c r="L297" s="2">
        <v>250000</v>
      </c>
      <c r="M297" s="2">
        <v>122500</v>
      </c>
      <c r="N297" s="2">
        <v>0</v>
      </c>
      <c r="O297" s="2">
        <v>5000</v>
      </c>
      <c r="P297" s="2">
        <v>0</v>
      </c>
      <c r="Q297" s="2">
        <v>0</v>
      </c>
      <c r="R297" s="2">
        <v>0</v>
      </c>
      <c r="S297" s="2">
        <v>122500</v>
      </c>
      <c r="T297" s="3">
        <v>0.49</v>
      </c>
      <c r="U297" s="1"/>
      <c r="V297" s="1" t="s">
        <v>1863</v>
      </c>
      <c r="W297" s="1" t="s">
        <v>202</v>
      </c>
      <c r="X297" s="1" t="s">
        <v>213</v>
      </c>
      <c r="Y297" s="1">
        <v>57</v>
      </c>
      <c r="Z297" s="1" t="s">
        <v>1864</v>
      </c>
      <c r="AA297" s="1" t="s">
        <v>975</v>
      </c>
      <c r="AB297" s="1">
        <v>3104894418</v>
      </c>
    </row>
    <row r="298" spans="1:28" ht="13.8">
      <c r="A298" s="331">
        <v>36147</v>
      </c>
      <c r="B298" s="331">
        <v>25966</v>
      </c>
      <c r="C298" s="115">
        <v>46063</v>
      </c>
      <c r="D298" s="1" t="s">
        <v>1299</v>
      </c>
      <c r="E298" s="1" t="s">
        <v>1300</v>
      </c>
      <c r="F298" s="1" t="s">
        <v>126</v>
      </c>
      <c r="G298" s="1">
        <v>890242</v>
      </c>
      <c r="H298" s="1" t="s">
        <v>331</v>
      </c>
      <c r="I298" s="1" t="s">
        <v>972</v>
      </c>
      <c r="J298" s="1" t="s">
        <v>223</v>
      </c>
      <c r="K298" s="1"/>
      <c r="L298" s="2">
        <v>250000</v>
      </c>
      <c r="M298" s="2">
        <v>122500</v>
      </c>
      <c r="N298" s="2">
        <v>0</v>
      </c>
      <c r="O298" s="2">
        <v>5000</v>
      </c>
      <c r="P298" s="2">
        <v>0</v>
      </c>
      <c r="Q298" s="2">
        <v>0</v>
      </c>
      <c r="R298" s="2">
        <v>0</v>
      </c>
      <c r="S298" s="2">
        <v>122500</v>
      </c>
      <c r="T298" s="3">
        <v>0.49</v>
      </c>
      <c r="U298" s="1"/>
      <c r="V298" s="1" t="s">
        <v>1865</v>
      </c>
      <c r="W298" s="1" t="s">
        <v>202</v>
      </c>
      <c r="X298" s="1" t="s">
        <v>213</v>
      </c>
      <c r="Y298" s="1">
        <v>32</v>
      </c>
      <c r="Z298" s="1" t="s">
        <v>1866</v>
      </c>
      <c r="AA298" s="1" t="s">
        <v>975</v>
      </c>
      <c r="AB298" s="1">
        <v>393249948020</v>
      </c>
    </row>
    <row r="299" spans="1:28" ht="13.8">
      <c r="A299" s="331">
        <v>35872</v>
      </c>
      <c r="B299" s="331">
        <v>25484</v>
      </c>
      <c r="C299" s="115">
        <v>46063</v>
      </c>
      <c r="D299" s="1" t="s">
        <v>715</v>
      </c>
      <c r="E299" s="1" t="s">
        <v>716</v>
      </c>
      <c r="F299" s="1" t="s">
        <v>127</v>
      </c>
      <c r="G299" s="1" t="s">
        <v>923</v>
      </c>
      <c r="H299" s="1" t="s">
        <v>924</v>
      </c>
      <c r="I299" s="1" t="s">
        <v>256</v>
      </c>
      <c r="J299" s="1" t="s">
        <v>210</v>
      </c>
      <c r="K299" s="1" t="s">
        <v>1066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3">
        <v>0</v>
      </c>
      <c r="U299" s="1"/>
      <c r="V299" s="1"/>
      <c r="W299" s="1" t="s">
        <v>63</v>
      </c>
      <c r="X299" s="1" t="s">
        <v>213</v>
      </c>
      <c r="Y299" s="1">
        <v>18</v>
      </c>
      <c r="Z299" s="1"/>
      <c r="AA299" s="1" t="s">
        <v>975</v>
      </c>
      <c r="AB299" s="1">
        <v>3215209323</v>
      </c>
    </row>
    <row r="300" spans="1:28" ht="13.8">
      <c r="A300" s="331">
        <v>36328</v>
      </c>
      <c r="B300" s="331">
        <v>26311</v>
      </c>
      <c r="C300" s="115">
        <v>46063</v>
      </c>
      <c r="D300" s="1" t="s">
        <v>1867</v>
      </c>
      <c r="E300" s="1" t="s">
        <v>1868</v>
      </c>
      <c r="F300" s="1" t="s">
        <v>5</v>
      </c>
      <c r="G300" s="1">
        <v>890304</v>
      </c>
      <c r="H300" s="1" t="s">
        <v>913</v>
      </c>
      <c r="I300" s="1" t="s">
        <v>972</v>
      </c>
      <c r="J300" s="1" t="s">
        <v>223</v>
      </c>
      <c r="K300" s="1"/>
      <c r="L300" s="2">
        <v>240000</v>
      </c>
      <c r="M300" s="2">
        <v>117600</v>
      </c>
      <c r="N300" s="2">
        <v>0</v>
      </c>
      <c r="O300" s="2">
        <v>4800</v>
      </c>
      <c r="P300" s="2">
        <v>0</v>
      </c>
      <c r="Q300" s="2">
        <v>0</v>
      </c>
      <c r="R300" s="2">
        <v>0</v>
      </c>
      <c r="S300" s="2">
        <v>117600</v>
      </c>
      <c r="T300" s="3">
        <v>0.49</v>
      </c>
      <c r="U300" s="1"/>
      <c r="V300" s="1" t="s">
        <v>1869</v>
      </c>
      <c r="W300" s="1" t="s">
        <v>202</v>
      </c>
      <c r="X300" s="1" t="s">
        <v>213</v>
      </c>
      <c r="Y300" s="1">
        <v>32</v>
      </c>
      <c r="Z300" s="1" t="s">
        <v>1870</v>
      </c>
      <c r="AA300" s="1" t="s">
        <v>1038</v>
      </c>
      <c r="AB300" s="1">
        <v>17879403795</v>
      </c>
    </row>
    <row r="301" spans="1:28" ht="13.8">
      <c r="A301" s="331">
        <v>36318</v>
      </c>
      <c r="B301" s="331">
        <v>26293</v>
      </c>
      <c r="C301" s="115">
        <v>46063</v>
      </c>
      <c r="D301" s="1" t="s">
        <v>1871</v>
      </c>
      <c r="E301" s="1" t="s">
        <v>1872</v>
      </c>
      <c r="F301" s="1" t="s">
        <v>126</v>
      </c>
      <c r="G301" s="1">
        <v>890242</v>
      </c>
      <c r="H301" s="1" t="s">
        <v>331</v>
      </c>
      <c r="I301" s="1" t="s">
        <v>972</v>
      </c>
      <c r="J301" s="1" t="s">
        <v>223</v>
      </c>
      <c r="K301" s="1"/>
      <c r="L301" s="2">
        <v>250000</v>
      </c>
      <c r="M301" s="2">
        <v>122500</v>
      </c>
      <c r="N301" s="2">
        <v>0</v>
      </c>
      <c r="O301" s="2">
        <v>5000</v>
      </c>
      <c r="P301" s="2">
        <v>0</v>
      </c>
      <c r="Q301" s="2">
        <v>0</v>
      </c>
      <c r="R301" s="2">
        <v>0</v>
      </c>
      <c r="S301" s="2">
        <v>122500</v>
      </c>
      <c r="T301" s="3">
        <v>0.49</v>
      </c>
      <c r="U301" s="1"/>
      <c r="V301" s="1" t="s">
        <v>1873</v>
      </c>
      <c r="W301" s="1" t="s">
        <v>202</v>
      </c>
      <c r="X301" s="1" t="s">
        <v>213</v>
      </c>
      <c r="Y301" s="1">
        <v>77</v>
      </c>
      <c r="Z301" s="1" t="s">
        <v>1874</v>
      </c>
      <c r="AA301" s="1" t="s">
        <v>975</v>
      </c>
      <c r="AB301" s="1">
        <v>3205393368</v>
      </c>
    </row>
    <row r="302" spans="1:28" ht="13.8">
      <c r="A302" s="331">
        <v>36151</v>
      </c>
      <c r="B302" s="331">
        <v>25972</v>
      </c>
      <c r="C302" s="115">
        <v>46063</v>
      </c>
      <c r="D302" s="1" t="s">
        <v>1301</v>
      </c>
      <c r="E302" s="1" t="s">
        <v>1302</v>
      </c>
      <c r="F302" s="1" t="s">
        <v>2</v>
      </c>
      <c r="G302" s="1">
        <v>890302</v>
      </c>
      <c r="H302" s="1" t="s">
        <v>244</v>
      </c>
      <c r="I302" s="1" t="s">
        <v>1012</v>
      </c>
      <c r="J302" s="1" t="s">
        <v>223</v>
      </c>
      <c r="K302" s="1"/>
      <c r="L302" s="2">
        <v>180000</v>
      </c>
      <c r="M302" s="2">
        <v>90000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90000</v>
      </c>
      <c r="T302" s="3">
        <v>0.5</v>
      </c>
      <c r="U302" s="1"/>
      <c r="V302" s="1" t="s">
        <v>1875</v>
      </c>
      <c r="W302" s="1" t="s">
        <v>202</v>
      </c>
      <c r="X302" s="1" t="s">
        <v>213</v>
      </c>
      <c r="Y302" s="1">
        <v>16</v>
      </c>
      <c r="Z302" s="1" t="s">
        <v>1876</v>
      </c>
      <c r="AA302" s="1" t="s">
        <v>975</v>
      </c>
      <c r="AB302" s="1">
        <v>3212357816</v>
      </c>
    </row>
    <row r="303" spans="1:28" ht="13.8">
      <c r="A303" s="331">
        <v>36335</v>
      </c>
      <c r="B303" s="331">
        <v>26327</v>
      </c>
      <c r="C303" s="115">
        <v>46063</v>
      </c>
      <c r="D303" s="1" t="s">
        <v>1871</v>
      </c>
      <c r="E303" s="1" t="s">
        <v>1872</v>
      </c>
      <c r="F303" s="1" t="s">
        <v>126</v>
      </c>
      <c r="G303" s="1">
        <v>860101</v>
      </c>
      <c r="H303" s="1" t="s">
        <v>982</v>
      </c>
      <c r="I303" s="1" t="s">
        <v>983</v>
      </c>
      <c r="J303" s="1" t="s">
        <v>210</v>
      </c>
      <c r="K303" s="1"/>
      <c r="L303" s="2">
        <v>400000</v>
      </c>
      <c r="M303" s="2">
        <v>96450</v>
      </c>
      <c r="N303" s="2">
        <v>17189</v>
      </c>
      <c r="O303" s="2">
        <v>8000</v>
      </c>
      <c r="P303" s="2">
        <v>180000</v>
      </c>
      <c r="Q303" s="2">
        <v>1911</v>
      </c>
      <c r="R303" s="2">
        <v>0</v>
      </c>
      <c r="S303" s="2">
        <v>98361</v>
      </c>
      <c r="T303" s="3">
        <v>0.2459025</v>
      </c>
      <c r="U303" s="1"/>
      <c r="V303" s="1" t="s">
        <v>1877</v>
      </c>
      <c r="W303" s="1" t="s">
        <v>202</v>
      </c>
      <c r="X303" s="1" t="s">
        <v>213</v>
      </c>
      <c r="Y303" s="1">
        <v>77</v>
      </c>
      <c r="Z303" s="1" t="s">
        <v>1878</v>
      </c>
      <c r="AA303" s="1" t="s">
        <v>975</v>
      </c>
      <c r="AB303" s="1">
        <v>3205393368</v>
      </c>
    </row>
    <row r="304" spans="1:28" ht="13.8">
      <c r="A304" s="331">
        <v>36324</v>
      </c>
      <c r="B304" s="331">
        <v>26304</v>
      </c>
      <c r="C304" s="115">
        <v>46063</v>
      </c>
      <c r="D304" s="1" t="s">
        <v>1879</v>
      </c>
      <c r="E304" s="1" t="s">
        <v>1880</v>
      </c>
      <c r="F304" s="1" t="s">
        <v>126</v>
      </c>
      <c r="G304" s="1">
        <v>890242</v>
      </c>
      <c r="H304" s="1" t="s">
        <v>331</v>
      </c>
      <c r="I304" s="1" t="s">
        <v>972</v>
      </c>
      <c r="J304" s="1" t="s">
        <v>223</v>
      </c>
      <c r="K304" s="1"/>
      <c r="L304" s="2">
        <v>250000</v>
      </c>
      <c r="M304" s="2">
        <v>125000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125000</v>
      </c>
      <c r="T304" s="3">
        <v>0.5</v>
      </c>
      <c r="U304" s="1"/>
      <c r="V304" s="1" t="s">
        <v>1881</v>
      </c>
      <c r="W304" s="1" t="s">
        <v>202</v>
      </c>
      <c r="X304" s="1" t="s">
        <v>277</v>
      </c>
      <c r="Y304" s="1">
        <v>29</v>
      </c>
      <c r="Z304" s="1" t="s">
        <v>1882</v>
      </c>
      <c r="AA304" s="1" t="s">
        <v>975</v>
      </c>
      <c r="AB304" s="1">
        <v>3166298326</v>
      </c>
    </row>
    <row r="305" spans="1:28" ht="13.8">
      <c r="A305" s="331">
        <v>35333</v>
      </c>
      <c r="B305" s="331">
        <v>24556</v>
      </c>
      <c r="C305" s="115">
        <v>46063</v>
      </c>
      <c r="D305" s="1" t="s">
        <v>1883</v>
      </c>
      <c r="E305" s="1" t="s">
        <v>1884</v>
      </c>
      <c r="F305" s="1" t="s">
        <v>127</v>
      </c>
      <c r="G305" s="1">
        <v>890302</v>
      </c>
      <c r="H305" s="1" t="s">
        <v>244</v>
      </c>
      <c r="I305" s="1" t="s">
        <v>1012</v>
      </c>
      <c r="J305" s="1" t="s">
        <v>223</v>
      </c>
      <c r="K305" s="1"/>
      <c r="L305" s="2">
        <v>180000</v>
      </c>
      <c r="M305" s="2">
        <v>90000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90000</v>
      </c>
      <c r="T305" s="3">
        <v>0.5</v>
      </c>
      <c r="U305" s="1"/>
      <c r="V305" s="1" t="s">
        <v>1885</v>
      </c>
      <c r="W305" s="1" t="s">
        <v>202</v>
      </c>
      <c r="X305" s="1" t="s">
        <v>319</v>
      </c>
      <c r="Y305" s="1">
        <v>20</v>
      </c>
      <c r="Z305" s="1" t="s">
        <v>1886</v>
      </c>
      <c r="AA305" s="1" t="s">
        <v>975</v>
      </c>
      <c r="AB305" s="1">
        <v>3014227048</v>
      </c>
    </row>
    <row r="306" spans="1:28" ht="13.8">
      <c r="A306" s="331">
        <v>35163</v>
      </c>
      <c r="B306" s="331">
        <v>24290</v>
      </c>
      <c r="C306" s="115">
        <v>46063</v>
      </c>
      <c r="D306" s="1" t="s">
        <v>395</v>
      </c>
      <c r="E306" s="1" t="s">
        <v>396</v>
      </c>
      <c r="F306" s="1" t="s">
        <v>127</v>
      </c>
      <c r="G306" s="1">
        <v>890303</v>
      </c>
      <c r="H306" s="1" t="s">
        <v>281</v>
      </c>
      <c r="I306" s="1" t="s">
        <v>983</v>
      </c>
      <c r="J306" s="1" t="s">
        <v>210</v>
      </c>
      <c r="K306" s="1"/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3">
        <v>0</v>
      </c>
      <c r="U306" s="1"/>
      <c r="V306" s="1"/>
      <c r="W306" s="1" t="s">
        <v>63</v>
      </c>
      <c r="X306" s="1" t="s">
        <v>277</v>
      </c>
      <c r="Y306" s="1">
        <v>30</v>
      </c>
      <c r="Z306" s="1"/>
      <c r="AA306" s="1" t="s">
        <v>1028</v>
      </c>
      <c r="AB306" s="1">
        <v>3234319606</v>
      </c>
    </row>
    <row r="307" spans="1:28" ht="13.8">
      <c r="A307" s="331">
        <v>34580</v>
      </c>
      <c r="B307" s="331">
        <v>23447</v>
      </c>
      <c r="C307" s="115">
        <v>46063</v>
      </c>
      <c r="D307" s="1" t="s">
        <v>316</v>
      </c>
      <c r="E307" s="1" t="s">
        <v>317</v>
      </c>
      <c r="F307" s="1" t="s">
        <v>5</v>
      </c>
      <c r="G307" s="1">
        <v>861415</v>
      </c>
      <c r="H307" s="1" t="s">
        <v>318</v>
      </c>
      <c r="I307" s="1" t="s">
        <v>1081</v>
      </c>
      <c r="J307" s="1" t="s">
        <v>210</v>
      </c>
      <c r="K307" s="1"/>
      <c r="L307" s="2">
        <v>2500000</v>
      </c>
      <c r="M307" s="2">
        <v>639115</v>
      </c>
      <c r="N307" s="2">
        <v>924933</v>
      </c>
      <c r="O307" s="2">
        <v>50000</v>
      </c>
      <c r="P307" s="2">
        <v>0</v>
      </c>
      <c r="Q307" s="2">
        <v>246837</v>
      </c>
      <c r="R307" s="2">
        <v>0</v>
      </c>
      <c r="S307" s="2">
        <v>885952</v>
      </c>
      <c r="T307" s="3">
        <v>0.3543808</v>
      </c>
      <c r="U307" s="1"/>
      <c r="V307" s="1" t="s">
        <v>1887</v>
      </c>
      <c r="W307" s="1" t="s">
        <v>202</v>
      </c>
      <c r="X307" s="1" t="s">
        <v>319</v>
      </c>
      <c r="Y307" s="1">
        <v>52</v>
      </c>
      <c r="Z307" s="1" t="s">
        <v>1888</v>
      </c>
      <c r="AA307" s="1" t="s">
        <v>975</v>
      </c>
      <c r="AB307" s="1">
        <v>12033911833</v>
      </c>
    </row>
    <row r="308" spans="1:28" ht="13.8">
      <c r="A308" s="331">
        <v>34580</v>
      </c>
      <c r="B308" s="331">
        <v>26316</v>
      </c>
      <c r="C308" s="115">
        <v>46063</v>
      </c>
      <c r="D308" s="1" t="s">
        <v>316</v>
      </c>
      <c r="E308" s="1" t="s">
        <v>317</v>
      </c>
      <c r="F308" s="1" t="s">
        <v>5</v>
      </c>
      <c r="G308" s="1">
        <v>861414</v>
      </c>
      <c r="H308" s="1" t="s">
        <v>405</v>
      </c>
      <c r="I308" s="1" t="s">
        <v>1081</v>
      </c>
      <c r="J308" s="1" t="s">
        <v>210</v>
      </c>
      <c r="K308" s="1"/>
      <c r="L308" s="2">
        <v>1300000</v>
      </c>
      <c r="M308" s="2">
        <v>460420.5</v>
      </c>
      <c r="N308" s="2">
        <v>219111.09</v>
      </c>
      <c r="O308" s="2">
        <v>26000</v>
      </c>
      <c r="P308" s="2">
        <v>0</v>
      </c>
      <c r="Q308" s="2">
        <v>134047.91</v>
      </c>
      <c r="R308" s="2">
        <v>0</v>
      </c>
      <c r="S308" s="2">
        <v>594468.41</v>
      </c>
      <c r="T308" s="3">
        <v>0.45728339230769</v>
      </c>
      <c r="U308" s="1"/>
      <c r="V308" s="1" t="s">
        <v>1887</v>
      </c>
      <c r="W308" s="1" t="s">
        <v>202</v>
      </c>
      <c r="X308" s="1" t="s">
        <v>319</v>
      </c>
      <c r="Y308" s="1">
        <v>52</v>
      </c>
      <c r="Z308" s="1" t="s">
        <v>1888</v>
      </c>
      <c r="AA308" s="1" t="s">
        <v>975</v>
      </c>
      <c r="AB308" s="1">
        <v>12033911833</v>
      </c>
    </row>
    <row r="309" spans="1:28" ht="13.8">
      <c r="A309" s="331">
        <v>36265</v>
      </c>
      <c r="B309" s="331">
        <v>26205</v>
      </c>
      <c r="C309" s="115">
        <v>46063</v>
      </c>
      <c r="D309" s="1" t="s">
        <v>1402</v>
      </c>
      <c r="E309" s="1" t="s">
        <v>1403</v>
      </c>
      <c r="F309" s="1" t="s">
        <v>126</v>
      </c>
      <c r="G309" s="1">
        <v>890242</v>
      </c>
      <c r="H309" s="1" t="s">
        <v>331</v>
      </c>
      <c r="I309" s="1" t="s">
        <v>972</v>
      </c>
      <c r="J309" s="1" t="s">
        <v>223</v>
      </c>
      <c r="K309" s="1"/>
      <c r="L309" s="2">
        <v>250000</v>
      </c>
      <c r="M309" s="2">
        <v>122500</v>
      </c>
      <c r="N309" s="2">
        <v>0</v>
      </c>
      <c r="O309" s="2">
        <v>5000</v>
      </c>
      <c r="P309" s="2">
        <v>0</v>
      </c>
      <c r="Q309" s="2">
        <v>0</v>
      </c>
      <c r="R309" s="2">
        <v>0</v>
      </c>
      <c r="S309" s="2">
        <v>122500</v>
      </c>
      <c r="T309" s="3">
        <v>0.49</v>
      </c>
      <c r="U309" s="1"/>
      <c r="V309" s="1" t="s">
        <v>1889</v>
      </c>
      <c r="W309" s="1" t="s">
        <v>202</v>
      </c>
      <c r="X309" s="1" t="s">
        <v>213</v>
      </c>
      <c r="Y309" s="1">
        <v>34</v>
      </c>
      <c r="Z309" s="1" t="s">
        <v>1890</v>
      </c>
      <c r="AA309" s="1" t="s">
        <v>975</v>
      </c>
      <c r="AB309" s="1">
        <v>3153567745</v>
      </c>
    </row>
    <row r="310" spans="1:28" ht="13.8">
      <c r="A310" s="331">
        <v>36330</v>
      </c>
      <c r="B310" s="331">
        <v>26318</v>
      </c>
      <c r="C310" s="115">
        <v>46063</v>
      </c>
      <c r="D310" s="1" t="s">
        <v>1891</v>
      </c>
      <c r="E310" s="1" t="s">
        <v>1892</v>
      </c>
      <c r="F310" s="1" t="s">
        <v>127</v>
      </c>
      <c r="G310" s="1" t="s">
        <v>499</v>
      </c>
      <c r="H310" s="1" t="s">
        <v>500</v>
      </c>
      <c r="I310" s="1" t="s">
        <v>1125</v>
      </c>
      <c r="J310" s="1" t="s">
        <v>210</v>
      </c>
      <c r="K310" s="1" t="s">
        <v>1126</v>
      </c>
      <c r="L310" s="2">
        <v>650000</v>
      </c>
      <c r="M310" s="2">
        <v>318500</v>
      </c>
      <c r="N310" s="2">
        <v>0</v>
      </c>
      <c r="O310" s="2">
        <v>13000</v>
      </c>
      <c r="P310" s="2">
        <v>0</v>
      </c>
      <c r="Q310" s="2">
        <v>0</v>
      </c>
      <c r="R310" s="2">
        <v>0</v>
      </c>
      <c r="S310" s="2">
        <v>318500</v>
      </c>
      <c r="T310" s="3">
        <v>0.49</v>
      </c>
      <c r="U310" s="1"/>
      <c r="V310" s="1" t="s">
        <v>1893</v>
      </c>
      <c r="W310" s="1" t="s">
        <v>202</v>
      </c>
      <c r="X310" s="1" t="s">
        <v>213</v>
      </c>
      <c r="Y310" s="1">
        <v>51</v>
      </c>
      <c r="Z310" s="1" t="s">
        <v>1894</v>
      </c>
      <c r="AA310" s="1" t="s">
        <v>1007</v>
      </c>
      <c r="AB310" s="1">
        <v>7862675302</v>
      </c>
    </row>
    <row r="311" spans="1:28" ht="13.8">
      <c r="A311" s="331">
        <v>36137</v>
      </c>
      <c r="B311" s="331">
        <v>25941</v>
      </c>
      <c r="C311" s="115">
        <v>46063</v>
      </c>
      <c r="D311" s="1" t="s">
        <v>946</v>
      </c>
      <c r="E311" s="1" t="s">
        <v>947</v>
      </c>
      <c r="F311" s="1" t="s">
        <v>127</v>
      </c>
      <c r="G311" s="1">
        <v>864205</v>
      </c>
      <c r="H311" s="1" t="s">
        <v>948</v>
      </c>
      <c r="I311" s="1" t="s">
        <v>983</v>
      </c>
      <c r="J311" s="1" t="s">
        <v>210</v>
      </c>
      <c r="K311" s="1"/>
      <c r="L311" s="2">
        <v>900000</v>
      </c>
      <c r="M311" s="2">
        <v>344655.75</v>
      </c>
      <c r="N311" s="2">
        <v>10931.87</v>
      </c>
      <c r="O311" s="2">
        <v>18000</v>
      </c>
      <c r="P311" s="2">
        <v>180000</v>
      </c>
      <c r="Q311" s="2">
        <v>1756.63</v>
      </c>
      <c r="R311" s="2">
        <v>0</v>
      </c>
      <c r="S311" s="2">
        <v>346412.38</v>
      </c>
      <c r="T311" s="3">
        <v>0.38490264444444</v>
      </c>
      <c r="U311" s="1"/>
      <c r="V311" s="1" t="s">
        <v>1895</v>
      </c>
      <c r="W311" s="1" t="s">
        <v>202</v>
      </c>
      <c r="X311" s="1" t="s">
        <v>277</v>
      </c>
      <c r="Y311" s="1">
        <v>41</v>
      </c>
      <c r="Z311" s="1" t="s">
        <v>1896</v>
      </c>
      <c r="AA311" s="1" t="s">
        <v>975</v>
      </c>
      <c r="AB311" s="1">
        <v>3127896953</v>
      </c>
    </row>
    <row r="312" spans="1:28" ht="13.8">
      <c r="A312" s="331">
        <v>36326</v>
      </c>
      <c r="B312" s="331">
        <v>26309</v>
      </c>
      <c r="C312" s="115">
        <v>46063</v>
      </c>
      <c r="D312" s="1" t="s">
        <v>1897</v>
      </c>
      <c r="E312" s="1" t="s">
        <v>1898</v>
      </c>
      <c r="F312" s="1" t="s">
        <v>2</v>
      </c>
      <c r="G312" s="1">
        <v>861401</v>
      </c>
      <c r="H312" s="1" t="s">
        <v>307</v>
      </c>
      <c r="I312" s="1" t="s">
        <v>983</v>
      </c>
      <c r="J312" s="1" t="s">
        <v>210</v>
      </c>
      <c r="K312" s="1"/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3">
        <v>0</v>
      </c>
      <c r="U312" s="1"/>
      <c r="V312" s="1"/>
      <c r="W312" s="1" t="s">
        <v>63</v>
      </c>
      <c r="X312" s="1" t="s">
        <v>225</v>
      </c>
      <c r="Y312" s="1">
        <v>28</v>
      </c>
      <c r="Z312" s="1"/>
      <c r="AA312" s="1" t="s">
        <v>975</v>
      </c>
      <c r="AB312" s="1">
        <v>3113978334</v>
      </c>
    </row>
    <row r="313" spans="1:28" ht="13.8">
      <c r="A313" s="331">
        <v>35306</v>
      </c>
      <c r="B313" s="331">
        <v>24522</v>
      </c>
      <c r="C313" s="115">
        <v>46063</v>
      </c>
      <c r="D313" s="1" t="s">
        <v>433</v>
      </c>
      <c r="E313" s="1" t="s">
        <v>434</v>
      </c>
      <c r="F313" s="1" t="s">
        <v>127</v>
      </c>
      <c r="G313" s="1">
        <v>890303</v>
      </c>
      <c r="H313" s="1" t="s">
        <v>281</v>
      </c>
      <c r="I313" s="1" t="s">
        <v>983</v>
      </c>
      <c r="J313" s="1" t="s">
        <v>210</v>
      </c>
      <c r="K313" s="1"/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3">
        <v>0</v>
      </c>
      <c r="U313" s="1"/>
      <c r="V313" s="1"/>
      <c r="W313" s="1" t="s">
        <v>63</v>
      </c>
      <c r="X313" s="1" t="s">
        <v>213</v>
      </c>
      <c r="Y313" s="1">
        <v>3</v>
      </c>
      <c r="Z313" s="1"/>
      <c r="AA313" s="1" t="s">
        <v>975</v>
      </c>
      <c r="AB313" s="1">
        <v>3242567289</v>
      </c>
    </row>
    <row r="314" spans="1:28" ht="13.8">
      <c r="A314" s="331">
        <v>36336</v>
      </c>
      <c r="B314" s="331">
        <v>26328</v>
      </c>
      <c r="C314" s="115">
        <v>46063</v>
      </c>
      <c r="D314" s="1" t="s">
        <v>433</v>
      </c>
      <c r="E314" s="1" t="s">
        <v>434</v>
      </c>
      <c r="F314" s="1" t="s">
        <v>127</v>
      </c>
      <c r="G314" s="1">
        <v>868118</v>
      </c>
      <c r="H314" s="1" t="s">
        <v>618</v>
      </c>
      <c r="I314" s="1" t="s">
        <v>983</v>
      </c>
      <c r="J314" s="1" t="s">
        <v>210</v>
      </c>
      <c r="K314" s="1"/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3">
        <v>0</v>
      </c>
      <c r="U314" s="1"/>
      <c r="V314" s="1"/>
      <c r="W314" s="1" t="s">
        <v>63</v>
      </c>
      <c r="X314" s="1" t="s">
        <v>213</v>
      </c>
      <c r="Y314" s="1">
        <v>3</v>
      </c>
      <c r="Z314" s="1"/>
      <c r="AA314" s="1" t="s">
        <v>975</v>
      </c>
      <c r="AB314" s="1">
        <v>3242567289</v>
      </c>
    </row>
    <row r="315" spans="1:28" ht="13.8">
      <c r="A315" s="331">
        <v>36343</v>
      </c>
      <c r="B315" s="331">
        <v>26346</v>
      </c>
      <c r="C315" s="115">
        <v>46063</v>
      </c>
      <c r="D315" s="1" t="s">
        <v>1402</v>
      </c>
      <c r="E315" s="1" t="s">
        <v>1403</v>
      </c>
      <c r="F315" s="1" t="s">
        <v>126</v>
      </c>
      <c r="G315" s="1" t="s">
        <v>451</v>
      </c>
      <c r="H315" s="1" t="s">
        <v>452</v>
      </c>
      <c r="I315" s="1" t="s">
        <v>2566</v>
      </c>
      <c r="J315" s="1" t="s">
        <v>210</v>
      </c>
      <c r="K315" s="1" t="s">
        <v>1048</v>
      </c>
      <c r="L315" s="2">
        <v>450000</v>
      </c>
      <c r="M315" s="2">
        <v>220500</v>
      </c>
      <c r="N315" s="2">
        <v>0</v>
      </c>
      <c r="O315" s="2">
        <v>9000</v>
      </c>
      <c r="P315" s="2">
        <v>0</v>
      </c>
      <c r="Q315" s="2">
        <v>0</v>
      </c>
      <c r="R315" s="2">
        <v>0</v>
      </c>
      <c r="S315" s="2">
        <v>220500</v>
      </c>
      <c r="T315" s="3">
        <v>0.49</v>
      </c>
      <c r="U315" s="1"/>
      <c r="V315" s="1" t="s">
        <v>1899</v>
      </c>
      <c r="W315" s="1" t="s">
        <v>202</v>
      </c>
      <c r="X315" s="1" t="s">
        <v>213</v>
      </c>
      <c r="Y315" s="1">
        <v>34</v>
      </c>
      <c r="Z315" s="1" t="s">
        <v>1900</v>
      </c>
      <c r="AA315" s="1" t="s">
        <v>975</v>
      </c>
      <c r="AB315" s="1">
        <v>3153567745</v>
      </c>
    </row>
    <row r="316" spans="1:28" ht="13.8">
      <c r="A316" s="331">
        <v>36271</v>
      </c>
      <c r="B316" s="331">
        <v>26216</v>
      </c>
      <c r="C316" s="115">
        <v>46063</v>
      </c>
      <c r="D316" s="1" t="s">
        <v>1412</v>
      </c>
      <c r="E316" s="1" t="s">
        <v>1413</v>
      </c>
      <c r="F316" s="1" t="s">
        <v>3</v>
      </c>
      <c r="G316" s="1">
        <v>890242</v>
      </c>
      <c r="H316" s="1" t="s">
        <v>331</v>
      </c>
      <c r="I316" s="1" t="s">
        <v>972</v>
      </c>
      <c r="J316" s="1" t="s">
        <v>223</v>
      </c>
      <c r="K316" s="1"/>
      <c r="L316" s="2">
        <v>250000</v>
      </c>
      <c r="M316" s="2">
        <v>122500</v>
      </c>
      <c r="N316" s="2">
        <v>0</v>
      </c>
      <c r="O316" s="2">
        <v>5000</v>
      </c>
      <c r="P316" s="2">
        <v>0</v>
      </c>
      <c r="Q316" s="2">
        <v>0</v>
      </c>
      <c r="R316" s="2">
        <v>0</v>
      </c>
      <c r="S316" s="2">
        <v>122500</v>
      </c>
      <c r="T316" s="3">
        <v>0.49</v>
      </c>
      <c r="U316" s="1"/>
      <c r="V316" s="1" t="s">
        <v>1901</v>
      </c>
      <c r="W316" s="1" t="s">
        <v>202</v>
      </c>
      <c r="X316" s="1" t="s">
        <v>248</v>
      </c>
      <c r="Y316" s="1">
        <v>25</v>
      </c>
      <c r="Z316" s="1" t="s">
        <v>1902</v>
      </c>
      <c r="AA316" s="1" t="s">
        <v>975</v>
      </c>
      <c r="AB316" s="1">
        <v>3147309340</v>
      </c>
    </row>
    <row r="317" spans="1:28" ht="13.8">
      <c r="A317" s="331">
        <v>36098</v>
      </c>
      <c r="B317" s="331">
        <v>25888</v>
      </c>
      <c r="C317" s="115">
        <v>46063</v>
      </c>
      <c r="D317" s="1" t="s">
        <v>901</v>
      </c>
      <c r="E317" s="1" t="s">
        <v>1903</v>
      </c>
      <c r="F317" s="1" t="s">
        <v>126</v>
      </c>
      <c r="G317" s="1">
        <v>890242</v>
      </c>
      <c r="H317" s="1" t="s">
        <v>331</v>
      </c>
      <c r="I317" s="1" t="s">
        <v>972</v>
      </c>
      <c r="J317" s="1" t="s">
        <v>223</v>
      </c>
      <c r="K317" s="1"/>
      <c r="L317" s="2">
        <v>250000</v>
      </c>
      <c r="M317" s="2">
        <v>122500</v>
      </c>
      <c r="N317" s="2">
        <v>0</v>
      </c>
      <c r="O317" s="2">
        <v>5000</v>
      </c>
      <c r="P317" s="2">
        <v>0</v>
      </c>
      <c r="Q317" s="2">
        <v>0</v>
      </c>
      <c r="R317" s="2">
        <v>0</v>
      </c>
      <c r="S317" s="2">
        <v>122500</v>
      </c>
      <c r="T317" s="3">
        <v>0.49</v>
      </c>
      <c r="U317" s="1"/>
      <c r="V317" s="1" t="s">
        <v>1904</v>
      </c>
      <c r="W317" s="1" t="s">
        <v>202</v>
      </c>
      <c r="X317" s="1" t="s">
        <v>204</v>
      </c>
      <c r="Y317" s="1">
        <v>31</v>
      </c>
      <c r="Z317" s="1" t="s">
        <v>1905</v>
      </c>
      <c r="AA317" s="1" t="s">
        <v>975</v>
      </c>
      <c r="AB317" s="1">
        <v>3187381607</v>
      </c>
    </row>
    <row r="318" spans="1:28" ht="13.8">
      <c r="A318" s="331">
        <v>26674</v>
      </c>
      <c r="B318" s="331">
        <v>26317</v>
      </c>
      <c r="C318" s="115">
        <v>46063</v>
      </c>
      <c r="D318" s="1" t="s">
        <v>316</v>
      </c>
      <c r="E318" s="1" t="s">
        <v>317</v>
      </c>
      <c r="F318" s="1" t="s">
        <v>2</v>
      </c>
      <c r="G318" s="1" t="s">
        <v>326</v>
      </c>
      <c r="H318" s="1" t="s">
        <v>327</v>
      </c>
      <c r="I318" s="1" t="s">
        <v>1047</v>
      </c>
      <c r="J318" s="1" t="s">
        <v>210</v>
      </c>
      <c r="K318" s="1" t="s">
        <v>1048</v>
      </c>
      <c r="L318" s="2">
        <v>2000000</v>
      </c>
      <c r="M318" s="2">
        <v>980000</v>
      </c>
      <c r="N318" s="2">
        <v>0</v>
      </c>
      <c r="O318" s="2">
        <v>40000</v>
      </c>
      <c r="P318" s="2">
        <v>0</v>
      </c>
      <c r="Q318" s="2">
        <v>0</v>
      </c>
      <c r="R318" s="2">
        <v>0</v>
      </c>
      <c r="S318" s="2">
        <v>980000</v>
      </c>
      <c r="T318" s="3">
        <v>0.49</v>
      </c>
      <c r="U318" s="1"/>
      <c r="V318" s="1" t="s">
        <v>1906</v>
      </c>
      <c r="W318" s="1" t="s">
        <v>202</v>
      </c>
      <c r="X318" s="1" t="s">
        <v>319</v>
      </c>
      <c r="Y318" s="1">
        <v>52</v>
      </c>
      <c r="Z318" s="1" t="s">
        <v>1907</v>
      </c>
      <c r="AA318" s="1" t="s">
        <v>975</v>
      </c>
      <c r="AB318" s="1">
        <v>12033911833</v>
      </c>
    </row>
    <row r="319" spans="1:28" ht="13.8">
      <c r="A319" s="331">
        <v>35994</v>
      </c>
      <c r="B319" s="331">
        <v>26320</v>
      </c>
      <c r="C319" s="115">
        <v>46063</v>
      </c>
      <c r="D319" s="1" t="s">
        <v>788</v>
      </c>
      <c r="E319" s="1" t="s">
        <v>789</v>
      </c>
      <c r="F319" s="1" t="s">
        <v>2</v>
      </c>
      <c r="G319" s="1" t="s">
        <v>451</v>
      </c>
      <c r="H319" s="1" t="s">
        <v>452</v>
      </c>
      <c r="I319" s="1" t="s">
        <v>2566</v>
      </c>
      <c r="J319" s="1" t="s">
        <v>210</v>
      </c>
      <c r="K319" s="1" t="s">
        <v>1048</v>
      </c>
      <c r="L319" s="2">
        <v>500000</v>
      </c>
      <c r="M319" s="2">
        <v>245000</v>
      </c>
      <c r="N319" s="2">
        <v>0</v>
      </c>
      <c r="O319" s="2">
        <v>10000</v>
      </c>
      <c r="P319" s="2">
        <v>0</v>
      </c>
      <c r="Q319" s="2">
        <v>0</v>
      </c>
      <c r="R319" s="2">
        <v>0</v>
      </c>
      <c r="S319" s="2">
        <v>245000</v>
      </c>
      <c r="T319" s="3">
        <v>0.49</v>
      </c>
      <c r="U319" s="1"/>
      <c r="V319" s="1" t="s">
        <v>1908</v>
      </c>
      <c r="W319" s="1" t="s">
        <v>202</v>
      </c>
      <c r="X319" s="1" t="s">
        <v>225</v>
      </c>
      <c r="Y319" s="1">
        <v>59</v>
      </c>
      <c r="Z319" s="1" t="s">
        <v>1909</v>
      </c>
      <c r="AA319" s="1" t="s">
        <v>1910</v>
      </c>
      <c r="AB319" s="1">
        <v>12033911833</v>
      </c>
    </row>
    <row r="320" spans="1:28" ht="13.8">
      <c r="A320" s="331">
        <v>27665</v>
      </c>
      <c r="B320" s="331">
        <v>20382</v>
      </c>
      <c r="C320" s="115">
        <v>46063</v>
      </c>
      <c r="D320" s="1" t="s">
        <v>1278</v>
      </c>
      <c r="E320" s="1" t="s">
        <v>1279</v>
      </c>
      <c r="F320" s="1" t="s">
        <v>2</v>
      </c>
      <c r="G320" s="1">
        <v>861401</v>
      </c>
      <c r="H320" s="1" t="s">
        <v>307</v>
      </c>
      <c r="I320" s="1" t="s">
        <v>983</v>
      </c>
      <c r="J320" s="1" t="s">
        <v>210</v>
      </c>
      <c r="K320" s="1"/>
      <c r="L320" s="2">
        <v>250000</v>
      </c>
      <c r="M320" s="2">
        <v>122500</v>
      </c>
      <c r="N320" s="2">
        <v>0</v>
      </c>
      <c r="O320" s="2">
        <v>5000</v>
      </c>
      <c r="P320" s="2">
        <v>0</v>
      </c>
      <c r="Q320" s="2">
        <v>0</v>
      </c>
      <c r="R320" s="2">
        <v>0</v>
      </c>
      <c r="S320" s="2">
        <v>122500</v>
      </c>
      <c r="T320" s="3">
        <v>0.49</v>
      </c>
      <c r="U320" s="1"/>
      <c r="V320" s="1" t="s">
        <v>1911</v>
      </c>
      <c r="W320" s="1" t="s">
        <v>202</v>
      </c>
      <c r="X320" s="1" t="s">
        <v>277</v>
      </c>
      <c r="Y320" s="1">
        <v>65</v>
      </c>
      <c r="Z320" s="1" t="s">
        <v>1912</v>
      </c>
      <c r="AA320" s="1" t="s">
        <v>975</v>
      </c>
      <c r="AB320" s="1">
        <v>3242439323</v>
      </c>
    </row>
    <row r="321" spans="1:28" ht="13.8">
      <c r="A321" s="331">
        <v>35994</v>
      </c>
      <c r="B321" s="331">
        <v>25717</v>
      </c>
      <c r="C321" s="115">
        <v>46063</v>
      </c>
      <c r="D321" s="1" t="s">
        <v>788</v>
      </c>
      <c r="E321" s="1" t="s">
        <v>789</v>
      </c>
      <c r="F321" s="1" t="s">
        <v>2</v>
      </c>
      <c r="G321" s="1">
        <v>868118</v>
      </c>
      <c r="H321" s="1" t="s">
        <v>618</v>
      </c>
      <c r="I321" s="1" t="s">
        <v>983</v>
      </c>
      <c r="J321" s="1" t="s">
        <v>210</v>
      </c>
      <c r="K321" s="1"/>
      <c r="L321" s="2">
        <v>1500000</v>
      </c>
      <c r="M321" s="2">
        <v>639450</v>
      </c>
      <c r="N321" s="2">
        <v>9189</v>
      </c>
      <c r="O321" s="2">
        <v>30000</v>
      </c>
      <c r="P321" s="2">
        <v>180000</v>
      </c>
      <c r="Q321" s="2">
        <v>1911</v>
      </c>
      <c r="R321" s="2">
        <v>0</v>
      </c>
      <c r="S321" s="2">
        <v>641361</v>
      </c>
      <c r="T321" s="3">
        <v>0.42757400000000001</v>
      </c>
      <c r="U321" s="1"/>
      <c r="V321" s="1" t="s">
        <v>1908</v>
      </c>
      <c r="W321" s="1" t="s">
        <v>202</v>
      </c>
      <c r="X321" s="1" t="s">
        <v>225</v>
      </c>
      <c r="Y321" s="1">
        <v>59</v>
      </c>
      <c r="Z321" s="1" t="s">
        <v>1909</v>
      </c>
      <c r="AA321" s="1" t="s">
        <v>1910</v>
      </c>
      <c r="AB321" s="1">
        <v>12033911833</v>
      </c>
    </row>
    <row r="322" spans="1:28" ht="13.8">
      <c r="A322" s="331">
        <v>34006</v>
      </c>
      <c r="B322" s="331">
        <v>26344</v>
      </c>
      <c r="C322" s="115">
        <v>46063</v>
      </c>
      <c r="D322" s="1" t="s">
        <v>941</v>
      </c>
      <c r="E322" s="1" t="s">
        <v>942</v>
      </c>
      <c r="F322" s="1" t="s">
        <v>2</v>
      </c>
      <c r="G322" s="1" t="s">
        <v>451</v>
      </c>
      <c r="H322" s="1" t="s">
        <v>452</v>
      </c>
      <c r="I322" s="1" t="s">
        <v>2566</v>
      </c>
      <c r="J322" s="1" t="s">
        <v>210</v>
      </c>
      <c r="K322" s="1" t="s">
        <v>1048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3">
        <v>0</v>
      </c>
      <c r="U322" s="1"/>
      <c r="V322" s="1"/>
      <c r="W322" s="1" t="s">
        <v>63</v>
      </c>
      <c r="X322" s="1" t="s">
        <v>225</v>
      </c>
      <c r="Y322" s="1">
        <v>29</v>
      </c>
      <c r="Z322" s="1"/>
      <c r="AA322" s="1" t="s">
        <v>975</v>
      </c>
      <c r="AB322" s="1">
        <v>3185228404</v>
      </c>
    </row>
    <row r="323" spans="1:28" ht="13.8">
      <c r="A323" s="331">
        <v>36246</v>
      </c>
      <c r="B323" s="331">
        <v>26178</v>
      </c>
      <c r="C323" s="115">
        <v>46063</v>
      </c>
      <c r="D323" s="1" t="s">
        <v>1382</v>
      </c>
      <c r="E323" s="1" t="s">
        <v>1383</v>
      </c>
      <c r="F323" s="1" t="s">
        <v>2</v>
      </c>
      <c r="G323" s="1">
        <v>864206</v>
      </c>
      <c r="H323" s="1" t="s">
        <v>1384</v>
      </c>
      <c r="I323" s="1" t="s">
        <v>983</v>
      </c>
      <c r="J323" s="1" t="s">
        <v>210</v>
      </c>
      <c r="K323" s="1"/>
      <c r="L323" s="2">
        <v>1500000</v>
      </c>
      <c r="M323" s="2">
        <v>638655.75</v>
      </c>
      <c r="N323" s="2">
        <v>10931.87</v>
      </c>
      <c r="O323" s="2">
        <v>30000</v>
      </c>
      <c r="P323" s="2">
        <v>180000</v>
      </c>
      <c r="Q323" s="2">
        <v>1756.63</v>
      </c>
      <c r="R323" s="2">
        <v>0</v>
      </c>
      <c r="S323" s="2">
        <v>640412.38</v>
      </c>
      <c r="T323" s="3">
        <v>0.42694158666666998</v>
      </c>
      <c r="U323" s="1"/>
      <c r="V323" s="1" t="s">
        <v>1913</v>
      </c>
      <c r="W323" s="1" t="s">
        <v>202</v>
      </c>
      <c r="X323" s="1" t="s">
        <v>277</v>
      </c>
      <c r="Y323" s="1">
        <v>61</v>
      </c>
      <c r="Z323" s="1" t="s">
        <v>1914</v>
      </c>
      <c r="AA323" s="1" t="s">
        <v>975</v>
      </c>
      <c r="AB323" s="1">
        <v>17202750090</v>
      </c>
    </row>
    <row r="324" spans="1:28" ht="13.8">
      <c r="A324" s="331">
        <v>34006</v>
      </c>
      <c r="B324" s="331">
        <v>25928</v>
      </c>
      <c r="C324" s="115">
        <v>46063</v>
      </c>
      <c r="D324" s="1" t="s">
        <v>941</v>
      </c>
      <c r="E324" s="1" t="s">
        <v>942</v>
      </c>
      <c r="F324" s="1" t="s">
        <v>2</v>
      </c>
      <c r="G324" s="1" t="s">
        <v>324</v>
      </c>
      <c r="H324" s="1" t="s">
        <v>325</v>
      </c>
      <c r="I324" s="1" t="s">
        <v>1097</v>
      </c>
      <c r="J324" s="1" t="s">
        <v>210</v>
      </c>
      <c r="K324" s="1" t="s">
        <v>1097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3">
        <v>0</v>
      </c>
      <c r="U324" s="1"/>
      <c r="V324" s="1"/>
      <c r="W324" s="1" t="s">
        <v>63</v>
      </c>
      <c r="X324" s="1" t="s">
        <v>225</v>
      </c>
      <c r="Y324" s="1">
        <v>29</v>
      </c>
      <c r="Z324" s="1"/>
      <c r="AA324" s="1" t="s">
        <v>975</v>
      </c>
      <c r="AB324" s="1">
        <v>3185228404</v>
      </c>
    </row>
    <row r="325" spans="1:28" ht="13.8">
      <c r="A325" s="331">
        <v>36233</v>
      </c>
      <c r="B325" s="331">
        <v>26134</v>
      </c>
      <c r="C325" s="115">
        <v>46063</v>
      </c>
      <c r="D325" s="1" t="s">
        <v>1368</v>
      </c>
      <c r="E325" s="1" t="s">
        <v>1369</v>
      </c>
      <c r="F325" s="1" t="s">
        <v>3</v>
      </c>
      <c r="G325" s="1">
        <v>890242</v>
      </c>
      <c r="H325" s="1" t="s">
        <v>331</v>
      </c>
      <c r="I325" s="1" t="s">
        <v>972</v>
      </c>
      <c r="J325" s="1" t="s">
        <v>223</v>
      </c>
      <c r="K325" s="1"/>
      <c r="L325" s="2">
        <v>250000</v>
      </c>
      <c r="M325" s="2">
        <v>122500</v>
      </c>
      <c r="N325" s="2">
        <v>0</v>
      </c>
      <c r="O325" s="2">
        <v>5000</v>
      </c>
      <c r="P325" s="2">
        <v>0</v>
      </c>
      <c r="Q325" s="2">
        <v>0</v>
      </c>
      <c r="R325" s="2">
        <v>0</v>
      </c>
      <c r="S325" s="2">
        <v>122500</v>
      </c>
      <c r="T325" s="3">
        <v>0.49</v>
      </c>
      <c r="U325" s="1"/>
      <c r="V325" s="1" t="s">
        <v>1915</v>
      </c>
      <c r="W325" s="1" t="s">
        <v>202</v>
      </c>
      <c r="X325" s="1" t="s">
        <v>213</v>
      </c>
      <c r="Y325" s="1">
        <v>51</v>
      </c>
      <c r="Z325" s="1" t="s">
        <v>1916</v>
      </c>
      <c r="AA325" s="1" t="s">
        <v>975</v>
      </c>
      <c r="AB325" s="1">
        <v>3168202765</v>
      </c>
    </row>
    <row r="326" spans="1:28" ht="13.8">
      <c r="A326" s="331">
        <v>36246</v>
      </c>
      <c r="B326" s="331">
        <v>26349</v>
      </c>
      <c r="C326" s="115">
        <v>46063</v>
      </c>
      <c r="D326" s="1" t="s">
        <v>1382</v>
      </c>
      <c r="E326" s="1" t="s">
        <v>1383</v>
      </c>
      <c r="F326" s="1" t="s">
        <v>2</v>
      </c>
      <c r="G326" s="1">
        <v>863101</v>
      </c>
      <c r="H326" s="1" t="s">
        <v>378</v>
      </c>
      <c r="I326" s="1" t="s">
        <v>983</v>
      </c>
      <c r="J326" s="1" t="s">
        <v>210</v>
      </c>
      <c r="K326" s="1"/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3">
        <v>0</v>
      </c>
      <c r="U326" s="1"/>
      <c r="V326" s="1"/>
      <c r="W326" s="1" t="s">
        <v>63</v>
      </c>
      <c r="X326" s="1" t="s">
        <v>277</v>
      </c>
      <c r="Y326" s="1">
        <v>61</v>
      </c>
      <c r="Z326" s="1"/>
      <c r="AA326" s="1" t="s">
        <v>975</v>
      </c>
      <c r="AB326" s="1">
        <v>17202750090</v>
      </c>
    </row>
    <row r="327" spans="1:28" ht="13.8">
      <c r="A327" s="331">
        <v>35160</v>
      </c>
      <c r="B327" s="331">
        <v>24298</v>
      </c>
      <c r="C327" s="115">
        <v>46063</v>
      </c>
      <c r="D327" s="1" t="s">
        <v>1917</v>
      </c>
      <c r="E327" s="1" t="s">
        <v>1918</v>
      </c>
      <c r="F327" s="1" t="s">
        <v>2</v>
      </c>
      <c r="G327" s="1" t="s">
        <v>597</v>
      </c>
      <c r="H327" s="1" t="s">
        <v>598</v>
      </c>
      <c r="I327" s="1" t="s">
        <v>1033</v>
      </c>
      <c r="J327" s="1" t="s">
        <v>210</v>
      </c>
      <c r="K327" s="1" t="s">
        <v>1033</v>
      </c>
      <c r="L327" s="2">
        <v>332500</v>
      </c>
      <c r="M327" s="2">
        <v>162925</v>
      </c>
      <c r="N327" s="2">
        <v>0</v>
      </c>
      <c r="O327" s="2">
        <v>6650</v>
      </c>
      <c r="P327" s="2">
        <v>0</v>
      </c>
      <c r="Q327" s="2">
        <v>0</v>
      </c>
      <c r="R327" s="2">
        <v>0</v>
      </c>
      <c r="S327" s="2">
        <v>162925</v>
      </c>
      <c r="T327" s="3">
        <v>0.49</v>
      </c>
      <c r="U327" s="1"/>
      <c r="V327" s="1" t="s">
        <v>1919</v>
      </c>
      <c r="W327" s="1" t="s">
        <v>203</v>
      </c>
      <c r="X327" s="1" t="s">
        <v>213</v>
      </c>
      <c r="Y327" s="1">
        <v>26</v>
      </c>
      <c r="Z327" s="1" t="s">
        <v>1920</v>
      </c>
      <c r="AA327" s="1" t="s">
        <v>975</v>
      </c>
      <c r="AB327" s="1">
        <v>3209358229</v>
      </c>
    </row>
    <row r="328" spans="1:28" ht="13.8">
      <c r="A328" s="331">
        <v>26563</v>
      </c>
      <c r="B328" s="331">
        <v>26115</v>
      </c>
      <c r="C328" s="115">
        <v>46063</v>
      </c>
      <c r="D328" s="1" t="s">
        <v>1362</v>
      </c>
      <c r="E328" s="1" t="s">
        <v>1363</v>
      </c>
      <c r="F328" s="1" t="s">
        <v>3</v>
      </c>
      <c r="G328" s="1" t="s">
        <v>431</v>
      </c>
      <c r="H328" s="1" t="s">
        <v>432</v>
      </c>
      <c r="I328" s="1" t="s">
        <v>1047</v>
      </c>
      <c r="J328" s="1" t="s">
        <v>210</v>
      </c>
      <c r="K328" s="1" t="s">
        <v>1048</v>
      </c>
      <c r="L328" s="2">
        <v>1000000</v>
      </c>
      <c r="M328" s="2">
        <v>490000</v>
      </c>
      <c r="N328" s="2">
        <v>0</v>
      </c>
      <c r="O328" s="2">
        <v>20000</v>
      </c>
      <c r="P328" s="2">
        <v>0</v>
      </c>
      <c r="Q328" s="2">
        <v>0</v>
      </c>
      <c r="R328" s="2">
        <v>0</v>
      </c>
      <c r="S328" s="2">
        <v>490000</v>
      </c>
      <c r="T328" s="3">
        <v>0.49</v>
      </c>
      <c r="U328" s="1"/>
      <c r="V328" s="1" t="s">
        <v>1921</v>
      </c>
      <c r="W328" s="1" t="s">
        <v>202</v>
      </c>
      <c r="X328" s="1" t="s">
        <v>204</v>
      </c>
      <c r="Y328" s="1">
        <v>32</v>
      </c>
      <c r="Z328" s="1" t="s">
        <v>1922</v>
      </c>
      <c r="AA328" s="1" t="s">
        <v>975</v>
      </c>
      <c r="AB328" s="1">
        <v>34624393221</v>
      </c>
    </row>
    <row r="329" spans="1:28" ht="13.8">
      <c r="A329" s="331">
        <v>36218</v>
      </c>
      <c r="B329" s="331">
        <v>26099</v>
      </c>
      <c r="C329" s="115">
        <v>46063</v>
      </c>
      <c r="D329" s="1" t="s">
        <v>1357</v>
      </c>
      <c r="E329" s="1" t="s">
        <v>1358</v>
      </c>
      <c r="F329" s="1" t="s">
        <v>3</v>
      </c>
      <c r="G329" s="1">
        <v>890242</v>
      </c>
      <c r="H329" s="1" t="s">
        <v>331</v>
      </c>
      <c r="I329" s="1" t="s">
        <v>972</v>
      </c>
      <c r="J329" s="1" t="s">
        <v>223</v>
      </c>
      <c r="K329" s="1"/>
      <c r="L329" s="2">
        <v>250000</v>
      </c>
      <c r="M329" s="2">
        <v>122500</v>
      </c>
      <c r="N329" s="2">
        <v>0</v>
      </c>
      <c r="O329" s="2">
        <v>5000</v>
      </c>
      <c r="P329" s="2">
        <v>0</v>
      </c>
      <c r="Q329" s="2">
        <v>0</v>
      </c>
      <c r="R329" s="2">
        <v>0</v>
      </c>
      <c r="S329" s="2">
        <v>122500</v>
      </c>
      <c r="T329" s="3">
        <v>0.49</v>
      </c>
      <c r="U329" s="1"/>
      <c r="V329" s="1" t="s">
        <v>1923</v>
      </c>
      <c r="W329" s="1" t="s">
        <v>202</v>
      </c>
      <c r="X329" s="1" t="s">
        <v>213</v>
      </c>
      <c r="Y329" s="1">
        <v>18</v>
      </c>
      <c r="Z329" s="1" t="s">
        <v>1924</v>
      </c>
      <c r="AA329" s="1" t="s">
        <v>975</v>
      </c>
      <c r="AB329" s="1">
        <v>3226796494</v>
      </c>
    </row>
    <row r="330" spans="1:28" ht="13.8">
      <c r="A330" s="331">
        <v>33996</v>
      </c>
      <c r="B330" s="331">
        <v>26350</v>
      </c>
      <c r="C330" s="115">
        <v>46063</v>
      </c>
      <c r="D330" s="1" t="s">
        <v>756</v>
      </c>
      <c r="E330" s="1" t="s">
        <v>757</v>
      </c>
      <c r="F330" s="1" t="s">
        <v>2</v>
      </c>
      <c r="G330" s="1" t="s">
        <v>289</v>
      </c>
      <c r="H330" s="1" t="s">
        <v>290</v>
      </c>
      <c r="I330" s="1" t="s">
        <v>1065</v>
      </c>
      <c r="J330" s="1" t="s">
        <v>210</v>
      </c>
      <c r="K330" s="1"/>
      <c r="L330" s="2">
        <v>340000</v>
      </c>
      <c r="M330" s="2">
        <v>142325</v>
      </c>
      <c r="N330" s="2">
        <v>33367.379999999997</v>
      </c>
      <c r="O330" s="2">
        <v>6800</v>
      </c>
      <c r="P330" s="2">
        <v>0</v>
      </c>
      <c r="Q330" s="2">
        <v>15182.62</v>
      </c>
      <c r="R330" s="2">
        <v>0</v>
      </c>
      <c r="S330" s="2">
        <v>157507.62</v>
      </c>
      <c r="T330" s="3">
        <v>0.46325770588234999</v>
      </c>
      <c r="U330" s="1"/>
      <c r="V330" s="1" t="s">
        <v>1925</v>
      </c>
      <c r="W330" s="1" t="s">
        <v>202</v>
      </c>
      <c r="X330" s="1" t="s">
        <v>277</v>
      </c>
      <c r="Y330" s="1">
        <v>33</v>
      </c>
      <c r="Z330" s="1" t="s">
        <v>1926</v>
      </c>
      <c r="AA330" s="1" t="s">
        <v>975</v>
      </c>
      <c r="AB330" s="1">
        <v>3216409119</v>
      </c>
    </row>
    <row r="331" spans="1:28" ht="13.8">
      <c r="A331" s="331">
        <v>36332</v>
      </c>
      <c r="B331" s="331">
        <v>26323</v>
      </c>
      <c r="C331" s="115">
        <v>46063</v>
      </c>
      <c r="D331" s="1" t="s">
        <v>1867</v>
      </c>
      <c r="E331" s="1" t="s">
        <v>1868</v>
      </c>
      <c r="F331" s="1" t="s">
        <v>5</v>
      </c>
      <c r="G331" s="1">
        <v>861426</v>
      </c>
      <c r="H331" s="1" t="s">
        <v>299</v>
      </c>
      <c r="I331" s="1" t="s">
        <v>1081</v>
      </c>
      <c r="J331" s="1" t="s">
        <v>210</v>
      </c>
      <c r="K331" s="1"/>
      <c r="L331" s="2">
        <v>1060000</v>
      </c>
      <c r="M331" s="2">
        <v>167000</v>
      </c>
      <c r="N331" s="2">
        <v>599010</v>
      </c>
      <c r="O331" s="2">
        <v>21200</v>
      </c>
      <c r="P331" s="2">
        <v>0</v>
      </c>
      <c r="Q331" s="2">
        <v>105790</v>
      </c>
      <c r="R331" s="2">
        <v>0</v>
      </c>
      <c r="S331" s="2">
        <v>272790</v>
      </c>
      <c r="T331" s="3">
        <v>0.25734905660377</v>
      </c>
      <c r="U331" s="1"/>
      <c r="V331" s="1" t="s">
        <v>1927</v>
      </c>
      <c r="W331" s="1" t="s">
        <v>202</v>
      </c>
      <c r="X331" s="1" t="s">
        <v>213</v>
      </c>
      <c r="Y331" s="1">
        <v>32</v>
      </c>
      <c r="Z331" s="1" t="s">
        <v>1928</v>
      </c>
      <c r="AA331" s="1" t="s">
        <v>1038</v>
      </c>
      <c r="AB331" s="1">
        <v>17879403795</v>
      </c>
    </row>
    <row r="332" spans="1:28" ht="13.8">
      <c r="A332" s="331">
        <v>36332</v>
      </c>
      <c r="B332" s="331">
        <v>26322</v>
      </c>
      <c r="C332" s="115">
        <v>46063</v>
      </c>
      <c r="D332" s="1" t="s">
        <v>1867</v>
      </c>
      <c r="E332" s="1" t="s">
        <v>1868</v>
      </c>
      <c r="F332" s="1" t="s">
        <v>5</v>
      </c>
      <c r="G332" s="1">
        <v>861426</v>
      </c>
      <c r="H332" s="1" t="s">
        <v>517</v>
      </c>
      <c r="I332" s="1" t="s">
        <v>1081</v>
      </c>
      <c r="J332" s="1" t="s">
        <v>210</v>
      </c>
      <c r="K332" s="1"/>
      <c r="L332" s="2">
        <v>900000</v>
      </c>
      <c r="M332" s="2">
        <v>310950</v>
      </c>
      <c r="N332" s="2">
        <v>209449.16</v>
      </c>
      <c r="O332" s="2">
        <v>18000</v>
      </c>
      <c r="P332" s="2">
        <v>0</v>
      </c>
      <c r="Q332" s="2">
        <v>50650.84</v>
      </c>
      <c r="R332" s="2">
        <v>0</v>
      </c>
      <c r="S332" s="2">
        <v>361600.84</v>
      </c>
      <c r="T332" s="3">
        <v>0.40177871111111002</v>
      </c>
      <c r="U332" s="1"/>
      <c r="V332" s="1" t="s">
        <v>1927</v>
      </c>
      <c r="W332" s="1" t="s">
        <v>202</v>
      </c>
      <c r="X332" s="1" t="s">
        <v>213</v>
      </c>
      <c r="Y332" s="1">
        <v>32</v>
      </c>
      <c r="Z332" s="1" t="s">
        <v>1928</v>
      </c>
      <c r="AA332" s="1" t="s">
        <v>1038</v>
      </c>
      <c r="AB332" s="1">
        <v>17879403795</v>
      </c>
    </row>
    <row r="333" spans="1:28" ht="13.8">
      <c r="A333" s="331">
        <v>36332</v>
      </c>
      <c r="B333" s="331">
        <v>26324</v>
      </c>
      <c r="C333" s="115">
        <v>46063</v>
      </c>
      <c r="D333" s="1" t="s">
        <v>1867</v>
      </c>
      <c r="E333" s="1" t="s">
        <v>1868</v>
      </c>
      <c r="F333" s="1" t="s">
        <v>5</v>
      </c>
      <c r="G333" s="1" t="s">
        <v>465</v>
      </c>
      <c r="H333" s="1" t="s">
        <v>466</v>
      </c>
      <c r="I333" s="1" t="s">
        <v>1125</v>
      </c>
      <c r="J333" s="1" t="s">
        <v>210</v>
      </c>
      <c r="K333" s="1" t="s">
        <v>1126</v>
      </c>
      <c r="L333" s="2">
        <v>400000</v>
      </c>
      <c r="M333" s="2">
        <v>196000</v>
      </c>
      <c r="N333" s="2">
        <v>0</v>
      </c>
      <c r="O333" s="2">
        <v>8000</v>
      </c>
      <c r="P333" s="2">
        <v>0</v>
      </c>
      <c r="Q333" s="2">
        <v>0</v>
      </c>
      <c r="R333" s="2">
        <v>0</v>
      </c>
      <c r="S333" s="2">
        <v>196000</v>
      </c>
      <c r="T333" s="3">
        <v>0.49</v>
      </c>
      <c r="U333" s="1"/>
      <c r="V333" s="1" t="s">
        <v>1927</v>
      </c>
      <c r="W333" s="1" t="s">
        <v>202</v>
      </c>
      <c r="X333" s="1" t="s">
        <v>213</v>
      </c>
      <c r="Y333" s="1">
        <v>32</v>
      </c>
      <c r="Z333" s="1" t="s">
        <v>1928</v>
      </c>
      <c r="AA333" s="1" t="s">
        <v>1038</v>
      </c>
      <c r="AB333" s="1">
        <v>17879403795</v>
      </c>
    </row>
    <row r="334" spans="1:28" ht="13.8">
      <c r="A334" s="331">
        <v>33996</v>
      </c>
      <c r="B334" s="331">
        <v>25622</v>
      </c>
      <c r="C334" s="115">
        <v>46063</v>
      </c>
      <c r="D334" s="1" t="s">
        <v>756</v>
      </c>
      <c r="E334" s="1" t="s">
        <v>757</v>
      </c>
      <c r="F334" s="1" t="s">
        <v>2</v>
      </c>
      <c r="G334" s="1">
        <v>868116</v>
      </c>
      <c r="H334" s="1" t="s">
        <v>298</v>
      </c>
      <c r="I334" s="1" t="s">
        <v>983</v>
      </c>
      <c r="J334" s="1" t="s">
        <v>210</v>
      </c>
      <c r="K334" s="1"/>
      <c r="L334" s="2">
        <v>100000</v>
      </c>
      <c r="M334" s="2">
        <v>40615</v>
      </c>
      <c r="N334" s="2">
        <v>14583</v>
      </c>
      <c r="O334" s="2">
        <v>2000</v>
      </c>
      <c r="P334" s="2">
        <v>0</v>
      </c>
      <c r="Q334" s="2">
        <v>2187</v>
      </c>
      <c r="R334" s="2">
        <v>0</v>
      </c>
      <c r="S334" s="2">
        <v>42802</v>
      </c>
      <c r="T334" s="3">
        <v>0.42802000000000001</v>
      </c>
      <c r="U334" s="1"/>
      <c r="V334" s="1" t="s">
        <v>1925</v>
      </c>
      <c r="W334" s="1" t="s">
        <v>202</v>
      </c>
      <c r="X334" s="1" t="s">
        <v>277</v>
      </c>
      <c r="Y334" s="1">
        <v>33</v>
      </c>
      <c r="Z334" s="1" t="s">
        <v>1926</v>
      </c>
      <c r="AA334" s="1" t="s">
        <v>975</v>
      </c>
      <c r="AB334" s="1">
        <v>3216409119</v>
      </c>
    </row>
    <row r="335" spans="1:28" ht="13.8">
      <c r="A335" s="331">
        <v>33996</v>
      </c>
      <c r="B335" s="331">
        <v>25621</v>
      </c>
      <c r="C335" s="115">
        <v>46063</v>
      </c>
      <c r="D335" s="1" t="s">
        <v>756</v>
      </c>
      <c r="E335" s="1" t="s">
        <v>757</v>
      </c>
      <c r="F335" s="1" t="s">
        <v>2</v>
      </c>
      <c r="G335" s="1" t="s">
        <v>301</v>
      </c>
      <c r="H335" s="1" t="s">
        <v>302</v>
      </c>
      <c r="I335" s="1" t="s">
        <v>1058</v>
      </c>
      <c r="J335" s="1" t="s">
        <v>210</v>
      </c>
      <c r="K335" s="1" t="s">
        <v>1058</v>
      </c>
      <c r="L335" s="2">
        <v>1000000</v>
      </c>
      <c r="M335" s="2">
        <v>402900</v>
      </c>
      <c r="N335" s="2">
        <v>148000</v>
      </c>
      <c r="O335" s="2">
        <v>20000</v>
      </c>
      <c r="P335" s="2">
        <v>0</v>
      </c>
      <c r="Q335" s="2">
        <v>26200</v>
      </c>
      <c r="R335" s="2">
        <v>0</v>
      </c>
      <c r="S335" s="2">
        <v>429100</v>
      </c>
      <c r="T335" s="3">
        <v>0.42909999999999998</v>
      </c>
      <c r="U335" s="1"/>
      <c r="V335" s="1" t="s">
        <v>1925</v>
      </c>
      <c r="W335" s="1" t="s">
        <v>202</v>
      </c>
      <c r="X335" s="1" t="s">
        <v>277</v>
      </c>
      <c r="Y335" s="1">
        <v>33</v>
      </c>
      <c r="Z335" s="1" t="s">
        <v>1926</v>
      </c>
      <c r="AA335" s="1" t="s">
        <v>975</v>
      </c>
      <c r="AB335" s="1">
        <v>3216409119</v>
      </c>
    </row>
    <row r="336" spans="1:28" ht="13.8">
      <c r="A336" s="331">
        <v>36269</v>
      </c>
      <c r="B336" s="331">
        <v>26214</v>
      </c>
      <c r="C336" s="115">
        <v>46063</v>
      </c>
      <c r="D336" s="1" t="s">
        <v>1410</v>
      </c>
      <c r="E336" s="1" t="s">
        <v>1411</v>
      </c>
      <c r="F336" s="1" t="s">
        <v>2</v>
      </c>
      <c r="G336" s="1">
        <v>890242</v>
      </c>
      <c r="H336" s="1" t="s">
        <v>331</v>
      </c>
      <c r="I336" s="1" t="s">
        <v>972</v>
      </c>
      <c r="J336" s="1" t="s">
        <v>223</v>
      </c>
      <c r="K336" s="1"/>
      <c r="L336" s="2">
        <v>250000</v>
      </c>
      <c r="M336" s="2">
        <v>122500</v>
      </c>
      <c r="N336" s="2">
        <v>0</v>
      </c>
      <c r="O336" s="2">
        <v>5000</v>
      </c>
      <c r="P336" s="2">
        <v>0</v>
      </c>
      <c r="Q336" s="2">
        <v>0</v>
      </c>
      <c r="R336" s="2">
        <v>0</v>
      </c>
      <c r="S336" s="2">
        <v>122500</v>
      </c>
      <c r="T336" s="3">
        <v>0.49</v>
      </c>
      <c r="U336" s="1"/>
      <c r="V336" s="1" t="s">
        <v>1929</v>
      </c>
      <c r="W336" s="1" t="s">
        <v>202</v>
      </c>
      <c r="X336" s="1" t="s">
        <v>277</v>
      </c>
      <c r="Y336" s="1">
        <v>26</v>
      </c>
      <c r="Z336" s="1" t="s">
        <v>1930</v>
      </c>
      <c r="AA336" s="1" t="s">
        <v>975</v>
      </c>
      <c r="AB336" s="1">
        <v>3126280977</v>
      </c>
    </row>
    <row r="337" spans="1:28" ht="13.8">
      <c r="A337" s="331">
        <v>33113</v>
      </c>
      <c r="B337" s="331">
        <v>26307</v>
      </c>
      <c r="C337" s="115">
        <v>46063</v>
      </c>
      <c r="D337" s="1" t="s">
        <v>1931</v>
      </c>
      <c r="E337" s="1" t="s">
        <v>1932</v>
      </c>
      <c r="F337" s="1" t="s">
        <v>126</v>
      </c>
      <c r="G337" s="1" t="s">
        <v>324</v>
      </c>
      <c r="H337" s="1" t="s">
        <v>325</v>
      </c>
      <c r="I337" s="1" t="s">
        <v>1097</v>
      </c>
      <c r="J337" s="1" t="s">
        <v>210</v>
      </c>
      <c r="K337" s="1" t="s">
        <v>1097</v>
      </c>
      <c r="L337" s="2">
        <v>300000</v>
      </c>
      <c r="M337" s="2">
        <v>147000</v>
      </c>
      <c r="N337" s="2">
        <v>0</v>
      </c>
      <c r="O337" s="2">
        <v>6000</v>
      </c>
      <c r="P337" s="2">
        <v>0</v>
      </c>
      <c r="Q337" s="2">
        <v>0</v>
      </c>
      <c r="R337" s="2">
        <v>0</v>
      </c>
      <c r="S337" s="2">
        <v>147000</v>
      </c>
      <c r="T337" s="3">
        <v>0.49</v>
      </c>
      <c r="U337" s="1"/>
      <c r="V337" s="1" t="s">
        <v>1933</v>
      </c>
      <c r="W337" s="1" t="s">
        <v>202</v>
      </c>
      <c r="X337" s="1" t="s">
        <v>225</v>
      </c>
      <c r="Y337" s="1">
        <v>30</v>
      </c>
      <c r="Z337" s="1" t="s">
        <v>1934</v>
      </c>
      <c r="AA337" s="1" t="s">
        <v>975</v>
      </c>
      <c r="AB337" s="1">
        <v>3164812412</v>
      </c>
    </row>
    <row r="338" spans="1:28" ht="13.8">
      <c r="A338" s="331">
        <v>33113</v>
      </c>
      <c r="B338" s="331">
        <v>26308</v>
      </c>
      <c r="C338" s="115">
        <v>46063</v>
      </c>
      <c r="D338" s="1" t="s">
        <v>1931</v>
      </c>
      <c r="E338" s="1" t="s">
        <v>1932</v>
      </c>
      <c r="F338" s="1" t="s">
        <v>126</v>
      </c>
      <c r="G338" s="1" t="s">
        <v>873</v>
      </c>
      <c r="H338" s="1" t="s">
        <v>874</v>
      </c>
      <c r="I338" s="1" t="s">
        <v>1209</v>
      </c>
      <c r="J338" s="1" t="s">
        <v>210</v>
      </c>
      <c r="K338" s="1" t="s">
        <v>1209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3">
        <v>0</v>
      </c>
      <c r="U338" s="1"/>
      <c r="V338" s="1"/>
      <c r="W338" s="1" t="s">
        <v>63</v>
      </c>
      <c r="X338" s="1" t="s">
        <v>225</v>
      </c>
      <c r="Y338" s="1">
        <v>30</v>
      </c>
      <c r="Z338" s="1"/>
      <c r="AA338" s="1" t="s">
        <v>975</v>
      </c>
      <c r="AB338" s="1">
        <v>3164812412</v>
      </c>
    </row>
    <row r="339" spans="1:28" ht="13.8">
      <c r="A339" s="331">
        <v>36243</v>
      </c>
      <c r="B339" s="331">
        <v>26175</v>
      </c>
      <c r="C339" s="115">
        <v>46063</v>
      </c>
      <c r="D339" s="1" t="s">
        <v>1378</v>
      </c>
      <c r="E339" s="1" t="s">
        <v>1379</v>
      </c>
      <c r="F339" s="1" t="s">
        <v>3</v>
      </c>
      <c r="G339" s="1">
        <v>861401</v>
      </c>
      <c r="H339" s="1" t="s">
        <v>307</v>
      </c>
      <c r="I339" s="1" t="s">
        <v>983</v>
      </c>
      <c r="J339" s="1" t="s">
        <v>210</v>
      </c>
      <c r="K339" s="1"/>
      <c r="L339" s="2">
        <v>300000</v>
      </c>
      <c r="M339" s="2">
        <v>147000</v>
      </c>
      <c r="N339" s="2">
        <v>0</v>
      </c>
      <c r="O339" s="2">
        <v>6000</v>
      </c>
      <c r="P339" s="2">
        <v>0</v>
      </c>
      <c r="Q339" s="2">
        <v>0</v>
      </c>
      <c r="R339" s="2">
        <v>0</v>
      </c>
      <c r="S339" s="2">
        <v>147000</v>
      </c>
      <c r="T339" s="3">
        <v>0.49</v>
      </c>
      <c r="U339" s="1"/>
      <c r="V339" s="1" t="s">
        <v>1935</v>
      </c>
      <c r="W339" s="1" t="s">
        <v>202</v>
      </c>
      <c r="X339" s="1" t="s">
        <v>277</v>
      </c>
      <c r="Y339" s="1">
        <v>18</v>
      </c>
      <c r="Z339" s="1" t="s">
        <v>1936</v>
      </c>
      <c r="AA339" s="1" t="s">
        <v>975</v>
      </c>
      <c r="AB339" s="1">
        <v>3153235080</v>
      </c>
    </row>
    <row r="340" spans="1:28" ht="13.8">
      <c r="A340" s="331">
        <v>31296</v>
      </c>
      <c r="B340" s="331">
        <v>26358</v>
      </c>
      <c r="C340" s="115">
        <v>46063</v>
      </c>
      <c r="D340" s="1" t="s">
        <v>1937</v>
      </c>
      <c r="E340" s="1" t="s">
        <v>1938</v>
      </c>
      <c r="F340" s="1" t="s">
        <v>2</v>
      </c>
      <c r="G340" s="1">
        <v>861411</v>
      </c>
      <c r="H340" s="1" t="s">
        <v>406</v>
      </c>
      <c r="I340" s="1" t="s">
        <v>1081</v>
      </c>
      <c r="J340" s="1" t="s">
        <v>210</v>
      </c>
      <c r="K340" s="1"/>
      <c r="L340" s="2">
        <v>900000</v>
      </c>
      <c r="M340" s="2">
        <v>283625</v>
      </c>
      <c r="N340" s="2">
        <v>205786</v>
      </c>
      <c r="O340" s="2">
        <v>18000</v>
      </c>
      <c r="P340" s="2">
        <v>0</v>
      </c>
      <c r="Q340" s="2">
        <v>108964</v>
      </c>
      <c r="R340" s="2">
        <v>0</v>
      </c>
      <c r="S340" s="2">
        <v>392589</v>
      </c>
      <c r="T340" s="3">
        <v>0.43620999999999999</v>
      </c>
      <c r="U340" s="1"/>
      <c r="V340" s="1" t="s">
        <v>1939</v>
      </c>
      <c r="W340" s="1" t="s">
        <v>202</v>
      </c>
      <c r="X340" s="1" t="s">
        <v>225</v>
      </c>
      <c r="Y340" s="1">
        <v>35</v>
      </c>
      <c r="Z340" s="1" t="s">
        <v>1940</v>
      </c>
      <c r="AA340" s="1" t="s">
        <v>975</v>
      </c>
      <c r="AB340" s="1">
        <v>3136961786</v>
      </c>
    </row>
    <row r="341" spans="1:28" ht="13.8">
      <c r="A341" s="331">
        <v>36329</v>
      </c>
      <c r="B341" s="331">
        <v>26321</v>
      </c>
      <c r="C341" s="115">
        <v>46063</v>
      </c>
      <c r="D341" s="1" t="s">
        <v>1314</v>
      </c>
      <c r="E341" s="1" t="s">
        <v>1941</v>
      </c>
      <c r="F341" s="1" t="s">
        <v>4</v>
      </c>
      <c r="G341" s="1" t="s">
        <v>362</v>
      </c>
      <c r="H341" s="1" t="s">
        <v>363</v>
      </c>
      <c r="I341" s="1" t="s">
        <v>1062</v>
      </c>
      <c r="J341" s="1" t="s">
        <v>210</v>
      </c>
      <c r="K341" s="1"/>
      <c r="L341" s="2">
        <v>1000000</v>
      </c>
      <c r="M341" s="2">
        <v>195883</v>
      </c>
      <c r="N341" s="2">
        <v>499953.07</v>
      </c>
      <c r="O341" s="2">
        <v>20000</v>
      </c>
      <c r="P341" s="2">
        <v>0</v>
      </c>
      <c r="Q341" s="2">
        <v>88280.93</v>
      </c>
      <c r="R341" s="2">
        <v>0</v>
      </c>
      <c r="S341" s="2">
        <v>284163.93</v>
      </c>
      <c r="T341" s="3">
        <v>0.28416393000000001</v>
      </c>
      <c r="U341" s="1"/>
      <c r="V341" s="1" t="s">
        <v>1942</v>
      </c>
      <c r="W341" s="1" t="s">
        <v>202</v>
      </c>
      <c r="X341" s="1" t="s">
        <v>225</v>
      </c>
      <c r="Y341" s="1">
        <v>39</v>
      </c>
      <c r="Z341" s="1" t="s">
        <v>1943</v>
      </c>
      <c r="AA341" s="1" t="s">
        <v>975</v>
      </c>
      <c r="AB341" s="1">
        <v>3225338975</v>
      </c>
    </row>
    <row r="342" spans="1:28" ht="13.8">
      <c r="A342" s="331">
        <v>33848</v>
      </c>
      <c r="B342" s="331">
        <v>26329</v>
      </c>
      <c r="C342" s="115">
        <v>46063</v>
      </c>
      <c r="D342" s="1" t="s">
        <v>1944</v>
      </c>
      <c r="E342" s="1" t="s">
        <v>1945</v>
      </c>
      <c r="F342" s="1" t="s">
        <v>4</v>
      </c>
      <c r="G342" s="1">
        <v>861401</v>
      </c>
      <c r="H342" s="1" t="s">
        <v>307</v>
      </c>
      <c r="I342" s="1" t="s">
        <v>983</v>
      </c>
      <c r="J342" s="1" t="s">
        <v>210</v>
      </c>
      <c r="K342" s="1"/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3">
        <v>0</v>
      </c>
      <c r="U342" s="1"/>
      <c r="V342" s="1"/>
      <c r="W342" s="1" t="s">
        <v>63</v>
      </c>
      <c r="X342" s="1" t="s">
        <v>213</v>
      </c>
      <c r="Y342" s="1">
        <v>23</v>
      </c>
      <c r="Z342" s="1"/>
      <c r="AA342" s="1" t="s">
        <v>975</v>
      </c>
      <c r="AB342" s="1">
        <v>3013368754</v>
      </c>
    </row>
    <row r="343" spans="1:28" ht="13.8">
      <c r="A343" s="331">
        <v>33848</v>
      </c>
      <c r="B343" s="331">
        <v>26330</v>
      </c>
      <c r="C343" s="115">
        <v>46063</v>
      </c>
      <c r="D343" s="1" t="s">
        <v>1944</v>
      </c>
      <c r="E343" s="1" t="s">
        <v>1945</v>
      </c>
      <c r="F343" s="1" t="s">
        <v>4</v>
      </c>
      <c r="G343" s="1" t="s">
        <v>324</v>
      </c>
      <c r="H343" s="1" t="s">
        <v>325</v>
      </c>
      <c r="I343" s="1" t="s">
        <v>1097</v>
      </c>
      <c r="J343" s="1" t="s">
        <v>210</v>
      </c>
      <c r="K343" s="1" t="s">
        <v>1097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3">
        <v>0</v>
      </c>
      <c r="U343" s="1"/>
      <c r="V343" s="1"/>
      <c r="W343" s="1" t="s">
        <v>63</v>
      </c>
      <c r="X343" s="1" t="s">
        <v>213</v>
      </c>
      <c r="Y343" s="1">
        <v>23</v>
      </c>
      <c r="Z343" s="1"/>
      <c r="AA343" s="1" t="s">
        <v>975</v>
      </c>
      <c r="AB343" s="1">
        <v>3013368754</v>
      </c>
    </row>
    <row r="344" spans="1:28" ht="13.8">
      <c r="A344" s="331">
        <v>36288</v>
      </c>
      <c r="B344" s="331">
        <v>26248</v>
      </c>
      <c r="C344" s="115">
        <v>46063</v>
      </c>
      <c r="D344" s="1" t="s">
        <v>1946</v>
      </c>
      <c r="E344" s="1" t="s">
        <v>1947</v>
      </c>
      <c r="F344" s="1" t="s">
        <v>4</v>
      </c>
      <c r="G344" s="1" t="s">
        <v>324</v>
      </c>
      <c r="H344" s="1" t="s">
        <v>325</v>
      </c>
      <c r="I344" s="1" t="s">
        <v>1097</v>
      </c>
      <c r="J344" s="1" t="s">
        <v>210</v>
      </c>
      <c r="K344" s="1" t="s">
        <v>1097</v>
      </c>
      <c r="L344" s="2">
        <v>650000</v>
      </c>
      <c r="M344" s="2">
        <v>318500</v>
      </c>
      <c r="N344" s="2">
        <v>0</v>
      </c>
      <c r="O344" s="2">
        <v>13000</v>
      </c>
      <c r="P344" s="2">
        <v>0</v>
      </c>
      <c r="Q344" s="2">
        <v>0</v>
      </c>
      <c r="R344" s="2">
        <v>0</v>
      </c>
      <c r="S344" s="2">
        <v>318500</v>
      </c>
      <c r="T344" s="3">
        <v>0.49</v>
      </c>
      <c r="U344" s="1"/>
      <c r="V344" s="1" t="s">
        <v>1948</v>
      </c>
      <c r="W344" s="1" t="s">
        <v>202</v>
      </c>
      <c r="X344" s="1" t="s">
        <v>277</v>
      </c>
      <c r="Y344" s="1">
        <v>44</v>
      </c>
      <c r="Z344" s="1" t="s">
        <v>1949</v>
      </c>
      <c r="AA344" s="1" t="s">
        <v>975</v>
      </c>
      <c r="AB344" s="1">
        <v>3218527087</v>
      </c>
    </row>
    <row r="345" spans="1:28" ht="13.8">
      <c r="A345" s="331">
        <v>36287</v>
      </c>
      <c r="B345" s="331">
        <v>26247</v>
      </c>
      <c r="C345" s="115">
        <v>46063</v>
      </c>
      <c r="D345" s="1" t="s">
        <v>1950</v>
      </c>
      <c r="E345" s="1" t="s">
        <v>1951</v>
      </c>
      <c r="F345" s="1" t="s">
        <v>4</v>
      </c>
      <c r="G345" s="1" t="s">
        <v>324</v>
      </c>
      <c r="H345" s="1" t="s">
        <v>325</v>
      </c>
      <c r="I345" s="1" t="s">
        <v>1097</v>
      </c>
      <c r="J345" s="1" t="s">
        <v>210</v>
      </c>
      <c r="K345" s="1" t="s">
        <v>1097</v>
      </c>
      <c r="L345" s="2">
        <v>650000</v>
      </c>
      <c r="M345" s="2">
        <v>318800</v>
      </c>
      <c r="N345" s="2">
        <v>0</v>
      </c>
      <c r="O345" s="2">
        <v>12400</v>
      </c>
      <c r="P345" s="2">
        <v>0</v>
      </c>
      <c r="Q345" s="2">
        <v>0</v>
      </c>
      <c r="R345" s="2">
        <v>0</v>
      </c>
      <c r="S345" s="2">
        <v>318800</v>
      </c>
      <c r="T345" s="3">
        <v>0.49046153846154</v>
      </c>
      <c r="U345" s="1"/>
      <c r="V345" s="1" t="s">
        <v>1952</v>
      </c>
      <c r="W345" s="1" t="s">
        <v>202</v>
      </c>
      <c r="X345" s="1" t="s">
        <v>213</v>
      </c>
      <c r="Y345" s="1">
        <v>22</v>
      </c>
      <c r="Z345" s="1" t="s">
        <v>1953</v>
      </c>
      <c r="AA345" s="1" t="s">
        <v>975</v>
      </c>
      <c r="AB345" s="1">
        <v>3136800351</v>
      </c>
    </row>
    <row r="346" spans="1:28" ht="13.8">
      <c r="A346" s="331">
        <v>30870</v>
      </c>
      <c r="B346" s="331">
        <v>26334</v>
      </c>
      <c r="C346" s="115">
        <v>46063</v>
      </c>
      <c r="D346" s="1" t="s">
        <v>950</v>
      </c>
      <c r="E346" s="1" t="s">
        <v>951</v>
      </c>
      <c r="F346" s="1" t="s">
        <v>4</v>
      </c>
      <c r="G346" s="1" t="s">
        <v>451</v>
      </c>
      <c r="H346" s="1" t="s">
        <v>452</v>
      </c>
      <c r="I346" s="1" t="s">
        <v>2566</v>
      </c>
      <c r="J346" s="1" t="s">
        <v>210</v>
      </c>
      <c r="K346" s="1" t="s">
        <v>1048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3">
        <v>0</v>
      </c>
      <c r="U346" s="1"/>
      <c r="V346" s="1"/>
      <c r="W346" s="1" t="s">
        <v>63</v>
      </c>
      <c r="X346" s="1" t="s">
        <v>213</v>
      </c>
      <c r="Y346" s="1">
        <v>30</v>
      </c>
      <c r="Z346" s="1"/>
      <c r="AA346" s="1" t="s">
        <v>975</v>
      </c>
      <c r="AB346" s="1">
        <v>3168431103</v>
      </c>
    </row>
    <row r="347" spans="1:28" ht="13.8">
      <c r="A347" s="331">
        <v>36296</v>
      </c>
      <c r="B347" s="331">
        <v>26259</v>
      </c>
      <c r="C347" s="115">
        <v>46063</v>
      </c>
      <c r="D347" s="1" t="s">
        <v>1393</v>
      </c>
      <c r="E347" s="1" t="s">
        <v>1394</v>
      </c>
      <c r="F347" s="1" t="s">
        <v>4</v>
      </c>
      <c r="G347" s="1" t="s">
        <v>324</v>
      </c>
      <c r="H347" s="1" t="s">
        <v>325</v>
      </c>
      <c r="I347" s="1" t="s">
        <v>1097</v>
      </c>
      <c r="J347" s="1" t="s">
        <v>210</v>
      </c>
      <c r="K347" s="1" t="s">
        <v>1097</v>
      </c>
      <c r="L347" s="2">
        <v>650000</v>
      </c>
      <c r="M347" s="2">
        <v>318500</v>
      </c>
      <c r="N347" s="2">
        <v>0</v>
      </c>
      <c r="O347" s="2">
        <v>13000</v>
      </c>
      <c r="P347" s="2">
        <v>0</v>
      </c>
      <c r="Q347" s="2">
        <v>0</v>
      </c>
      <c r="R347" s="2">
        <v>0</v>
      </c>
      <c r="S347" s="2">
        <v>318500</v>
      </c>
      <c r="T347" s="3">
        <v>0.49</v>
      </c>
      <c r="U347" s="1"/>
      <c r="V347" s="1" t="s">
        <v>1954</v>
      </c>
      <c r="W347" s="1" t="s">
        <v>202</v>
      </c>
      <c r="X347" s="1" t="s">
        <v>225</v>
      </c>
      <c r="Y347" s="1">
        <v>22</v>
      </c>
      <c r="Z347" s="1" t="s">
        <v>1955</v>
      </c>
      <c r="AA347" s="1" t="s">
        <v>975</v>
      </c>
      <c r="AB347" s="1">
        <v>3218845932</v>
      </c>
    </row>
    <row r="348" spans="1:28" ht="13.8">
      <c r="A348" s="331">
        <v>36296</v>
      </c>
      <c r="B348" s="331">
        <v>26335</v>
      </c>
      <c r="C348" s="115">
        <v>46063</v>
      </c>
      <c r="D348" s="1" t="s">
        <v>1393</v>
      </c>
      <c r="E348" s="1" t="s">
        <v>1394</v>
      </c>
      <c r="F348" s="1" t="s">
        <v>4</v>
      </c>
      <c r="G348" s="1" t="s">
        <v>255</v>
      </c>
      <c r="H348" s="1" t="s">
        <v>256</v>
      </c>
      <c r="I348" s="1" t="s">
        <v>256</v>
      </c>
      <c r="J348" s="1" t="s">
        <v>210</v>
      </c>
      <c r="K348" s="1" t="s">
        <v>1066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3">
        <v>0</v>
      </c>
      <c r="U348" s="1"/>
      <c r="V348" s="1"/>
      <c r="W348" s="1" t="s">
        <v>63</v>
      </c>
      <c r="X348" s="1" t="s">
        <v>225</v>
      </c>
      <c r="Y348" s="1">
        <v>22</v>
      </c>
      <c r="Z348" s="1"/>
      <c r="AA348" s="1" t="s">
        <v>975</v>
      </c>
      <c r="AB348" s="1">
        <v>3218845932</v>
      </c>
    </row>
    <row r="349" spans="1:28" ht="13.8">
      <c r="A349" s="331">
        <v>34909</v>
      </c>
      <c r="B349" s="331">
        <v>26245</v>
      </c>
      <c r="C349" s="115">
        <v>46063</v>
      </c>
      <c r="D349" s="1" t="s">
        <v>1956</v>
      </c>
      <c r="E349" s="1" t="s">
        <v>1957</v>
      </c>
      <c r="F349" s="1" t="s">
        <v>4</v>
      </c>
      <c r="G349" s="1" t="s">
        <v>555</v>
      </c>
      <c r="H349" s="1" t="s">
        <v>556</v>
      </c>
      <c r="I349" s="1" t="s">
        <v>1065</v>
      </c>
      <c r="J349" s="1" t="s">
        <v>210</v>
      </c>
      <c r="K349" s="1"/>
      <c r="L349" s="2">
        <v>1000000</v>
      </c>
      <c r="M349" s="2">
        <v>381125</v>
      </c>
      <c r="N349" s="2">
        <v>185000</v>
      </c>
      <c r="O349" s="2">
        <v>20000</v>
      </c>
      <c r="P349" s="2">
        <v>0</v>
      </c>
      <c r="Q349" s="2">
        <v>32750</v>
      </c>
      <c r="R349" s="2">
        <v>0</v>
      </c>
      <c r="S349" s="2">
        <v>413875</v>
      </c>
      <c r="T349" s="3">
        <v>0.41387499999999999</v>
      </c>
      <c r="U349" s="1"/>
      <c r="V349" s="1" t="s">
        <v>1958</v>
      </c>
      <c r="W349" s="1" t="s">
        <v>202</v>
      </c>
      <c r="X349" s="1" t="s">
        <v>225</v>
      </c>
      <c r="Y349" s="1">
        <v>38</v>
      </c>
      <c r="Z349" s="1" t="s">
        <v>1959</v>
      </c>
      <c r="AA349" s="1" t="s">
        <v>1960</v>
      </c>
      <c r="AB349" s="1">
        <v>573337482348</v>
      </c>
    </row>
    <row r="350" spans="1:28" ht="13.8">
      <c r="A350" s="331">
        <v>36329</v>
      </c>
      <c r="B350" s="331">
        <v>26315</v>
      </c>
      <c r="C350" s="115">
        <v>46063</v>
      </c>
      <c r="D350" s="1" t="s">
        <v>1314</v>
      </c>
      <c r="E350" s="1" t="s">
        <v>1941</v>
      </c>
      <c r="F350" s="1" t="s">
        <v>4</v>
      </c>
      <c r="G350" s="1" t="s">
        <v>237</v>
      </c>
      <c r="H350" s="1" t="s">
        <v>238</v>
      </c>
      <c r="I350" s="1" t="s">
        <v>1209</v>
      </c>
      <c r="J350" s="1" t="s">
        <v>210</v>
      </c>
      <c r="K350" s="1" t="s">
        <v>1209</v>
      </c>
      <c r="L350" s="2">
        <v>300000</v>
      </c>
      <c r="M350" s="2">
        <v>147000</v>
      </c>
      <c r="N350" s="2">
        <v>0</v>
      </c>
      <c r="O350" s="2">
        <v>6000</v>
      </c>
      <c r="P350" s="2">
        <v>0</v>
      </c>
      <c r="Q350" s="2">
        <v>0</v>
      </c>
      <c r="R350" s="2">
        <v>0</v>
      </c>
      <c r="S350" s="2">
        <v>147000</v>
      </c>
      <c r="T350" s="3">
        <v>0.49</v>
      </c>
      <c r="U350" s="1"/>
      <c r="V350" s="1" t="s">
        <v>1942</v>
      </c>
      <c r="W350" s="1" t="s">
        <v>202</v>
      </c>
      <c r="X350" s="1" t="s">
        <v>225</v>
      </c>
      <c r="Y350" s="1">
        <v>39</v>
      </c>
      <c r="Z350" s="1" t="s">
        <v>1943</v>
      </c>
      <c r="AA350" s="1" t="s">
        <v>975</v>
      </c>
      <c r="AB350" s="1">
        <v>3225338975</v>
      </c>
    </row>
    <row r="351" spans="1:28" ht="13.8">
      <c r="A351" s="331">
        <v>36329</v>
      </c>
      <c r="B351" s="331">
        <v>26314</v>
      </c>
      <c r="C351" s="115">
        <v>46063</v>
      </c>
      <c r="D351" s="1" t="s">
        <v>1314</v>
      </c>
      <c r="E351" s="1" t="s">
        <v>1941</v>
      </c>
      <c r="F351" s="1" t="s">
        <v>4</v>
      </c>
      <c r="G351" s="1" t="s">
        <v>324</v>
      </c>
      <c r="H351" s="1" t="s">
        <v>325</v>
      </c>
      <c r="I351" s="1" t="s">
        <v>1097</v>
      </c>
      <c r="J351" s="1" t="s">
        <v>210</v>
      </c>
      <c r="K351" s="1" t="s">
        <v>1097</v>
      </c>
      <c r="L351" s="2">
        <v>350000</v>
      </c>
      <c r="M351" s="2">
        <v>171500</v>
      </c>
      <c r="N351" s="2">
        <v>0</v>
      </c>
      <c r="O351" s="2">
        <v>7000</v>
      </c>
      <c r="P351" s="2">
        <v>0</v>
      </c>
      <c r="Q351" s="2">
        <v>0</v>
      </c>
      <c r="R351" s="2">
        <v>0</v>
      </c>
      <c r="S351" s="2">
        <v>171500</v>
      </c>
      <c r="T351" s="3">
        <v>0.49</v>
      </c>
      <c r="U351" s="1"/>
      <c r="V351" s="1" t="s">
        <v>1942</v>
      </c>
      <c r="W351" s="1" t="s">
        <v>202</v>
      </c>
      <c r="X351" s="1" t="s">
        <v>225</v>
      </c>
      <c r="Y351" s="1">
        <v>39</v>
      </c>
      <c r="Z351" s="1" t="s">
        <v>1943</v>
      </c>
      <c r="AA351" s="1" t="s">
        <v>975</v>
      </c>
      <c r="AB351" s="1">
        <v>3225338975</v>
      </c>
    </row>
    <row r="352" spans="1:28" ht="13.8">
      <c r="A352" s="331">
        <v>30870</v>
      </c>
      <c r="B352" s="331">
        <v>25957</v>
      </c>
      <c r="C352" s="115">
        <v>46063</v>
      </c>
      <c r="D352" s="1" t="s">
        <v>950</v>
      </c>
      <c r="E352" s="1" t="s">
        <v>951</v>
      </c>
      <c r="F352" s="1" t="s">
        <v>4</v>
      </c>
      <c r="G352" s="1" t="s">
        <v>451</v>
      </c>
      <c r="H352" s="1" t="s">
        <v>452</v>
      </c>
      <c r="I352" s="1" t="s">
        <v>2566</v>
      </c>
      <c r="J352" s="1" t="s">
        <v>210</v>
      </c>
      <c r="K352" s="1" t="s">
        <v>1048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3">
        <v>0</v>
      </c>
      <c r="U352" s="1"/>
      <c r="V352" s="1"/>
      <c r="W352" s="1" t="s">
        <v>63</v>
      </c>
      <c r="X352" s="1" t="s">
        <v>213</v>
      </c>
      <c r="Y352" s="1">
        <v>30</v>
      </c>
      <c r="Z352" s="1"/>
      <c r="AA352" s="1" t="s">
        <v>975</v>
      </c>
      <c r="AB352" s="1">
        <v>3168431103</v>
      </c>
    </row>
    <row r="353" spans="1:28" ht="13.8">
      <c r="A353" s="331">
        <v>35914</v>
      </c>
      <c r="B353" s="331">
        <v>25543</v>
      </c>
      <c r="C353" s="115">
        <v>46064</v>
      </c>
      <c r="D353" s="1" t="s">
        <v>730</v>
      </c>
      <c r="E353" s="1" t="s">
        <v>731</v>
      </c>
      <c r="F353" s="1" t="s">
        <v>126</v>
      </c>
      <c r="G353" s="1">
        <v>890303</v>
      </c>
      <c r="H353" s="1" t="s">
        <v>281</v>
      </c>
      <c r="I353" s="1" t="s">
        <v>983</v>
      </c>
      <c r="J353" s="1" t="s">
        <v>210</v>
      </c>
      <c r="K353" s="1"/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3">
        <v>0</v>
      </c>
      <c r="U353" s="1"/>
      <c r="V353" s="1"/>
      <c r="W353" s="1" t="s">
        <v>63</v>
      </c>
      <c r="X353" s="1" t="s">
        <v>277</v>
      </c>
      <c r="Y353" s="1">
        <v>30</v>
      </c>
      <c r="Z353" s="1"/>
      <c r="AA353" s="1" t="s">
        <v>975</v>
      </c>
      <c r="AB353" s="1">
        <v>3137214131</v>
      </c>
    </row>
    <row r="354" spans="1:28" ht="13.8">
      <c r="A354" s="331">
        <v>26577</v>
      </c>
      <c r="B354" s="331">
        <v>26367</v>
      </c>
      <c r="C354" s="115">
        <v>46064</v>
      </c>
      <c r="D354" s="1" t="s">
        <v>2070</v>
      </c>
      <c r="E354" s="1" t="s">
        <v>2071</v>
      </c>
      <c r="F354" s="1" t="s">
        <v>5</v>
      </c>
      <c r="G354" s="1">
        <v>861414</v>
      </c>
      <c r="H354" s="1" t="s">
        <v>405</v>
      </c>
      <c r="I354" s="1" t="s">
        <v>1081</v>
      </c>
      <c r="J354" s="1" t="s">
        <v>210</v>
      </c>
      <c r="K354" s="1"/>
      <c r="L354" s="2">
        <v>3900000</v>
      </c>
      <c r="M354" s="2">
        <v>1376847.2</v>
      </c>
      <c r="N354" s="2">
        <v>671143.98</v>
      </c>
      <c r="O354" s="2">
        <v>78000</v>
      </c>
      <c r="P354" s="2">
        <v>0</v>
      </c>
      <c r="Q354" s="2">
        <v>397161.62</v>
      </c>
      <c r="R354" s="2">
        <v>0</v>
      </c>
      <c r="S354" s="2">
        <v>1774008.82</v>
      </c>
      <c r="T354" s="3">
        <v>0.45487405641026002</v>
      </c>
      <c r="U354" s="1"/>
      <c r="V354" s="1" t="s">
        <v>2072</v>
      </c>
      <c r="W354" s="1" t="s">
        <v>202</v>
      </c>
      <c r="X354" s="1" t="s">
        <v>204</v>
      </c>
      <c r="Y354" s="1">
        <v>47</v>
      </c>
      <c r="Z354" s="1" t="s">
        <v>2073</v>
      </c>
      <c r="AA354" s="1" t="s">
        <v>975</v>
      </c>
      <c r="AB354" s="1">
        <v>16317453149</v>
      </c>
    </row>
    <row r="355" spans="1:28" ht="13.8">
      <c r="A355" s="331">
        <v>24098</v>
      </c>
      <c r="B355" s="331">
        <v>26366</v>
      </c>
      <c r="C355" s="115">
        <v>46064</v>
      </c>
      <c r="D355" s="1" t="s">
        <v>1305</v>
      </c>
      <c r="E355" s="1" t="s">
        <v>5</v>
      </c>
      <c r="F355" s="1" t="s">
        <v>3</v>
      </c>
      <c r="G355" s="1" t="s">
        <v>324</v>
      </c>
      <c r="H355" s="1" t="s">
        <v>325</v>
      </c>
      <c r="I355" s="1" t="s">
        <v>1097</v>
      </c>
      <c r="J355" s="1" t="s">
        <v>210</v>
      </c>
      <c r="K355" s="1" t="s">
        <v>1097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3">
        <v>0</v>
      </c>
      <c r="U355" s="1"/>
      <c r="V355" s="1"/>
      <c r="W355" s="1" t="s">
        <v>63</v>
      </c>
      <c r="X355" s="1" t="s">
        <v>225</v>
      </c>
      <c r="Y355" s="1">
        <v>28</v>
      </c>
      <c r="Z355" s="1"/>
      <c r="AA355" s="1" t="s">
        <v>975</v>
      </c>
      <c r="AB355" s="1">
        <v>3118130264</v>
      </c>
    </row>
    <row r="356" spans="1:28" ht="13.8">
      <c r="A356" s="331">
        <v>23794</v>
      </c>
      <c r="B356" s="331">
        <v>25139</v>
      </c>
      <c r="C356" s="115">
        <v>46064</v>
      </c>
      <c r="D356" s="1" t="s">
        <v>581</v>
      </c>
      <c r="E356" s="1" t="s">
        <v>582</v>
      </c>
      <c r="F356" s="1" t="s">
        <v>3</v>
      </c>
      <c r="G356" s="1" t="s">
        <v>583</v>
      </c>
      <c r="H356" s="1" t="s">
        <v>584</v>
      </c>
      <c r="I356" s="1" t="s">
        <v>1065</v>
      </c>
      <c r="J356" s="1" t="s">
        <v>210</v>
      </c>
      <c r="K356" s="1"/>
      <c r="L356" s="2">
        <v>0</v>
      </c>
      <c r="M356" s="2">
        <v>0</v>
      </c>
      <c r="N356" s="2">
        <v>178225.36</v>
      </c>
      <c r="O356" s="2">
        <v>0</v>
      </c>
      <c r="P356" s="2">
        <v>0</v>
      </c>
      <c r="Q356" s="2">
        <v>32874.639999999999</v>
      </c>
      <c r="R356" s="2">
        <v>0</v>
      </c>
      <c r="S356" s="2">
        <v>-178225.36</v>
      </c>
      <c r="T356" s="3">
        <v>0</v>
      </c>
      <c r="U356" s="1"/>
      <c r="V356" s="1"/>
      <c r="W356" s="1" t="s">
        <v>63</v>
      </c>
      <c r="X356" s="1" t="s">
        <v>225</v>
      </c>
      <c r="Y356" s="1">
        <v>36</v>
      </c>
      <c r="Z356" s="1"/>
      <c r="AA356" s="1" t="s">
        <v>975</v>
      </c>
      <c r="AB356" s="1">
        <v>3167430922</v>
      </c>
    </row>
    <row r="357" spans="1:28" ht="13.8">
      <c r="A357" s="331">
        <v>26577</v>
      </c>
      <c r="B357" s="331">
        <v>26368</v>
      </c>
      <c r="C357" s="115">
        <v>46064</v>
      </c>
      <c r="D357" s="1" t="s">
        <v>2070</v>
      </c>
      <c r="E357" s="1" t="s">
        <v>2071</v>
      </c>
      <c r="F357" s="1" t="s">
        <v>5</v>
      </c>
      <c r="G357" s="1">
        <v>861411</v>
      </c>
      <c r="H357" s="1" t="s">
        <v>406</v>
      </c>
      <c r="I357" s="1" t="s">
        <v>1081</v>
      </c>
      <c r="J357" s="1" t="s">
        <v>210</v>
      </c>
      <c r="K357" s="1"/>
      <c r="L357" s="2">
        <v>690000</v>
      </c>
      <c r="M357" s="2">
        <v>243675</v>
      </c>
      <c r="N357" s="2">
        <v>123471.6</v>
      </c>
      <c r="O357" s="2">
        <v>13800</v>
      </c>
      <c r="P357" s="2">
        <v>0</v>
      </c>
      <c r="Q357" s="2">
        <v>65378.400000000001</v>
      </c>
      <c r="R357" s="2">
        <v>0</v>
      </c>
      <c r="S357" s="2">
        <v>309053.40000000002</v>
      </c>
      <c r="T357" s="3">
        <v>0.44790347826087001</v>
      </c>
      <c r="U357" s="1"/>
      <c r="V357" s="1" t="s">
        <v>2074</v>
      </c>
      <c r="W357" s="1" t="s">
        <v>202</v>
      </c>
      <c r="X357" s="1" t="s">
        <v>204</v>
      </c>
      <c r="Y357" s="1">
        <v>47</v>
      </c>
      <c r="Z357" s="1" t="s">
        <v>2075</v>
      </c>
      <c r="AA357" s="1" t="s">
        <v>975</v>
      </c>
      <c r="AB357" s="1">
        <v>16317453149</v>
      </c>
    </row>
    <row r="358" spans="1:28" ht="13.8">
      <c r="A358" s="331">
        <v>36352</v>
      </c>
      <c r="B358" s="331">
        <v>26361</v>
      </c>
      <c r="C358" s="115">
        <v>46064</v>
      </c>
      <c r="D358" s="1" t="s">
        <v>2061</v>
      </c>
      <c r="E358" s="1" t="s">
        <v>2062</v>
      </c>
      <c r="F358" s="1" t="s">
        <v>126</v>
      </c>
      <c r="G358" s="1">
        <v>890242</v>
      </c>
      <c r="H358" s="1" t="s">
        <v>331</v>
      </c>
      <c r="I358" s="1" t="s">
        <v>972</v>
      </c>
      <c r="J358" s="1" t="s">
        <v>223</v>
      </c>
      <c r="K358" s="1"/>
      <c r="L358" s="2">
        <v>250000</v>
      </c>
      <c r="M358" s="2">
        <v>122500</v>
      </c>
      <c r="N358" s="2">
        <v>0</v>
      </c>
      <c r="O358" s="2">
        <v>5000</v>
      </c>
      <c r="P358" s="2">
        <v>0</v>
      </c>
      <c r="Q358" s="2">
        <v>0</v>
      </c>
      <c r="R358" s="2">
        <v>0</v>
      </c>
      <c r="S358" s="2">
        <v>122500</v>
      </c>
      <c r="T358" s="3">
        <v>0.49</v>
      </c>
      <c r="U358" s="1"/>
      <c r="V358" s="1" t="s">
        <v>2063</v>
      </c>
      <c r="W358" s="1" t="s">
        <v>202</v>
      </c>
      <c r="X358" s="1" t="s">
        <v>213</v>
      </c>
      <c r="Y358" s="1">
        <v>27</v>
      </c>
      <c r="Z358" s="1" t="s">
        <v>2064</v>
      </c>
      <c r="AA358" s="1" t="s">
        <v>975</v>
      </c>
      <c r="AB358" s="1" t="s">
        <v>2164</v>
      </c>
    </row>
    <row r="359" spans="1:28" ht="13.8">
      <c r="A359" s="331">
        <v>35912</v>
      </c>
      <c r="B359" s="331">
        <v>26369</v>
      </c>
      <c r="C359" s="115">
        <v>46064</v>
      </c>
      <c r="D359" s="1" t="s">
        <v>730</v>
      </c>
      <c r="E359" s="1" t="s">
        <v>731</v>
      </c>
      <c r="F359" s="1" t="s">
        <v>126</v>
      </c>
      <c r="G359" s="1">
        <v>861401</v>
      </c>
      <c r="H359" s="1" t="s">
        <v>307</v>
      </c>
      <c r="I359" s="1" t="s">
        <v>983</v>
      </c>
      <c r="J359" s="1" t="s">
        <v>210</v>
      </c>
      <c r="K359" s="1"/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3">
        <v>0</v>
      </c>
      <c r="U359" s="1"/>
      <c r="V359" s="1"/>
      <c r="W359" s="1" t="s">
        <v>63</v>
      </c>
      <c r="X359" s="1" t="s">
        <v>277</v>
      </c>
      <c r="Y359" s="1">
        <v>30</v>
      </c>
      <c r="Z359" s="1"/>
      <c r="AA359" s="1" t="s">
        <v>975</v>
      </c>
      <c r="AB359" s="1">
        <v>3137214131</v>
      </c>
    </row>
    <row r="360" spans="1:28" ht="13.8">
      <c r="A360" s="331">
        <v>36056</v>
      </c>
      <c r="B360" s="331">
        <v>25825</v>
      </c>
      <c r="C360" s="115">
        <v>46064</v>
      </c>
      <c r="D360" s="1" t="s">
        <v>851</v>
      </c>
      <c r="E360" s="1" t="s">
        <v>852</v>
      </c>
      <c r="F360" s="1" t="s">
        <v>4</v>
      </c>
      <c r="G360" s="1">
        <v>890242</v>
      </c>
      <c r="H360" s="1" t="s">
        <v>331</v>
      </c>
      <c r="I360" s="1" t="s">
        <v>972</v>
      </c>
      <c r="J360" s="1" t="s">
        <v>223</v>
      </c>
      <c r="K360" s="1"/>
      <c r="L360" s="2">
        <v>250000</v>
      </c>
      <c r="M360" s="2">
        <v>122500</v>
      </c>
      <c r="N360" s="2">
        <v>0</v>
      </c>
      <c r="O360" s="2">
        <v>5000</v>
      </c>
      <c r="P360" s="2">
        <v>0</v>
      </c>
      <c r="Q360" s="2">
        <v>0</v>
      </c>
      <c r="R360" s="2">
        <v>0</v>
      </c>
      <c r="S360" s="2">
        <v>122500</v>
      </c>
      <c r="T360" s="3">
        <v>0.49</v>
      </c>
      <c r="U360" s="1"/>
      <c r="V360" s="1" t="s">
        <v>2001</v>
      </c>
      <c r="W360" s="1" t="s">
        <v>202</v>
      </c>
      <c r="X360" s="1" t="s">
        <v>225</v>
      </c>
      <c r="Y360" s="1">
        <v>23</v>
      </c>
      <c r="Z360" s="1" t="s">
        <v>2002</v>
      </c>
      <c r="AA360" s="1" t="s">
        <v>975</v>
      </c>
      <c r="AB360" s="1">
        <v>3126100002</v>
      </c>
    </row>
    <row r="361" spans="1:28" ht="13.8">
      <c r="A361" s="331">
        <v>35276</v>
      </c>
      <c r="B361" s="331">
        <v>26377</v>
      </c>
      <c r="C361" s="115">
        <v>46064</v>
      </c>
      <c r="D361" s="1" t="s">
        <v>1305</v>
      </c>
      <c r="E361" s="1" t="s">
        <v>5</v>
      </c>
      <c r="F361" s="1" t="s">
        <v>127</v>
      </c>
      <c r="G361" s="1" t="s">
        <v>237</v>
      </c>
      <c r="H361" s="1" t="s">
        <v>238</v>
      </c>
      <c r="I361" s="1" t="s">
        <v>1209</v>
      </c>
      <c r="J361" s="1" t="s">
        <v>210</v>
      </c>
      <c r="K361" s="1" t="s">
        <v>1209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3">
        <v>0</v>
      </c>
      <c r="U361" s="1"/>
      <c r="V361" s="1"/>
      <c r="W361" s="1" t="s">
        <v>63</v>
      </c>
      <c r="X361" s="1" t="s">
        <v>225</v>
      </c>
      <c r="Y361" s="1">
        <v>28</v>
      </c>
      <c r="Z361" s="1"/>
      <c r="AA361" s="1" t="s">
        <v>975</v>
      </c>
      <c r="AB361" s="1">
        <v>3118130264</v>
      </c>
    </row>
    <row r="362" spans="1:28" ht="13.8">
      <c r="A362" s="331">
        <v>34299</v>
      </c>
      <c r="B362" s="331">
        <v>25643</v>
      </c>
      <c r="C362" s="115">
        <v>46064</v>
      </c>
      <c r="D362" s="1" t="s">
        <v>1999</v>
      </c>
      <c r="E362" s="1" t="s">
        <v>2000</v>
      </c>
      <c r="F362" s="1" t="s">
        <v>127</v>
      </c>
      <c r="G362" s="1" t="s">
        <v>324</v>
      </c>
      <c r="H362" s="1" t="s">
        <v>325</v>
      </c>
      <c r="I362" s="1" t="s">
        <v>1097</v>
      </c>
      <c r="J362" s="1" t="s">
        <v>210</v>
      </c>
      <c r="K362" s="1" t="s">
        <v>1097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3">
        <v>0</v>
      </c>
      <c r="U362" s="1"/>
      <c r="V362" s="1"/>
      <c r="W362" s="1" t="s">
        <v>63</v>
      </c>
      <c r="X362" s="1" t="s">
        <v>225</v>
      </c>
      <c r="Y362" s="1">
        <v>27</v>
      </c>
      <c r="Z362" s="1"/>
      <c r="AA362" s="1" t="s">
        <v>975</v>
      </c>
      <c r="AB362" s="1">
        <v>3116349821</v>
      </c>
    </row>
    <row r="363" spans="1:28" ht="13.8">
      <c r="A363" s="331">
        <v>34299</v>
      </c>
      <c r="B363" s="331">
        <v>25644</v>
      </c>
      <c r="C363" s="115">
        <v>46064</v>
      </c>
      <c r="D363" s="1" t="s">
        <v>1999</v>
      </c>
      <c r="E363" s="1" t="s">
        <v>2000</v>
      </c>
      <c r="F363" s="1" t="s">
        <v>127</v>
      </c>
      <c r="G363" s="1" t="s">
        <v>228</v>
      </c>
      <c r="H363" s="1" t="s">
        <v>229</v>
      </c>
      <c r="I363" s="1" t="s">
        <v>1209</v>
      </c>
      <c r="J363" s="1" t="s">
        <v>210</v>
      </c>
      <c r="K363" s="1" t="s">
        <v>1209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3">
        <v>0</v>
      </c>
      <c r="U363" s="1"/>
      <c r="V363" s="1"/>
      <c r="W363" s="1" t="s">
        <v>63</v>
      </c>
      <c r="X363" s="1" t="s">
        <v>225</v>
      </c>
      <c r="Y363" s="1">
        <v>27</v>
      </c>
      <c r="Z363" s="1"/>
      <c r="AA363" s="1" t="s">
        <v>975</v>
      </c>
      <c r="AB363" s="1">
        <v>3116349821</v>
      </c>
    </row>
    <row r="364" spans="1:28" ht="13.8">
      <c r="A364" s="331">
        <v>36249</v>
      </c>
      <c r="B364" s="331">
        <v>26181</v>
      </c>
      <c r="C364" s="115">
        <v>46064</v>
      </c>
      <c r="D364" s="1" t="s">
        <v>1387</v>
      </c>
      <c r="E364" s="1" t="s">
        <v>1388</v>
      </c>
      <c r="F364" s="1" t="s">
        <v>4</v>
      </c>
      <c r="G364" s="1">
        <v>890242</v>
      </c>
      <c r="H364" s="1" t="s">
        <v>331</v>
      </c>
      <c r="I364" s="1" t="s">
        <v>972</v>
      </c>
      <c r="J364" s="1" t="s">
        <v>223</v>
      </c>
      <c r="K364" s="1"/>
      <c r="L364" s="2">
        <v>250000</v>
      </c>
      <c r="M364" s="2">
        <v>122500</v>
      </c>
      <c r="N364" s="2">
        <v>0</v>
      </c>
      <c r="O364" s="2">
        <v>5000</v>
      </c>
      <c r="P364" s="2">
        <v>0</v>
      </c>
      <c r="Q364" s="2">
        <v>0</v>
      </c>
      <c r="R364" s="2">
        <v>0</v>
      </c>
      <c r="S364" s="2">
        <v>122500</v>
      </c>
      <c r="T364" s="3">
        <v>0.49</v>
      </c>
      <c r="U364" s="1"/>
      <c r="V364" s="1" t="s">
        <v>2165</v>
      </c>
      <c r="W364" s="1" t="s">
        <v>202</v>
      </c>
      <c r="X364" s="1" t="s">
        <v>213</v>
      </c>
      <c r="Y364" s="1">
        <v>27</v>
      </c>
      <c r="Z364" s="1" t="s">
        <v>2166</v>
      </c>
      <c r="AA364" s="1" t="s">
        <v>975</v>
      </c>
      <c r="AB364" s="1">
        <v>3216733887</v>
      </c>
    </row>
    <row r="365" spans="1:28" ht="13.8">
      <c r="A365" s="331">
        <v>36316</v>
      </c>
      <c r="B365" s="331">
        <v>26291</v>
      </c>
      <c r="C365" s="115">
        <v>46064</v>
      </c>
      <c r="D365" s="1" t="s">
        <v>2031</v>
      </c>
      <c r="E365" s="1" t="s">
        <v>2167</v>
      </c>
      <c r="F365" s="1" t="s">
        <v>126</v>
      </c>
      <c r="G365" s="1">
        <v>890242</v>
      </c>
      <c r="H365" s="1" t="s">
        <v>331</v>
      </c>
      <c r="I365" s="1" t="s">
        <v>972</v>
      </c>
      <c r="J365" s="1" t="s">
        <v>223</v>
      </c>
      <c r="K365" s="1"/>
      <c r="L365" s="2">
        <v>250000</v>
      </c>
      <c r="M365" s="2">
        <v>122500</v>
      </c>
      <c r="N365" s="2">
        <v>0</v>
      </c>
      <c r="O365" s="2">
        <v>5000</v>
      </c>
      <c r="P365" s="2">
        <v>0</v>
      </c>
      <c r="Q365" s="2">
        <v>0</v>
      </c>
      <c r="R365" s="2">
        <v>0</v>
      </c>
      <c r="S365" s="2">
        <v>122500</v>
      </c>
      <c r="T365" s="3">
        <v>0.49</v>
      </c>
      <c r="U365" s="1"/>
      <c r="V365" s="1" t="s">
        <v>2168</v>
      </c>
      <c r="W365" s="1" t="s">
        <v>202</v>
      </c>
      <c r="X365" s="1" t="s">
        <v>277</v>
      </c>
      <c r="Y365" s="1">
        <v>34</v>
      </c>
      <c r="Z365" s="1" t="s">
        <v>2169</v>
      </c>
      <c r="AA365" s="1" t="s">
        <v>975</v>
      </c>
      <c r="AB365" s="1">
        <v>3006362244</v>
      </c>
    </row>
    <row r="366" spans="1:28" ht="13.8">
      <c r="A366" s="331">
        <v>33449</v>
      </c>
      <c r="B366" s="331">
        <v>26381</v>
      </c>
      <c r="C366" s="115">
        <v>46064</v>
      </c>
      <c r="D366" s="1" t="s">
        <v>1434</v>
      </c>
      <c r="E366" s="1" t="s">
        <v>1435</v>
      </c>
      <c r="F366" s="1" t="s">
        <v>127</v>
      </c>
      <c r="G366" s="1" t="s">
        <v>207</v>
      </c>
      <c r="H366" s="1" t="s">
        <v>208</v>
      </c>
      <c r="I366" s="1" t="s">
        <v>1033</v>
      </c>
      <c r="J366" s="1" t="s">
        <v>210</v>
      </c>
      <c r="K366" s="1" t="s">
        <v>1033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3">
        <v>0</v>
      </c>
      <c r="U366" s="1"/>
      <c r="V366" s="1"/>
      <c r="W366" s="1" t="s">
        <v>63</v>
      </c>
      <c r="X366" s="1" t="s">
        <v>225</v>
      </c>
      <c r="Y366" s="1">
        <v>67</v>
      </c>
      <c r="Z366" s="1"/>
      <c r="AA366" s="1" t="s">
        <v>975</v>
      </c>
      <c r="AB366" s="1">
        <v>3148121576</v>
      </c>
    </row>
    <row r="367" spans="1:28" ht="13.8">
      <c r="A367" s="331">
        <v>33292</v>
      </c>
      <c r="B367" s="331">
        <v>26382</v>
      </c>
      <c r="C367" s="115">
        <v>46064</v>
      </c>
      <c r="D367" s="1" t="s">
        <v>1436</v>
      </c>
      <c r="E367" s="1" t="s">
        <v>1437</v>
      </c>
      <c r="F367" s="1" t="s">
        <v>127</v>
      </c>
      <c r="G367" s="1">
        <v>868115</v>
      </c>
      <c r="H367" s="1" t="s">
        <v>838</v>
      </c>
      <c r="I367" s="1" t="s">
        <v>983</v>
      </c>
      <c r="J367" s="1" t="s">
        <v>210</v>
      </c>
      <c r="K367" s="1"/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3">
        <v>0</v>
      </c>
      <c r="U367" s="1"/>
      <c r="V367" s="1"/>
      <c r="W367" s="1" t="s">
        <v>63</v>
      </c>
      <c r="X367" s="1" t="s">
        <v>225</v>
      </c>
      <c r="Y367" s="1">
        <v>67</v>
      </c>
      <c r="Z367" s="1"/>
      <c r="AA367" s="1" t="s">
        <v>975</v>
      </c>
      <c r="AB367" s="1">
        <v>3148121602</v>
      </c>
    </row>
    <row r="368" spans="1:28" ht="13.8">
      <c r="A368" s="331">
        <v>36358</v>
      </c>
      <c r="B368" s="331">
        <v>26372</v>
      </c>
      <c r="C368" s="115">
        <v>46064</v>
      </c>
      <c r="D368" s="1" t="s">
        <v>2076</v>
      </c>
      <c r="E368" s="1" t="s">
        <v>2170</v>
      </c>
      <c r="F368" s="1" t="s">
        <v>126</v>
      </c>
      <c r="G368" s="1">
        <v>890242</v>
      </c>
      <c r="H368" s="1" t="s">
        <v>331</v>
      </c>
      <c r="I368" s="1" t="s">
        <v>972</v>
      </c>
      <c r="J368" s="1" t="s">
        <v>223</v>
      </c>
      <c r="K368" s="1"/>
      <c r="L368" s="2">
        <v>250000</v>
      </c>
      <c r="M368" s="2">
        <v>122500</v>
      </c>
      <c r="N368" s="2">
        <v>0</v>
      </c>
      <c r="O368" s="2">
        <v>5000</v>
      </c>
      <c r="P368" s="2">
        <v>0</v>
      </c>
      <c r="Q368" s="2">
        <v>0</v>
      </c>
      <c r="R368" s="2">
        <v>0</v>
      </c>
      <c r="S368" s="2">
        <v>122500</v>
      </c>
      <c r="T368" s="3">
        <v>0.49</v>
      </c>
      <c r="U368" s="1"/>
      <c r="V368" s="1" t="s">
        <v>2171</v>
      </c>
      <c r="W368" s="1" t="s">
        <v>202</v>
      </c>
      <c r="X368" s="1" t="s">
        <v>277</v>
      </c>
      <c r="Y368" s="1">
        <v>47</v>
      </c>
      <c r="Z368" s="1" t="s">
        <v>2172</v>
      </c>
      <c r="AA368" s="1" t="s">
        <v>2173</v>
      </c>
      <c r="AB368" s="1">
        <v>491711770158</v>
      </c>
    </row>
    <row r="369" spans="1:28" ht="13.8">
      <c r="A369" s="331">
        <v>25413</v>
      </c>
      <c r="B369" s="331">
        <v>23291</v>
      </c>
      <c r="C369" s="115">
        <v>46064</v>
      </c>
      <c r="D369" s="1" t="s">
        <v>314</v>
      </c>
      <c r="E369" s="1" t="s">
        <v>315</v>
      </c>
      <c r="F369" s="1" t="s">
        <v>2</v>
      </c>
      <c r="G369" s="1" t="s">
        <v>301</v>
      </c>
      <c r="H369" s="1" t="s">
        <v>302</v>
      </c>
      <c r="I369" s="1" t="s">
        <v>1058</v>
      </c>
      <c r="J369" s="1" t="s">
        <v>210</v>
      </c>
      <c r="K369" s="1" t="s">
        <v>1058</v>
      </c>
      <c r="L369" s="2">
        <v>1800000</v>
      </c>
      <c r="M369" s="2">
        <v>794900</v>
      </c>
      <c r="N369" s="2">
        <v>148000</v>
      </c>
      <c r="O369" s="2">
        <v>36000</v>
      </c>
      <c r="P369" s="2">
        <v>0</v>
      </c>
      <c r="Q369" s="2">
        <v>26200</v>
      </c>
      <c r="R369" s="2">
        <v>0</v>
      </c>
      <c r="S369" s="2">
        <v>821100</v>
      </c>
      <c r="T369" s="3">
        <v>0.45616666666667</v>
      </c>
      <c r="U369" s="1"/>
      <c r="V369" s="1" t="s">
        <v>2174</v>
      </c>
      <c r="W369" s="1" t="s">
        <v>202</v>
      </c>
      <c r="X369" s="1" t="s">
        <v>277</v>
      </c>
      <c r="Y369" s="1">
        <v>30</v>
      </c>
      <c r="Z369" s="1" t="s">
        <v>2175</v>
      </c>
      <c r="AA369" s="1" t="s">
        <v>975</v>
      </c>
      <c r="AB369" s="1">
        <v>17866026126</v>
      </c>
    </row>
    <row r="370" spans="1:28" ht="13.8">
      <c r="A370" s="331">
        <v>36364</v>
      </c>
      <c r="B370" s="331">
        <v>26385</v>
      </c>
      <c r="C370" s="115">
        <v>46064</v>
      </c>
      <c r="D370" s="1" t="s">
        <v>2086</v>
      </c>
      <c r="E370" s="1" t="s">
        <v>2176</v>
      </c>
      <c r="F370" s="1" t="s">
        <v>127</v>
      </c>
      <c r="G370" s="1">
        <v>890242</v>
      </c>
      <c r="H370" s="1" t="s">
        <v>331</v>
      </c>
      <c r="I370" s="1" t="s">
        <v>972</v>
      </c>
      <c r="J370" s="1" t="s">
        <v>223</v>
      </c>
      <c r="K370" s="1"/>
      <c r="L370" s="2">
        <v>250000</v>
      </c>
      <c r="M370" s="2">
        <v>122500</v>
      </c>
      <c r="N370" s="2">
        <v>0</v>
      </c>
      <c r="O370" s="2">
        <v>5000</v>
      </c>
      <c r="P370" s="2">
        <v>0</v>
      </c>
      <c r="Q370" s="2">
        <v>0</v>
      </c>
      <c r="R370" s="2">
        <v>0</v>
      </c>
      <c r="S370" s="2">
        <v>122500</v>
      </c>
      <c r="T370" s="3">
        <v>0.49</v>
      </c>
      <c r="U370" s="1"/>
      <c r="V370" s="1" t="s">
        <v>2177</v>
      </c>
      <c r="W370" s="1" t="s">
        <v>202</v>
      </c>
      <c r="X370" s="1" t="s">
        <v>277</v>
      </c>
      <c r="Y370" s="1">
        <v>71</v>
      </c>
      <c r="Z370" s="1" t="s">
        <v>2178</v>
      </c>
      <c r="AA370" s="1" t="s">
        <v>975</v>
      </c>
      <c r="AB370" s="1">
        <v>3217824606</v>
      </c>
    </row>
    <row r="371" spans="1:28" ht="13.8">
      <c r="A371" s="331">
        <v>36331</v>
      </c>
      <c r="B371" s="331">
        <v>26319</v>
      </c>
      <c r="C371" s="115">
        <v>46064</v>
      </c>
      <c r="D371" s="1" t="s">
        <v>2038</v>
      </c>
      <c r="E371" s="1" t="s">
        <v>2039</v>
      </c>
      <c r="F371" s="1" t="s">
        <v>126</v>
      </c>
      <c r="G371" s="1">
        <v>890242</v>
      </c>
      <c r="H371" s="1" t="s">
        <v>331</v>
      </c>
      <c r="I371" s="1" t="s">
        <v>972</v>
      </c>
      <c r="J371" s="1" t="s">
        <v>223</v>
      </c>
      <c r="K371" s="1"/>
      <c r="L371" s="2">
        <v>250000</v>
      </c>
      <c r="M371" s="2">
        <v>122500</v>
      </c>
      <c r="N371" s="2">
        <v>0</v>
      </c>
      <c r="O371" s="2">
        <v>5000</v>
      </c>
      <c r="P371" s="2">
        <v>0</v>
      </c>
      <c r="Q371" s="2">
        <v>0</v>
      </c>
      <c r="R371" s="2">
        <v>0</v>
      </c>
      <c r="S371" s="2">
        <v>122500</v>
      </c>
      <c r="T371" s="3">
        <v>0.49</v>
      </c>
      <c r="U371" s="1"/>
      <c r="V371" s="1" t="s">
        <v>2179</v>
      </c>
      <c r="W371" s="1" t="s">
        <v>202</v>
      </c>
      <c r="X371" s="1" t="s">
        <v>277</v>
      </c>
      <c r="Y371" s="1">
        <v>20</v>
      </c>
      <c r="Z371" s="1" t="s">
        <v>2180</v>
      </c>
      <c r="AA371" s="1" t="s">
        <v>975</v>
      </c>
      <c r="AB371" s="1">
        <v>3176806163</v>
      </c>
    </row>
    <row r="372" spans="1:28" ht="13.8">
      <c r="A372" s="331">
        <v>35935</v>
      </c>
      <c r="B372" s="331">
        <v>25590</v>
      </c>
      <c r="C372" s="115">
        <v>46064</v>
      </c>
      <c r="D372" s="1" t="s">
        <v>746</v>
      </c>
      <c r="E372" s="1" t="s">
        <v>747</v>
      </c>
      <c r="F372" s="1" t="s">
        <v>127</v>
      </c>
      <c r="G372" s="1">
        <v>890303</v>
      </c>
      <c r="H372" s="1" t="s">
        <v>221</v>
      </c>
      <c r="I372" s="1" t="s">
        <v>1012</v>
      </c>
      <c r="J372" s="1" t="s">
        <v>223</v>
      </c>
      <c r="K372" s="1"/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3">
        <v>0</v>
      </c>
      <c r="U372" s="1"/>
      <c r="V372" s="1"/>
      <c r="W372" s="1" t="s">
        <v>63</v>
      </c>
      <c r="X372" s="1" t="s">
        <v>225</v>
      </c>
      <c r="Y372" s="1">
        <v>65</v>
      </c>
      <c r="Z372" s="1"/>
      <c r="AA372" s="1" t="s">
        <v>975</v>
      </c>
      <c r="AB372" s="1">
        <v>3006209013</v>
      </c>
    </row>
    <row r="373" spans="1:28" ht="13.8">
      <c r="A373" s="331">
        <v>35571</v>
      </c>
      <c r="B373" s="331">
        <v>26399</v>
      </c>
      <c r="C373" s="115">
        <v>46064</v>
      </c>
      <c r="D373" s="1" t="s">
        <v>746</v>
      </c>
      <c r="E373" s="1" t="s">
        <v>747</v>
      </c>
      <c r="F373" s="1" t="s">
        <v>127</v>
      </c>
      <c r="G373" s="1" t="s">
        <v>597</v>
      </c>
      <c r="H373" s="1" t="s">
        <v>598</v>
      </c>
      <c r="I373" s="1" t="s">
        <v>1033</v>
      </c>
      <c r="J373" s="1" t="s">
        <v>210</v>
      </c>
      <c r="K373" s="1" t="s">
        <v>1033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3">
        <v>0</v>
      </c>
      <c r="U373" s="1"/>
      <c r="V373" s="1"/>
      <c r="W373" s="1" t="s">
        <v>63</v>
      </c>
      <c r="X373" s="1" t="s">
        <v>225</v>
      </c>
      <c r="Y373" s="1">
        <v>65</v>
      </c>
      <c r="Z373" s="1"/>
      <c r="AA373" s="1" t="s">
        <v>975</v>
      </c>
      <c r="AB373" s="1">
        <v>3006209013</v>
      </c>
    </row>
    <row r="374" spans="1:28" ht="13.8">
      <c r="A374" s="331">
        <v>36237</v>
      </c>
      <c r="B374" s="331">
        <v>26165</v>
      </c>
      <c r="C374" s="115">
        <v>46064</v>
      </c>
      <c r="D374" s="1" t="s">
        <v>1372</v>
      </c>
      <c r="E374" s="1" t="s">
        <v>1373</v>
      </c>
      <c r="F374" s="1" t="s">
        <v>2</v>
      </c>
      <c r="G374" s="1">
        <v>890302</v>
      </c>
      <c r="H374" s="1" t="s">
        <v>244</v>
      </c>
      <c r="I374" s="1" t="s">
        <v>1012</v>
      </c>
      <c r="J374" s="1" t="s">
        <v>223</v>
      </c>
      <c r="K374" s="1"/>
      <c r="L374" s="2">
        <v>180000</v>
      </c>
      <c r="M374" s="2">
        <v>90000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90000</v>
      </c>
      <c r="T374" s="3">
        <v>0.5</v>
      </c>
      <c r="U374" s="1"/>
      <c r="V374" s="1" t="s">
        <v>2181</v>
      </c>
      <c r="W374" s="1" t="s">
        <v>202</v>
      </c>
      <c r="X374" s="1" t="s">
        <v>277</v>
      </c>
      <c r="Y374" s="1">
        <v>23</v>
      </c>
      <c r="Z374" s="1" t="s">
        <v>2182</v>
      </c>
      <c r="AA374" s="1" t="s">
        <v>975</v>
      </c>
      <c r="AB374" s="1">
        <v>3001782004</v>
      </c>
    </row>
    <row r="375" spans="1:28" ht="13.8">
      <c r="A375" s="331">
        <v>35940</v>
      </c>
      <c r="B375" s="331">
        <v>25596</v>
      </c>
      <c r="C375" s="115">
        <v>46064</v>
      </c>
      <c r="D375" s="1" t="s">
        <v>748</v>
      </c>
      <c r="E375" s="1" t="s">
        <v>749</v>
      </c>
      <c r="F375" s="1" t="s">
        <v>127</v>
      </c>
      <c r="G375" s="1">
        <v>890303</v>
      </c>
      <c r="H375" s="1" t="s">
        <v>281</v>
      </c>
      <c r="I375" s="1" t="s">
        <v>983</v>
      </c>
      <c r="J375" s="1" t="s">
        <v>210</v>
      </c>
      <c r="K375" s="1"/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3">
        <v>0</v>
      </c>
      <c r="U375" s="1"/>
      <c r="V375" s="1"/>
      <c r="W375" s="1" t="s">
        <v>63</v>
      </c>
      <c r="X375" s="1" t="s">
        <v>225</v>
      </c>
      <c r="Y375" s="1">
        <v>21</v>
      </c>
      <c r="Z375" s="1"/>
      <c r="AA375" s="1" t="s">
        <v>975</v>
      </c>
      <c r="AB375" s="1">
        <v>3042558126</v>
      </c>
    </row>
    <row r="376" spans="1:28" ht="13.8">
      <c r="A376" s="331">
        <v>36355</v>
      </c>
      <c r="B376" s="331">
        <v>26364</v>
      </c>
      <c r="C376" s="115">
        <v>46064</v>
      </c>
      <c r="D376" s="1" t="s">
        <v>2067</v>
      </c>
      <c r="E376" s="1" t="s">
        <v>2068</v>
      </c>
      <c r="F376" s="1" t="s">
        <v>127</v>
      </c>
      <c r="G376" s="1">
        <v>890242</v>
      </c>
      <c r="H376" s="1" t="s">
        <v>331</v>
      </c>
      <c r="I376" s="1" t="s">
        <v>972</v>
      </c>
      <c r="J376" s="1" t="s">
        <v>223</v>
      </c>
      <c r="K376" s="1"/>
      <c r="L376" s="2">
        <v>250000</v>
      </c>
      <c r="M376" s="2">
        <v>122500</v>
      </c>
      <c r="N376" s="2">
        <v>0</v>
      </c>
      <c r="O376" s="2">
        <v>5000</v>
      </c>
      <c r="P376" s="2">
        <v>0</v>
      </c>
      <c r="Q376" s="2">
        <v>0</v>
      </c>
      <c r="R376" s="2">
        <v>0</v>
      </c>
      <c r="S376" s="2">
        <v>122500</v>
      </c>
      <c r="T376" s="3">
        <v>0.49</v>
      </c>
      <c r="U376" s="1"/>
      <c r="V376" s="1" t="s">
        <v>2183</v>
      </c>
      <c r="W376" s="1" t="s">
        <v>202</v>
      </c>
      <c r="X376" s="1" t="s">
        <v>213</v>
      </c>
      <c r="Y376" s="1">
        <v>23</v>
      </c>
      <c r="Z376" s="1" t="s">
        <v>2184</v>
      </c>
      <c r="AA376" s="1" t="s">
        <v>975</v>
      </c>
      <c r="AB376" s="1">
        <v>3229131736</v>
      </c>
    </row>
    <row r="377" spans="1:28" ht="13.8">
      <c r="A377" s="331">
        <v>35297</v>
      </c>
      <c r="B377" s="331">
        <v>26392</v>
      </c>
      <c r="C377" s="115">
        <v>46064</v>
      </c>
      <c r="D377" s="1" t="s">
        <v>473</v>
      </c>
      <c r="E377" s="1" t="s">
        <v>474</v>
      </c>
      <c r="F377" s="1" t="s">
        <v>4</v>
      </c>
      <c r="G377" s="1">
        <v>861401</v>
      </c>
      <c r="H377" s="1" t="s">
        <v>307</v>
      </c>
      <c r="I377" s="1" t="s">
        <v>983</v>
      </c>
      <c r="J377" s="1" t="s">
        <v>210</v>
      </c>
      <c r="K377" s="1"/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3">
        <v>0</v>
      </c>
      <c r="U377" s="1"/>
      <c r="V377" s="1"/>
      <c r="W377" s="1" t="s">
        <v>63</v>
      </c>
      <c r="X377" s="1" t="s">
        <v>225</v>
      </c>
      <c r="Y377" s="1">
        <v>14</v>
      </c>
      <c r="Z377" s="1"/>
      <c r="AA377" s="1" t="s">
        <v>975</v>
      </c>
      <c r="AB377" s="1">
        <v>3104422227</v>
      </c>
    </row>
    <row r="378" spans="1:28" ht="13.8">
      <c r="A378" s="331">
        <v>36072</v>
      </c>
      <c r="B378" s="331">
        <v>25855</v>
      </c>
      <c r="C378" s="115">
        <v>46064</v>
      </c>
      <c r="D378" s="1" t="s">
        <v>872</v>
      </c>
      <c r="E378" s="1" t="s">
        <v>2003</v>
      </c>
      <c r="F378" s="1" t="s">
        <v>4</v>
      </c>
      <c r="G378" s="1" t="s">
        <v>237</v>
      </c>
      <c r="H378" s="1" t="s">
        <v>238</v>
      </c>
      <c r="I378" s="1" t="s">
        <v>1209</v>
      </c>
      <c r="J378" s="1" t="s">
        <v>210</v>
      </c>
      <c r="K378" s="1" t="s">
        <v>1209</v>
      </c>
      <c r="L378" s="2">
        <v>350000</v>
      </c>
      <c r="M378" s="2">
        <v>175000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175000</v>
      </c>
      <c r="T378" s="3">
        <v>0.5</v>
      </c>
      <c r="U378" s="1"/>
      <c r="V378" s="1" t="s">
        <v>2004</v>
      </c>
      <c r="W378" s="1" t="s">
        <v>202</v>
      </c>
      <c r="X378" s="1" t="s">
        <v>213</v>
      </c>
      <c r="Y378" s="1">
        <v>33</v>
      </c>
      <c r="Z378" s="1" t="s">
        <v>2005</v>
      </c>
      <c r="AA378" s="1" t="s">
        <v>975</v>
      </c>
      <c r="AB378" s="1">
        <v>3008177256</v>
      </c>
    </row>
    <row r="379" spans="1:28" ht="13.8">
      <c r="A379" s="331">
        <v>36072</v>
      </c>
      <c r="B379" s="331">
        <v>25856</v>
      </c>
      <c r="C379" s="115">
        <v>46064</v>
      </c>
      <c r="D379" s="1" t="s">
        <v>872</v>
      </c>
      <c r="E379" s="1" t="s">
        <v>2003</v>
      </c>
      <c r="F379" s="1" t="s">
        <v>4</v>
      </c>
      <c r="G379" s="1" t="s">
        <v>873</v>
      </c>
      <c r="H379" s="1" t="s">
        <v>874</v>
      </c>
      <c r="I379" s="1" t="s">
        <v>1209</v>
      </c>
      <c r="J379" s="1" t="s">
        <v>210</v>
      </c>
      <c r="K379" s="1" t="s">
        <v>1209</v>
      </c>
      <c r="L379" s="2">
        <v>500000</v>
      </c>
      <c r="M379" s="2">
        <v>250000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250000</v>
      </c>
      <c r="T379" s="3">
        <v>0.5</v>
      </c>
      <c r="U379" s="1"/>
      <c r="V379" s="1" t="s">
        <v>2004</v>
      </c>
      <c r="W379" s="1" t="s">
        <v>202</v>
      </c>
      <c r="X379" s="1" t="s">
        <v>213</v>
      </c>
      <c r="Y379" s="1">
        <v>33</v>
      </c>
      <c r="Z379" s="1" t="s">
        <v>2005</v>
      </c>
      <c r="AA379" s="1" t="s">
        <v>975</v>
      </c>
      <c r="AB379" s="1">
        <v>3008177256</v>
      </c>
    </row>
    <row r="380" spans="1:28" ht="13.8">
      <c r="A380" s="331">
        <v>35973</v>
      </c>
      <c r="B380" s="331">
        <v>25667</v>
      </c>
      <c r="C380" s="115">
        <v>46064</v>
      </c>
      <c r="D380" s="1" t="s">
        <v>769</v>
      </c>
      <c r="E380" s="1" t="s">
        <v>770</v>
      </c>
      <c r="F380" s="1" t="s">
        <v>2</v>
      </c>
      <c r="G380" s="1">
        <v>890303</v>
      </c>
      <c r="H380" s="1" t="s">
        <v>221</v>
      </c>
      <c r="I380" s="1" t="s">
        <v>1012</v>
      </c>
      <c r="J380" s="1" t="s">
        <v>223</v>
      </c>
      <c r="K380" s="1"/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3">
        <v>0</v>
      </c>
      <c r="U380" s="1"/>
      <c r="V380" s="1"/>
      <c r="W380" s="1" t="s">
        <v>63</v>
      </c>
      <c r="X380" s="1" t="s">
        <v>277</v>
      </c>
      <c r="Y380" s="1">
        <v>16</v>
      </c>
      <c r="Z380" s="1"/>
      <c r="AA380" s="1" t="s">
        <v>975</v>
      </c>
      <c r="AB380" s="1">
        <v>3108865694</v>
      </c>
    </row>
    <row r="381" spans="1:28" ht="13.8">
      <c r="A381" s="331">
        <v>36341</v>
      </c>
      <c r="B381" s="331">
        <v>26342</v>
      </c>
      <c r="C381" s="115">
        <v>46064</v>
      </c>
      <c r="D381" s="1" t="s">
        <v>2044</v>
      </c>
      <c r="E381" s="1" t="s">
        <v>2045</v>
      </c>
      <c r="F381" s="1" t="s">
        <v>2</v>
      </c>
      <c r="G381" s="1">
        <v>868118</v>
      </c>
      <c r="H381" s="1" t="s">
        <v>618</v>
      </c>
      <c r="I381" s="1" t="s">
        <v>983</v>
      </c>
      <c r="J381" s="1" t="s">
        <v>210</v>
      </c>
      <c r="K381" s="1"/>
      <c r="L381" s="2">
        <v>900000</v>
      </c>
      <c r="M381" s="2">
        <v>443655.75</v>
      </c>
      <c r="N381" s="2">
        <v>10931.87</v>
      </c>
      <c r="O381" s="2">
        <v>0</v>
      </c>
      <c r="P381" s="2">
        <v>0</v>
      </c>
      <c r="Q381" s="2">
        <v>1756.63</v>
      </c>
      <c r="R381" s="2">
        <v>0</v>
      </c>
      <c r="S381" s="2">
        <v>445412.38</v>
      </c>
      <c r="T381" s="3">
        <v>0.49490264444443999</v>
      </c>
      <c r="U381" s="1"/>
      <c r="V381" s="1" t="s">
        <v>2185</v>
      </c>
      <c r="W381" s="1" t="s">
        <v>202</v>
      </c>
      <c r="X381" s="1" t="s">
        <v>213</v>
      </c>
      <c r="Y381" s="1">
        <v>45</v>
      </c>
      <c r="Z381" s="1" t="s">
        <v>2186</v>
      </c>
      <c r="AA381" s="1" t="s">
        <v>1028</v>
      </c>
      <c r="AB381" s="1">
        <v>3017602508</v>
      </c>
    </row>
    <row r="382" spans="1:28" ht="13.8">
      <c r="A382" s="331">
        <v>35708</v>
      </c>
      <c r="B382" s="331">
        <v>26398</v>
      </c>
      <c r="C382" s="115">
        <v>46064</v>
      </c>
      <c r="D382" s="1" t="s">
        <v>879</v>
      </c>
      <c r="E382" s="1" t="s">
        <v>880</v>
      </c>
      <c r="F382" s="1" t="s">
        <v>2</v>
      </c>
      <c r="G382" s="1" t="s">
        <v>1996</v>
      </c>
      <c r="H382" s="1" t="s">
        <v>1997</v>
      </c>
      <c r="I382" s="1" t="s">
        <v>1062</v>
      </c>
      <c r="J382" s="1" t="s">
        <v>210</v>
      </c>
      <c r="K382" s="1"/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3">
        <v>0</v>
      </c>
      <c r="U382" s="1"/>
      <c r="V382" s="1"/>
      <c r="W382" s="1" t="s">
        <v>63</v>
      </c>
      <c r="X382" s="1" t="s">
        <v>277</v>
      </c>
      <c r="Y382" s="1">
        <v>37</v>
      </c>
      <c r="Z382" s="1"/>
      <c r="AA382" s="1" t="s">
        <v>975</v>
      </c>
      <c r="AB382" s="1">
        <v>3117114819</v>
      </c>
    </row>
    <row r="383" spans="1:28" ht="13.8">
      <c r="A383" s="331">
        <v>25413</v>
      </c>
      <c r="B383" s="331">
        <v>26404</v>
      </c>
      <c r="C383" s="115">
        <v>46064</v>
      </c>
      <c r="D383" s="1" t="s">
        <v>314</v>
      </c>
      <c r="E383" s="1" t="s">
        <v>315</v>
      </c>
      <c r="F383" s="1" t="s">
        <v>2</v>
      </c>
      <c r="G383" s="1" t="s">
        <v>451</v>
      </c>
      <c r="H383" s="1" t="s">
        <v>452</v>
      </c>
      <c r="I383" s="1" t="s">
        <v>2566</v>
      </c>
      <c r="J383" s="1" t="s">
        <v>210</v>
      </c>
      <c r="K383" s="1" t="s">
        <v>1048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3">
        <v>0</v>
      </c>
      <c r="U383" s="1"/>
      <c r="V383" s="1"/>
      <c r="W383" s="1" t="s">
        <v>63</v>
      </c>
      <c r="X383" s="1" t="s">
        <v>277</v>
      </c>
      <c r="Y383" s="1">
        <v>30</v>
      </c>
      <c r="Z383" s="1"/>
      <c r="AA383" s="1" t="s">
        <v>975</v>
      </c>
      <c r="AB383" s="1">
        <v>17866026126</v>
      </c>
    </row>
    <row r="384" spans="1:28" ht="13.8">
      <c r="A384" s="331">
        <v>36184</v>
      </c>
      <c r="B384" s="331">
        <v>26028</v>
      </c>
      <c r="C384" s="115">
        <v>46064</v>
      </c>
      <c r="D384" s="1" t="s">
        <v>1327</v>
      </c>
      <c r="E384" s="1" t="s">
        <v>1328</v>
      </c>
      <c r="F384" s="1" t="s">
        <v>126</v>
      </c>
      <c r="G384" s="1" t="s">
        <v>255</v>
      </c>
      <c r="H384" s="1" t="s">
        <v>256</v>
      </c>
      <c r="I384" s="1" t="s">
        <v>256</v>
      </c>
      <c r="J384" s="1" t="s">
        <v>210</v>
      </c>
      <c r="K384" s="1" t="s">
        <v>1066</v>
      </c>
      <c r="L384" s="2">
        <v>650000</v>
      </c>
      <c r="M384" s="2">
        <v>279800</v>
      </c>
      <c r="N384" s="2">
        <v>61814.38</v>
      </c>
      <c r="O384" s="2">
        <v>13000</v>
      </c>
      <c r="P384" s="2">
        <v>0</v>
      </c>
      <c r="Q384" s="2">
        <v>15585.62</v>
      </c>
      <c r="R384" s="2">
        <v>0</v>
      </c>
      <c r="S384" s="2">
        <v>295385.62</v>
      </c>
      <c r="T384" s="3">
        <v>0.45443941538462002</v>
      </c>
      <c r="U384" s="1"/>
      <c r="V384" s="1" t="s">
        <v>2187</v>
      </c>
      <c r="W384" s="1" t="s">
        <v>202</v>
      </c>
      <c r="X384" s="1" t="s">
        <v>277</v>
      </c>
      <c r="Y384" s="1">
        <v>31</v>
      </c>
      <c r="Z384" s="1" t="s">
        <v>2188</v>
      </c>
      <c r="AA384" s="1" t="s">
        <v>975</v>
      </c>
      <c r="AB384" s="1">
        <v>3122329568</v>
      </c>
    </row>
    <row r="385" spans="1:28" ht="13.8">
      <c r="A385" s="331">
        <v>36245</v>
      </c>
      <c r="B385" s="331">
        <v>26177</v>
      </c>
      <c r="C385" s="115">
        <v>46064</v>
      </c>
      <c r="D385" s="1" t="s">
        <v>1380</v>
      </c>
      <c r="E385" s="1" t="s">
        <v>1381</v>
      </c>
      <c r="F385" s="1" t="s">
        <v>107</v>
      </c>
      <c r="G385" s="1">
        <v>861414</v>
      </c>
      <c r="H385" s="1" t="s">
        <v>405</v>
      </c>
      <c r="I385" s="1" t="s">
        <v>1081</v>
      </c>
      <c r="J385" s="1" t="s">
        <v>210</v>
      </c>
      <c r="K385" s="1"/>
      <c r="L385" s="2">
        <v>1300000</v>
      </c>
      <c r="M385" s="2">
        <v>392882.5</v>
      </c>
      <c r="N385" s="2">
        <v>415000</v>
      </c>
      <c r="O385" s="2">
        <v>26000</v>
      </c>
      <c r="P385" s="2">
        <v>0</v>
      </c>
      <c r="Q385" s="2">
        <v>73235</v>
      </c>
      <c r="R385" s="2">
        <v>0</v>
      </c>
      <c r="S385" s="2">
        <v>466117.5</v>
      </c>
      <c r="T385" s="3">
        <v>0.35855192307692002</v>
      </c>
      <c r="U385" s="1"/>
      <c r="V385" s="1" t="s">
        <v>2189</v>
      </c>
      <c r="W385" s="1" t="s">
        <v>202</v>
      </c>
      <c r="X385" s="1" t="s">
        <v>225</v>
      </c>
      <c r="Y385" s="1">
        <v>16</v>
      </c>
      <c r="Z385" s="1" t="s">
        <v>2190</v>
      </c>
      <c r="AA385" s="1" t="s">
        <v>975</v>
      </c>
      <c r="AB385" s="1">
        <v>3206185159</v>
      </c>
    </row>
    <row r="386" spans="1:28" ht="13.8">
      <c r="A386" s="331">
        <v>35912</v>
      </c>
      <c r="B386" s="331">
        <v>26370</v>
      </c>
      <c r="C386" s="115">
        <v>46064</v>
      </c>
      <c r="D386" s="1" t="s">
        <v>730</v>
      </c>
      <c r="E386" s="1" t="s">
        <v>731</v>
      </c>
      <c r="F386" s="1" t="s">
        <v>126</v>
      </c>
      <c r="G386" s="1" t="s">
        <v>255</v>
      </c>
      <c r="H386" s="1" t="s">
        <v>256</v>
      </c>
      <c r="I386" s="1" t="s">
        <v>256</v>
      </c>
      <c r="J386" s="1" t="s">
        <v>210</v>
      </c>
      <c r="K386" s="1" t="s">
        <v>1066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3">
        <v>0</v>
      </c>
      <c r="U386" s="1"/>
      <c r="V386" s="1"/>
      <c r="W386" s="1" t="s">
        <v>63</v>
      </c>
      <c r="X386" s="1" t="s">
        <v>277</v>
      </c>
      <c r="Y386" s="1">
        <v>30</v>
      </c>
      <c r="Z386" s="1"/>
      <c r="AA386" s="1" t="s">
        <v>975</v>
      </c>
      <c r="AB386" s="1">
        <v>3137214131</v>
      </c>
    </row>
    <row r="387" spans="1:28" ht="13.8">
      <c r="A387" s="331">
        <v>36365</v>
      </c>
      <c r="B387" s="331">
        <v>26390</v>
      </c>
      <c r="C387" s="115">
        <v>46064</v>
      </c>
      <c r="D387" s="1" t="s">
        <v>2191</v>
      </c>
      <c r="E387" s="1" t="s">
        <v>2192</v>
      </c>
      <c r="F387" s="1" t="s">
        <v>126</v>
      </c>
      <c r="G387" s="1">
        <v>890242</v>
      </c>
      <c r="H387" s="1" t="s">
        <v>331</v>
      </c>
      <c r="I387" s="1" t="s">
        <v>972</v>
      </c>
      <c r="J387" s="1" t="s">
        <v>223</v>
      </c>
      <c r="K387" s="1"/>
      <c r="L387" s="2">
        <v>250000</v>
      </c>
      <c r="M387" s="2">
        <v>122500</v>
      </c>
      <c r="N387" s="2">
        <v>0</v>
      </c>
      <c r="O387" s="2">
        <v>5000</v>
      </c>
      <c r="P387" s="2">
        <v>0</v>
      </c>
      <c r="Q387" s="2">
        <v>0</v>
      </c>
      <c r="R387" s="2">
        <v>0</v>
      </c>
      <c r="S387" s="2">
        <v>122500</v>
      </c>
      <c r="T387" s="3">
        <v>0.49</v>
      </c>
      <c r="U387" s="1"/>
      <c r="V387" s="1" t="s">
        <v>2193</v>
      </c>
      <c r="W387" s="1" t="s">
        <v>202</v>
      </c>
      <c r="X387" s="1" t="s">
        <v>277</v>
      </c>
      <c r="Y387" s="1">
        <v>30</v>
      </c>
      <c r="Z387" s="1" t="s">
        <v>2194</v>
      </c>
      <c r="AA387" s="1" t="s">
        <v>975</v>
      </c>
      <c r="AB387" s="1">
        <v>3195586446</v>
      </c>
    </row>
    <row r="388" spans="1:28" ht="13.8">
      <c r="A388" s="331">
        <v>36378</v>
      </c>
      <c r="B388" s="331">
        <v>26419</v>
      </c>
      <c r="C388" s="115">
        <v>46064</v>
      </c>
      <c r="D388" s="1" t="s">
        <v>2067</v>
      </c>
      <c r="E388" s="1" t="s">
        <v>2068</v>
      </c>
      <c r="F388" s="1" t="s">
        <v>127</v>
      </c>
      <c r="G388" s="1" t="s">
        <v>654</v>
      </c>
      <c r="H388" s="1" t="s">
        <v>655</v>
      </c>
      <c r="I388" s="1" t="s">
        <v>2195</v>
      </c>
      <c r="J388" s="1" t="s">
        <v>210</v>
      </c>
      <c r="K388" s="1" t="s">
        <v>2195</v>
      </c>
      <c r="L388" s="2">
        <v>600000</v>
      </c>
      <c r="M388" s="2">
        <v>279735</v>
      </c>
      <c r="N388" s="2">
        <v>22713.5</v>
      </c>
      <c r="O388" s="2">
        <v>12000</v>
      </c>
      <c r="P388" s="2">
        <v>0</v>
      </c>
      <c r="Q388" s="2">
        <v>5816.5</v>
      </c>
      <c r="R388" s="2">
        <v>0</v>
      </c>
      <c r="S388" s="2">
        <v>285551.5</v>
      </c>
      <c r="T388" s="3">
        <v>0.47591916666667</v>
      </c>
      <c r="U388" s="1"/>
      <c r="V388" s="1" t="s">
        <v>2196</v>
      </c>
      <c r="W388" s="1" t="s">
        <v>202</v>
      </c>
      <c r="X388" s="1" t="s">
        <v>213</v>
      </c>
      <c r="Y388" s="1">
        <v>23</v>
      </c>
      <c r="Z388" s="1" t="s">
        <v>2197</v>
      </c>
      <c r="AA388" s="1" t="s">
        <v>975</v>
      </c>
      <c r="AB388" s="1">
        <v>3229131736</v>
      </c>
    </row>
    <row r="389" spans="1:28" ht="13.8">
      <c r="A389" s="331">
        <v>36378</v>
      </c>
      <c r="B389" s="331">
        <v>26421</v>
      </c>
      <c r="C389" s="115">
        <v>46064</v>
      </c>
      <c r="D389" s="1" t="s">
        <v>2067</v>
      </c>
      <c r="E389" s="1" t="s">
        <v>2068</v>
      </c>
      <c r="F389" s="1" t="s">
        <v>127</v>
      </c>
      <c r="G389" s="1">
        <v>868116</v>
      </c>
      <c r="H389" s="1" t="s">
        <v>298</v>
      </c>
      <c r="I389" s="1" t="s">
        <v>983</v>
      </c>
      <c r="J389" s="1" t="s">
        <v>210</v>
      </c>
      <c r="K389" s="1"/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3">
        <v>0</v>
      </c>
      <c r="U389" s="1"/>
      <c r="V389" s="1"/>
      <c r="W389" s="1" t="s">
        <v>63</v>
      </c>
      <c r="X389" s="1" t="s">
        <v>213</v>
      </c>
      <c r="Y389" s="1">
        <v>23</v>
      </c>
      <c r="Z389" s="1"/>
      <c r="AA389" s="1" t="s">
        <v>975</v>
      </c>
      <c r="AB389" s="1">
        <v>3229131736</v>
      </c>
    </row>
    <row r="390" spans="1:28" ht="13.8">
      <c r="A390" s="331">
        <v>27943</v>
      </c>
      <c r="B390" s="331">
        <v>24968</v>
      </c>
      <c r="C390" s="115">
        <v>46064</v>
      </c>
      <c r="D390" s="1" t="s">
        <v>534</v>
      </c>
      <c r="E390" s="1" t="s">
        <v>535</v>
      </c>
      <c r="F390" s="1" t="s">
        <v>4</v>
      </c>
      <c r="G390" s="1">
        <v>861411</v>
      </c>
      <c r="H390" s="1" t="s">
        <v>406</v>
      </c>
      <c r="I390" s="1" t="s">
        <v>1081</v>
      </c>
      <c r="J390" s="1" t="s">
        <v>210</v>
      </c>
      <c r="K390" s="1"/>
      <c r="L390" s="2">
        <v>1380000</v>
      </c>
      <c r="M390" s="2">
        <v>487350</v>
      </c>
      <c r="N390" s="2">
        <v>246943.2</v>
      </c>
      <c r="O390" s="2">
        <v>27600</v>
      </c>
      <c r="P390" s="2">
        <v>0</v>
      </c>
      <c r="Q390" s="2">
        <v>130756.8</v>
      </c>
      <c r="R390" s="2">
        <v>0</v>
      </c>
      <c r="S390" s="2">
        <v>618106.80000000005</v>
      </c>
      <c r="T390" s="3">
        <v>0.44790347826087001</v>
      </c>
      <c r="U390" s="1"/>
      <c r="V390" s="1" t="s">
        <v>1988</v>
      </c>
      <c r="W390" s="1" t="s">
        <v>202</v>
      </c>
      <c r="X390" s="1" t="s">
        <v>204</v>
      </c>
      <c r="Y390" s="1">
        <v>40</v>
      </c>
      <c r="Z390" s="1" t="s">
        <v>1989</v>
      </c>
      <c r="AA390" s="1" t="s">
        <v>975</v>
      </c>
      <c r="AB390" s="1">
        <v>3155868442</v>
      </c>
    </row>
    <row r="391" spans="1:28" ht="13.8">
      <c r="A391" s="331">
        <v>34560</v>
      </c>
      <c r="B391" s="331">
        <v>25613</v>
      </c>
      <c r="C391" s="115">
        <v>46065</v>
      </c>
      <c r="D391" s="1" t="s">
        <v>754</v>
      </c>
      <c r="E391" s="1" t="s">
        <v>755</v>
      </c>
      <c r="F391" s="1" t="s">
        <v>127</v>
      </c>
      <c r="G391" s="1" t="s">
        <v>324</v>
      </c>
      <c r="H391" s="1" t="s">
        <v>325</v>
      </c>
      <c r="I391" s="1" t="s">
        <v>1097</v>
      </c>
      <c r="J391" s="1" t="s">
        <v>210</v>
      </c>
      <c r="K391" s="1" t="s">
        <v>1097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3">
        <v>0</v>
      </c>
      <c r="U391" s="1"/>
      <c r="V391" s="1"/>
      <c r="W391" s="1" t="s">
        <v>63</v>
      </c>
      <c r="X391" s="1" t="s">
        <v>213</v>
      </c>
      <c r="Y391" s="1">
        <v>20</v>
      </c>
      <c r="Z391" s="1"/>
      <c r="AA391" s="1" t="s">
        <v>975</v>
      </c>
      <c r="AB391" s="1">
        <v>3126842607</v>
      </c>
    </row>
    <row r="392" spans="1:28" ht="13.8">
      <c r="A392" s="331">
        <v>36346</v>
      </c>
      <c r="B392" s="331">
        <v>26352</v>
      </c>
      <c r="C392" s="115">
        <v>46065</v>
      </c>
      <c r="D392" s="1" t="s">
        <v>2048</v>
      </c>
      <c r="E392" s="1" t="s">
        <v>2049</v>
      </c>
      <c r="F392" s="1" t="s">
        <v>126</v>
      </c>
      <c r="G392" s="1">
        <v>890302</v>
      </c>
      <c r="H392" s="1" t="s">
        <v>244</v>
      </c>
      <c r="I392" s="1" t="s">
        <v>1012</v>
      </c>
      <c r="J392" s="1" t="s">
        <v>223</v>
      </c>
      <c r="K392" s="1"/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3">
        <v>0</v>
      </c>
      <c r="U392" s="1"/>
      <c r="V392" s="1"/>
      <c r="W392" s="1" t="s">
        <v>63</v>
      </c>
      <c r="X392" s="1" t="s">
        <v>213</v>
      </c>
      <c r="Y392" s="1">
        <v>27</v>
      </c>
      <c r="Z392" s="1"/>
      <c r="AA392" s="1" t="s">
        <v>975</v>
      </c>
      <c r="AB392" s="1">
        <v>34613789701</v>
      </c>
    </row>
    <row r="393" spans="1:28" ht="13.8">
      <c r="A393" s="331">
        <v>36199</v>
      </c>
      <c r="B393" s="331">
        <v>26063</v>
      </c>
      <c r="C393" s="115">
        <v>46065</v>
      </c>
      <c r="D393" s="1" t="s">
        <v>1343</v>
      </c>
      <c r="E393" s="1" t="s">
        <v>1344</v>
      </c>
      <c r="F393" s="1" t="s">
        <v>127</v>
      </c>
      <c r="G393" s="1">
        <v>890303</v>
      </c>
      <c r="H393" s="1" t="s">
        <v>221</v>
      </c>
      <c r="I393" s="1" t="s">
        <v>1012</v>
      </c>
      <c r="J393" s="1" t="s">
        <v>223</v>
      </c>
      <c r="K393" s="1"/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3">
        <v>0</v>
      </c>
      <c r="U393" s="1"/>
      <c r="V393" s="1"/>
      <c r="W393" s="1" t="s">
        <v>63</v>
      </c>
      <c r="X393" s="1" t="s">
        <v>225</v>
      </c>
      <c r="Y393" s="1">
        <v>19</v>
      </c>
      <c r="Z393" s="1"/>
      <c r="AA393" s="1" t="s">
        <v>975</v>
      </c>
      <c r="AB393" s="1">
        <v>3122590231</v>
      </c>
    </row>
    <row r="394" spans="1:28" ht="13.8">
      <c r="A394" s="331">
        <v>35567</v>
      </c>
      <c r="B394" s="331">
        <v>26436</v>
      </c>
      <c r="C394" s="115">
        <v>46065</v>
      </c>
      <c r="D394" s="1" t="s">
        <v>1343</v>
      </c>
      <c r="E394" s="1" t="s">
        <v>1344</v>
      </c>
      <c r="F394" s="1" t="s">
        <v>127</v>
      </c>
      <c r="G394" s="1">
        <v>861401</v>
      </c>
      <c r="H394" s="1" t="s">
        <v>307</v>
      </c>
      <c r="I394" s="1" t="s">
        <v>983</v>
      </c>
      <c r="J394" s="1" t="s">
        <v>210</v>
      </c>
      <c r="K394" s="1"/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3">
        <v>0</v>
      </c>
      <c r="U394" s="1"/>
      <c r="V394" s="1"/>
      <c r="W394" s="1" t="s">
        <v>63</v>
      </c>
      <c r="X394" s="1" t="s">
        <v>225</v>
      </c>
      <c r="Y394" s="1">
        <v>19</v>
      </c>
      <c r="Z394" s="1"/>
      <c r="AA394" s="1" t="s">
        <v>975</v>
      </c>
      <c r="AB394" s="1">
        <v>3122590231</v>
      </c>
    </row>
    <row r="395" spans="1:28" ht="13.8">
      <c r="A395" s="331">
        <v>36371</v>
      </c>
      <c r="B395" s="331">
        <v>26408</v>
      </c>
      <c r="C395" s="115">
        <v>46065</v>
      </c>
      <c r="D395" s="1" t="s">
        <v>2198</v>
      </c>
      <c r="E395" s="1" t="s">
        <v>2199</v>
      </c>
      <c r="F395" s="1" t="s">
        <v>126</v>
      </c>
      <c r="G395" s="1">
        <v>890242</v>
      </c>
      <c r="H395" s="1" t="s">
        <v>331</v>
      </c>
      <c r="I395" s="1" t="s">
        <v>972</v>
      </c>
      <c r="J395" s="1" t="s">
        <v>223</v>
      </c>
      <c r="K395" s="1"/>
      <c r="L395" s="2">
        <v>250000</v>
      </c>
      <c r="M395" s="2">
        <v>125000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125000</v>
      </c>
      <c r="T395" s="3">
        <v>0.5</v>
      </c>
      <c r="U395" s="1"/>
      <c r="V395" s="1" t="s">
        <v>2200</v>
      </c>
      <c r="W395" s="1" t="s">
        <v>202</v>
      </c>
      <c r="X395" s="1" t="s">
        <v>277</v>
      </c>
      <c r="Y395" s="1">
        <v>30</v>
      </c>
      <c r="Z395" s="1" t="s">
        <v>2201</v>
      </c>
      <c r="AA395" s="1" t="s">
        <v>975</v>
      </c>
      <c r="AB395" s="1">
        <v>3148074730</v>
      </c>
    </row>
    <row r="396" spans="1:28" ht="13.8">
      <c r="A396" s="331">
        <v>36372</v>
      </c>
      <c r="B396" s="331">
        <v>26410</v>
      </c>
      <c r="C396" s="115">
        <v>46065</v>
      </c>
      <c r="D396" s="1" t="s">
        <v>2202</v>
      </c>
      <c r="E396" s="1" t="s">
        <v>2203</v>
      </c>
      <c r="F396" s="1" t="s">
        <v>126</v>
      </c>
      <c r="G396" s="1">
        <v>890242</v>
      </c>
      <c r="H396" s="1" t="s">
        <v>331</v>
      </c>
      <c r="I396" s="1" t="s">
        <v>972</v>
      </c>
      <c r="J396" s="1" t="s">
        <v>223</v>
      </c>
      <c r="K396" s="1"/>
      <c r="L396" s="2">
        <v>250000</v>
      </c>
      <c r="M396" s="2">
        <v>125000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125000</v>
      </c>
      <c r="T396" s="3">
        <v>0.5</v>
      </c>
      <c r="U396" s="1"/>
      <c r="V396" s="1" t="s">
        <v>2204</v>
      </c>
      <c r="W396" s="1" t="s">
        <v>202</v>
      </c>
      <c r="X396" s="1" t="s">
        <v>277</v>
      </c>
      <c r="Y396" s="1">
        <v>13</v>
      </c>
      <c r="Z396" s="1" t="s">
        <v>2205</v>
      </c>
      <c r="AA396" s="1" t="s">
        <v>975</v>
      </c>
      <c r="AB396" s="1">
        <v>3148074730</v>
      </c>
    </row>
    <row r="397" spans="1:28" ht="13.8">
      <c r="A397" s="331">
        <v>35426</v>
      </c>
      <c r="B397" s="331">
        <v>24716</v>
      </c>
      <c r="C397" s="115">
        <v>46065</v>
      </c>
      <c r="D397" s="1" t="s">
        <v>467</v>
      </c>
      <c r="E397" s="1" t="s">
        <v>468</v>
      </c>
      <c r="F397" s="1" t="s">
        <v>127</v>
      </c>
      <c r="G397" s="1">
        <v>890303</v>
      </c>
      <c r="H397" s="1" t="s">
        <v>281</v>
      </c>
      <c r="I397" s="1" t="s">
        <v>983</v>
      </c>
      <c r="J397" s="1" t="s">
        <v>210</v>
      </c>
      <c r="K397" s="1"/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3">
        <v>0</v>
      </c>
      <c r="U397" s="1"/>
      <c r="V397" s="1"/>
      <c r="W397" s="1" t="s">
        <v>63</v>
      </c>
      <c r="X397" s="1" t="s">
        <v>213</v>
      </c>
      <c r="Y397" s="1">
        <v>21</v>
      </c>
      <c r="Z397" s="1"/>
      <c r="AA397" s="1" t="s">
        <v>975</v>
      </c>
      <c r="AB397" s="1">
        <v>3162935144</v>
      </c>
    </row>
    <row r="398" spans="1:28" ht="13.8">
      <c r="A398" s="331">
        <v>36065</v>
      </c>
      <c r="B398" s="331">
        <v>25842</v>
      </c>
      <c r="C398" s="115">
        <v>46065</v>
      </c>
      <c r="D398" s="1" t="s">
        <v>866</v>
      </c>
      <c r="E398" s="1" t="s">
        <v>867</v>
      </c>
      <c r="F398" s="1" t="s">
        <v>2</v>
      </c>
      <c r="G398" s="1">
        <v>890242</v>
      </c>
      <c r="H398" s="1" t="s">
        <v>331</v>
      </c>
      <c r="I398" s="1" t="s">
        <v>972</v>
      </c>
      <c r="J398" s="1" t="s">
        <v>223</v>
      </c>
      <c r="K398" s="1"/>
      <c r="L398" s="2">
        <v>250000</v>
      </c>
      <c r="M398" s="2">
        <v>123000</v>
      </c>
      <c r="N398" s="2">
        <v>0</v>
      </c>
      <c r="O398" s="2">
        <v>4000</v>
      </c>
      <c r="P398" s="2">
        <v>0</v>
      </c>
      <c r="Q398" s="2">
        <v>0</v>
      </c>
      <c r="R398" s="2">
        <v>0</v>
      </c>
      <c r="S398" s="2">
        <v>123000</v>
      </c>
      <c r="T398" s="3">
        <v>0.49199999999999999</v>
      </c>
      <c r="U398" s="1"/>
      <c r="V398" s="1" t="s">
        <v>2206</v>
      </c>
      <c r="W398" s="1" t="s">
        <v>202</v>
      </c>
      <c r="X398" s="1" t="s">
        <v>277</v>
      </c>
      <c r="Y398" s="1">
        <v>23</v>
      </c>
      <c r="Z398" s="1" t="s">
        <v>2207</v>
      </c>
      <c r="AA398" s="1" t="s">
        <v>975</v>
      </c>
      <c r="AB398" s="1">
        <v>3148497004</v>
      </c>
    </row>
    <row r="399" spans="1:28" ht="13.8">
      <c r="A399" s="331">
        <v>35589</v>
      </c>
      <c r="B399" s="331">
        <v>24964</v>
      </c>
      <c r="C399" s="115">
        <v>46065</v>
      </c>
      <c r="D399" s="1" t="s">
        <v>532</v>
      </c>
      <c r="E399" s="1" t="s">
        <v>533</v>
      </c>
      <c r="F399" s="1" t="s">
        <v>127</v>
      </c>
      <c r="G399" s="1">
        <v>890303</v>
      </c>
      <c r="H399" s="1" t="s">
        <v>221</v>
      </c>
      <c r="I399" s="1" t="s">
        <v>1012</v>
      </c>
      <c r="J399" s="1" t="s">
        <v>223</v>
      </c>
      <c r="K399" s="1"/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3">
        <v>0</v>
      </c>
      <c r="U399" s="1"/>
      <c r="V399" s="1"/>
      <c r="W399" s="1" t="s">
        <v>63</v>
      </c>
      <c r="X399" s="1" t="s">
        <v>529</v>
      </c>
      <c r="Y399" s="1">
        <v>23</v>
      </c>
      <c r="Z399" s="1"/>
      <c r="AA399" s="1" t="s">
        <v>975</v>
      </c>
      <c r="AB399" s="1">
        <v>3207921356</v>
      </c>
    </row>
    <row r="400" spans="1:28" ht="13.8">
      <c r="A400" s="331">
        <v>35507</v>
      </c>
      <c r="B400" s="331">
        <v>26441</v>
      </c>
      <c r="C400" s="115">
        <v>46065</v>
      </c>
      <c r="D400" s="1" t="s">
        <v>532</v>
      </c>
      <c r="E400" s="1" t="s">
        <v>533</v>
      </c>
      <c r="F400" s="1" t="s">
        <v>127</v>
      </c>
      <c r="G400" s="1">
        <v>863101</v>
      </c>
      <c r="H400" s="1" t="s">
        <v>378</v>
      </c>
      <c r="I400" s="1" t="s">
        <v>983</v>
      </c>
      <c r="J400" s="1" t="s">
        <v>210</v>
      </c>
      <c r="K400" s="1"/>
      <c r="L400" s="2">
        <v>350000</v>
      </c>
      <c r="M400" s="2">
        <v>171500</v>
      </c>
      <c r="N400" s="2">
        <v>0</v>
      </c>
      <c r="O400" s="2">
        <v>7000</v>
      </c>
      <c r="P400" s="2">
        <v>0</v>
      </c>
      <c r="Q400" s="2">
        <v>0</v>
      </c>
      <c r="R400" s="2">
        <v>0</v>
      </c>
      <c r="S400" s="2">
        <v>171500</v>
      </c>
      <c r="T400" s="3">
        <v>0.49</v>
      </c>
      <c r="U400" s="1"/>
      <c r="V400" s="1" t="s">
        <v>2208</v>
      </c>
      <c r="W400" s="1" t="s">
        <v>202</v>
      </c>
      <c r="X400" s="1" t="s">
        <v>529</v>
      </c>
      <c r="Y400" s="1">
        <v>23</v>
      </c>
      <c r="Z400" s="1" t="s">
        <v>2209</v>
      </c>
      <c r="AA400" s="1" t="s">
        <v>975</v>
      </c>
      <c r="AB400" s="1">
        <v>3207921356</v>
      </c>
    </row>
    <row r="401" spans="1:28" ht="13.8">
      <c r="A401" s="331">
        <v>32733</v>
      </c>
      <c r="B401" s="331">
        <v>26300</v>
      </c>
      <c r="C401" s="115">
        <v>46065</v>
      </c>
      <c r="D401" s="1" t="s">
        <v>2032</v>
      </c>
      <c r="E401" s="1" t="s">
        <v>2033</v>
      </c>
      <c r="F401" s="1" t="s">
        <v>2</v>
      </c>
      <c r="G401" s="1" t="s">
        <v>255</v>
      </c>
      <c r="H401" s="1" t="s">
        <v>256</v>
      </c>
      <c r="I401" s="1" t="s">
        <v>256</v>
      </c>
      <c r="J401" s="1" t="s">
        <v>210</v>
      </c>
      <c r="K401" s="1" t="s">
        <v>1066</v>
      </c>
      <c r="L401" s="2">
        <v>650000</v>
      </c>
      <c r="M401" s="2">
        <v>286300</v>
      </c>
      <c r="N401" s="2">
        <v>67148.100000000006</v>
      </c>
      <c r="O401" s="2">
        <v>0</v>
      </c>
      <c r="P401" s="2">
        <v>0</v>
      </c>
      <c r="Q401" s="2">
        <v>10251.9</v>
      </c>
      <c r="R401" s="2">
        <v>0</v>
      </c>
      <c r="S401" s="2">
        <v>296551.90000000002</v>
      </c>
      <c r="T401" s="3">
        <v>0.45623369230769001</v>
      </c>
      <c r="U401" s="1"/>
      <c r="V401" s="1" t="s">
        <v>1987</v>
      </c>
      <c r="W401" s="1" t="s">
        <v>202</v>
      </c>
      <c r="X401" s="1" t="s">
        <v>277</v>
      </c>
      <c r="Y401" s="1">
        <v>27</v>
      </c>
      <c r="Z401" s="1" t="s">
        <v>2210</v>
      </c>
      <c r="AA401" s="1" t="s">
        <v>975</v>
      </c>
      <c r="AB401" s="1">
        <v>3044170946</v>
      </c>
    </row>
    <row r="402" spans="1:28" ht="13.8">
      <c r="A402" s="331">
        <v>34142</v>
      </c>
      <c r="B402" s="331">
        <v>26440</v>
      </c>
      <c r="C402" s="115">
        <v>46065</v>
      </c>
      <c r="D402" s="1" t="s">
        <v>1980</v>
      </c>
      <c r="E402" s="1" t="s">
        <v>1981</v>
      </c>
      <c r="F402" s="1" t="s">
        <v>2</v>
      </c>
      <c r="G402" s="1" t="s">
        <v>499</v>
      </c>
      <c r="H402" s="1" t="s">
        <v>500</v>
      </c>
      <c r="I402" s="1" t="s">
        <v>1125</v>
      </c>
      <c r="J402" s="1" t="s">
        <v>210</v>
      </c>
      <c r="K402" s="1" t="s">
        <v>1126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3">
        <v>0</v>
      </c>
      <c r="U402" s="1"/>
      <c r="V402" s="1"/>
      <c r="W402" s="1" t="s">
        <v>63</v>
      </c>
      <c r="X402" s="1" t="s">
        <v>225</v>
      </c>
      <c r="Y402" s="1">
        <v>49</v>
      </c>
      <c r="Z402" s="1"/>
      <c r="AA402" s="1" t="s">
        <v>975</v>
      </c>
      <c r="AB402" s="1">
        <v>3173648318</v>
      </c>
    </row>
    <row r="403" spans="1:28" ht="13.8">
      <c r="A403" s="331">
        <v>36205</v>
      </c>
      <c r="B403" s="331">
        <v>26284</v>
      </c>
      <c r="C403" s="115">
        <v>46065</v>
      </c>
      <c r="D403" s="1" t="s">
        <v>1603</v>
      </c>
      <c r="E403" s="1" t="s">
        <v>1604</v>
      </c>
      <c r="F403" s="1" t="s">
        <v>3</v>
      </c>
      <c r="G403" s="1" t="s">
        <v>324</v>
      </c>
      <c r="H403" s="1" t="s">
        <v>325</v>
      </c>
      <c r="I403" s="1" t="s">
        <v>1097</v>
      </c>
      <c r="J403" s="1" t="s">
        <v>210</v>
      </c>
      <c r="K403" s="1" t="s">
        <v>1097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3">
        <v>0</v>
      </c>
      <c r="U403" s="1"/>
      <c r="V403" s="1"/>
      <c r="W403" s="1" t="s">
        <v>63</v>
      </c>
      <c r="X403" s="1" t="s">
        <v>213</v>
      </c>
      <c r="Y403" s="1">
        <v>45</v>
      </c>
      <c r="Z403" s="1"/>
      <c r="AA403" s="1" t="s">
        <v>975</v>
      </c>
      <c r="AB403" s="1">
        <v>3127604843</v>
      </c>
    </row>
    <row r="404" spans="1:28" ht="13.8">
      <c r="A404" s="331">
        <v>35670</v>
      </c>
      <c r="B404" s="331">
        <v>25110</v>
      </c>
      <c r="C404" s="115">
        <v>46065</v>
      </c>
      <c r="D404" s="1" t="s">
        <v>577</v>
      </c>
      <c r="E404" s="1" t="s">
        <v>2211</v>
      </c>
      <c r="F404" s="1" t="s">
        <v>3</v>
      </c>
      <c r="G404" s="1">
        <v>890242</v>
      </c>
      <c r="H404" s="1" t="s">
        <v>331</v>
      </c>
      <c r="I404" s="1" t="s">
        <v>972</v>
      </c>
      <c r="J404" s="1" t="s">
        <v>223</v>
      </c>
      <c r="K404" s="1"/>
      <c r="L404" s="2">
        <v>250000</v>
      </c>
      <c r="M404" s="2">
        <v>122500</v>
      </c>
      <c r="N404" s="2">
        <v>0</v>
      </c>
      <c r="O404" s="2">
        <v>5000</v>
      </c>
      <c r="P404" s="2">
        <v>0</v>
      </c>
      <c r="Q404" s="2">
        <v>0</v>
      </c>
      <c r="R404" s="2">
        <v>0</v>
      </c>
      <c r="S404" s="2">
        <v>122500</v>
      </c>
      <c r="T404" s="3">
        <v>0.49</v>
      </c>
      <c r="U404" s="1"/>
      <c r="V404" s="1" t="s">
        <v>2212</v>
      </c>
      <c r="W404" s="1" t="s">
        <v>202</v>
      </c>
      <c r="X404" s="1" t="s">
        <v>225</v>
      </c>
      <c r="Y404" s="1">
        <v>16</v>
      </c>
      <c r="Z404" s="1" t="s">
        <v>2213</v>
      </c>
      <c r="AA404" s="1" t="s">
        <v>975</v>
      </c>
      <c r="AB404" s="1">
        <v>3147431099</v>
      </c>
    </row>
    <row r="405" spans="1:28" ht="13.8">
      <c r="A405" s="331">
        <v>36294</v>
      </c>
      <c r="B405" s="331">
        <v>26256</v>
      </c>
      <c r="C405" s="115">
        <v>46065</v>
      </c>
      <c r="D405" s="1" t="s">
        <v>2010</v>
      </c>
      <c r="E405" s="1" t="s">
        <v>2011</v>
      </c>
      <c r="F405" s="1" t="s">
        <v>2</v>
      </c>
      <c r="G405" s="1">
        <v>890302</v>
      </c>
      <c r="H405" s="1" t="s">
        <v>244</v>
      </c>
      <c r="I405" s="1" t="s">
        <v>1012</v>
      </c>
      <c r="J405" s="1" t="s">
        <v>223</v>
      </c>
      <c r="K405" s="1"/>
      <c r="L405" s="2">
        <v>180000</v>
      </c>
      <c r="M405" s="2">
        <v>88200</v>
      </c>
      <c r="N405" s="2">
        <v>0</v>
      </c>
      <c r="O405" s="2">
        <v>3600</v>
      </c>
      <c r="P405" s="2">
        <v>0</v>
      </c>
      <c r="Q405" s="2">
        <v>0</v>
      </c>
      <c r="R405" s="2">
        <v>0</v>
      </c>
      <c r="S405" s="2">
        <v>88200</v>
      </c>
      <c r="T405" s="3">
        <v>0.49</v>
      </c>
      <c r="U405" s="1"/>
      <c r="V405" s="1" t="s">
        <v>2214</v>
      </c>
      <c r="W405" s="1" t="s">
        <v>202</v>
      </c>
      <c r="X405" s="1" t="s">
        <v>277</v>
      </c>
      <c r="Y405" s="1">
        <v>26</v>
      </c>
      <c r="Z405" s="1" t="s">
        <v>2215</v>
      </c>
      <c r="AA405" s="1" t="s">
        <v>975</v>
      </c>
      <c r="AB405" s="1">
        <v>3218067275</v>
      </c>
    </row>
    <row r="406" spans="1:28" ht="13.8">
      <c r="A406" s="331">
        <v>35870</v>
      </c>
      <c r="B406" s="331">
        <v>25475</v>
      </c>
      <c r="C406" s="115">
        <v>46065</v>
      </c>
      <c r="D406" s="1" t="s">
        <v>1992</v>
      </c>
      <c r="E406" s="1" t="s">
        <v>1993</v>
      </c>
      <c r="F406" s="1" t="s">
        <v>3</v>
      </c>
      <c r="G406" s="1">
        <v>890302</v>
      </c>
      <c r="H406" s="1" t="s">
        <v>244</v>
      </c>
      <c r="I406" s="1" t="s">
        <v>1012</v>
      </c>
      <c r="J406" s="1" t="s">
        <v>223</v>
      </c>
      <c r="K406" s="1"/>
      <c r="L406" s="2">
        <v>180000</v>
      </c>
      <c r="M406" s="2">
        <v>90000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90000</v>
      </c>
      <c r="T406" s="3">
        <v>0.5</v>
      </c>
      <c r="U406" s="1"/>
      <c r="V406" s="1" t="s">
        <v>2216</v>
      </c>
      <c r="W406" s="1" t="s">
        <v>202</v>
      </c>
      <c r="X406" s="1" t="s">
        <v>213</v>
      </c>
      <c r="Y406" s="1">
        <v>10</v>
      </c>
      <c r="Z406" s="1" t="s">
        <v>2217</v>
      </c>
      <c r="AA406" s="1" t="s">
        <v>975</v>
      </c>
      <c r="AB406" s="1">
        <v>3245431557</v>
      </c>
    </row>
    <row r="407" spans="1:28" ht="13.8">
      <c r="A407" s="331">
        <v>31191</v>
      </c>
      <c r="B407" s="331">
        <v>18087</v>
      </c>
      <c r="C407" s="115">
        <v>46065</v>
      </c>
      <c r="D407" s="1" t="s">
        <v>2218</v>
      </c>
      <c r="E407" s="1" t="s">
        <v>2219</v>
      </c>
      <c r="F407" s="1" t="s">
        <v>2</v>
      </c>
      <c r="G407" s="1">
        <v>890242</v>
      </c>
      <c r="H407" s="1" t="s">
        <v>331</v>
      </c>
      <c r="I407" s="1" t="s">
        <v>972</v>
      </c>
      <c r="J407" s="1" t="s">
        <v>223</v>
      </c>
      <c r="K407" s="1"/>
      <c r="L407" s="2">
        <v>250000</v>
      </c>
      <c r="M407" s="2">
        <v>125000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125000</v>
      </c>
      <c r="T407" s="3">
        <v>0.5</v>
      </c>
      <c r="U407" s="1"/>
      <c r="V407" s="1" t="s">
        <v>2220</v>
      </c>
      <c r="W407" s="1" t="s">
        <v>202</v>
      </c>
      <c r="X407" s="1" t="s">
        <v>277</v>
      </c>
      <c r="Y407" s="1">
        <v>55</v>
      </c>
      <c r="Z407" s="1" t="s">
        <v>2221</v>
      </c>
      <c r="AA407" s="1" t="s">
        <v>975</v>
      </c>
      <c r="AB407" s="1">
        <v>3004351204</v>
      </c>
    </row>
    <row r="408" spans="1:28" ht="13.8">
      <c r="A408" s="331">
        <v>36356</v>
      </c>
      <c r="B408" s="331">
        <v>26365</v>
      </c>
      <c r="C408" s="115">
        <v>46065</v>
      </c>
      <c r="D408" s="1" t="s">
        <v>2069</v>
      </c>
      <c r="E408" s="1" t="s">
        <v>2222</v>
      </c>
      <c r="F408" s="1" t="s">
        <v>3</v>
      </c>
      <c r="G408" s="1">
        <v>890242</v>
      </c>
      <c r="H408" s="1" t="s">
        <v>331</v>
      </c>
      <c r="I408" s="1" t="s">
        <v>972</v>
      </c>
      <c r="J408" s="1" t="s">
        <v>223</v>
      </c>
      <c r="K408" s="1"/>
      <c r="L408" s="2">
        <v>250000</v>
      </c>
      <c r="M408" s="2">
        <v>122500</v>
      </c>
      <c r="N408" s="2">
        <v>0</v>
      </c>
      <c r="O408" s="2">
        <v>5000</v>
      </c>
      <c r="P408" s="2">
        <v>0</v>
      </c>
      <c r="Q408" s="2">
        <v>0</v>
      </c>
      <c r="R408" s="2">
        <v>0</v>
      </c>
      <c r="S408" s="2">
        <v>122500</v>
      </c>
      <c r="T408" s="3">
        <v>0.49</v>
      </c>
      <c r="U408" s="1"/>
      <c r="V408" s="1" t="s">
        <v>2223</v>
      </c>
      <c r="W408" s="1" t="s">
        <v>202</v>
      </c>
      <c r="X408" s="1" t="s">
        <v>277</v>
      </c>
      <c r="Y408" s="1">
        <v>59</v>
      </c>
      <c r="Z408" s="1" t="s">
        <v>2224</v>
      </c>
      <c r="AA408" s="1" t="s">
        <v>975</v>
      </c>
      <c r="AB408" s="1">
        <v>16479724187</v>
      </c>
    </row>
    <row r="409" spans="1:28" ht="13.8">
      <c r="A409" s="331">
        <v>26580</v>
      </c>
      <c r="B409" s="331">
        <v>25507</v>
      </c>
      <c r="C409" s="115">
        <v>46065</v>
      </c>
      <c r="D409" s="1" t="s">
        <v>269</v>
      </c>
      <c r="E409" s="1" t="s">
        <v>270</v>
      </c>
      <c r="F409" s="1" t="s">
        <v>3</v>
      </c>
      <c r="G409" s="1" t="s">
        <v>1996</v>
      </c>
      <c r="H409" s="1" t="s">
        <v>1997</v>
      </c>
      <c r="I409" s="1" t="s">
        <v>1062</v>
      </c>
      <c r="J409" s="1" t="s">
        <v>210</v>
      </c>
      <c r="K409" s="1"/>
      <c r="L409" s="2">
        <v>400000</v>
      </c>
      <c r="M409" s="2">
        <v>192078</v>
      </c>
      <c r="N409" s="2">
        <v>6666.7</v>
      </c>
      <c r="O409" s="2">
        <v>8000</v>
      </c>
      <c r="P409" s="2">
        <v>0</v>
      </c>
      <c r="Q409" s="2">
        <v>1177.3</v>
      </c>
      <c r="R409" s="2">
        <v>0</v>
      </c>
      <c r="S409" s="2">
        <v>193255.3</v>
      </c>
      <c r="T409" s="3">
        <v>0.48313824999999999</v>
      </c>
      <c r="U409" s="1"/>
      <c r="V409" s="1" t="s">
        <v>2225</v>
      </c>
      <c r="W409" s="1" t="s">
        <v>202</v>
      </c>
      <c r="X409" s="1" t="s">
        <v>213</v>
      </c>
      <c r="Y409" s="1">
        <v>36</v>
      </c>
      <c r="Z409" s="1" t="s">
        <v>2226</v>
      </c>
      <c r="AA409" s="1" t="s">
        <v>975</v>
      </c>
      <c r="AB409" s="1">
        <v>3017541167</v>
      </c>
    </row>
    <row r="410" spans="1:28" ht="13.8">
      <c r="A410" s="331">
        <v>36386</v>
      </c>
      <c r="B410" s="331">
        <v>26428</v>
      </c>
      <c r="C410" s="115">
        <v>46065</v>
      </c>
      <c r="D410" s="1" t="s">
        <v>2227</v>
      </c>
      <c r="E410" s="1" t="s">
        <v>2228</v>
      </c>
      <c r="F410" s="1" t="s">
        <v>3</v>
      </c>
      <c r="G410" s="1" t="s">
        <v>623</v>
      </c>
      <c r="H410" s="1" t="s">
        <v>624</v>
      </c>
      <c r="I410" s="1" t="s">
        <v>1125</v>
      </c>
      <c r="J410" s="1" t="s">
        <v>210</v>
      </c>
      <c r="K410" s="1" t="s">
        <v>1126</v>
      </c>
      <c r="L410" s="2">
        <v>350000</v>
      </c>
      <c r="M410" s="2">
        <v>171500</v>
      </c>
      <c r="N410" s="2">
        <v>0</v>
      </c>
      <c r="O410" s="2">
        <v>7000</v>
      </c>
      <c r="P410" s="2">
        <v>0</v>
      </c>
      <c r="Q410" s="2">
        <v>0</v>
      </c>
      <c r="R410" s="2">
        <v>0</v>
      </c>
      <c r="S410" s="2">
        <v>171500</v>
      </c>
      <c r="T410" s="3">
        <v>0.49</v>
      </c>
      <c r="U410" s="1"/>
      <c r="V410" s="1" t="s">
        <v>2229</v>
      </c>
      <c r="W410" s="1" t="s">
        <v>202</v>
      </c>
      <c r="X410" s="1" t="s">
        <v>213</v>
      </c>
      <c r="Y410" s="1">
        <v>34</v>
      </c>
      <c r="Z410" s="1" t="s">
        <v>2230</v>
      </c>
      <c r="AA410" s="1" t="s">
        <v>975</v>
      </c>
      <c r="AB410" s="1">
        <v>3218231216</v>
      </c>
    </row>
    <row r="411" spans="1:28" ht="13.8">
      <c r="A411" s="331">
        <v>36300</v>
      </c>
      <c r="B411" s="331">
        <v>26263</v>
      </c>
      <c r="C411" s="115">
        <v>46065</v>
      </c>
      <c r="D411" s="1" t="s">
        <v>2014</v>
      </c>
      <c r="E411" s="1" t="s">
        <v>2231</v>
      </c>
      <c r="F411" s="1" t="s">
        <v>107</v>
      </c>
      <c r="G411" s="1">
        <v>861414</v>
      </c>
      <c r="H411" s="1" t="s">
        <v>405</v>
      </c>
      <c r="I411" s="1" t="s">
        <v>1081</v>
      </c>
      <c r="J411" s="1" t="s">
        <v>210</v>
      </c>
      <c r="K411" s="1"/>
      <c r="L411" s="2">
        <v>0</v>
      </c>
      <c r="M411" s="2">
        <v>0</v>
      </c>
      <c r="N411" s="2">
        <v>219111.09</v>
      </c>
      <c r="O411" s="2">
        <v>0</v>
      </c>
      <c r="P411" s="2">
        <v>0</v>
      </c>
      <c r="Q411" s="2">
        <v>134047.91</v>
      </c>
      <c r="R411" s="2">
        <v>0</v>
      </c>
      <c r="S411" s="2">
        <v>-219111.09</v>
      </c>
      <c r="T411" s="3">
        <v>0</v>
      </c>
      <c r="U411" s="1"/>
      <c r="V411" s="1"/>
      <c r="W411" s="1" t="s">
        <v>63</v>
      </c>
      <c r="X411" s="1" t="s">
        <v>225</v>
      </c>
      <c r="Y411" s="1">
        <v>36</v>
      </c>
      <c r="Z411" s="1"/>
      <c r="AA411" s="1" t="s">
        <v>975</v>
      </c>
      <c r="AB411" s="1">
        <v>3016039555</v>
      </c>
    </row>
    <row r="412" spans="1:28" ht="13.8">
      <c r="A412" s="331">
        <v>36404</v>
      </c>
      <c r="B412" s="331">
        <v>26454</v>
      </c>
      <c r="C412" s="115">
        <v>46065</v>
      </c>
      <c r="D412" s="1" t="s">
        <v>2232</v>
      </c>
      <c r="E412" s="1" t="s">
        <v>2233</v>
      </c>
      <c r="F412" s="1" t="s">
        <v>107</v>
      </c>
      <c r="G412" s="1">
        <v>861414</v>
      </c>
      <c r="H412" s="1" t="s">
        <v>405</v>
      </c>
      <c r="I412" s="1" t="s">
        <v>1081</v>
      </c>
      <c r="J412" s="1" t="s">
        <v>210</v>
      </c>
      <c r="K412" s="1"/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3">
        <v>0</v>
      </c>
      <c r="U412" s="1"/>
      <c r="V412" s="1"/>
      <c r="W412" s="1" t="s">
        <v>63</v>
      </c>
      <c r="X412" s="1" t="s">
        <v>213</v>
      </c>
      <c r="Y412" s="1">
        <v>34</v>
      </c>
      <c r="Z412" s="1"/>
      <c r="AA412" s="1" t="s">
        <v>975</v>
      </c>
      <c r="AB412" s="1">
        <v>3104245728</v>
      </c>
    </row>
    <row r="413" spans="1:28" ht="13.8">
      <c r="A413" s="331">
        <v>35262</v>
      </c>
      <c r="B413" s="331">
        <v>26407</v>
      </c>
      <c r="C413" s="115">
        <v>46065</v>
      </c>
      <c r="D413" s="1" t="s">
        <v>2234</v>
      </c>
      <c r="E413" s="1" t="s">
        <v>2235</v>
      </c>
      <c r="F413" s="1" t="s">
        <v>127</v>
      </c>
      <c r="G413" s="1" t="s">
        <v>2236</v>
      </c>
      <c r="H413" s="1" t="s">
        <v>2237</v>
      </c>
      <c r="I413" s="1" t="s">
        <v>1065</v>
      </c>
      <c r="J413" s="1" t="s">
        <v>210</v>
      </c>
      <c r="K413" s="1"/>
      <c r="L413" s="2">
        <v>0</v>
      </c>
      <c r="M413" s="2">
        <v>0</v>
      </c>
      <c r="N413" s="2">
        <v>58046.22</v>
      </c>
      <c r="O413" s="2">
        <v>0</v>
      </c>
      <c r="P413" s="2">
        <v>0</v>
      </c>
      <c r="Q413" s="2">
        <v>17453.78</v>
      </c>
      <c r="R413" s="2">
        <v>0</v>
      </c>
      <c r="S413" s="2">
        <v>-58046.22</v>
      </c>
      <c r="T413" s="3">
        <v>0</v>
      </c>
      <c r="U413" s="1"/>
      <c r="V413" s="1"/>
      <c r="W413" s="1" t="s">
        <v>63</v>
      </c>
      <c r="X413" s="1" t="s">
        <v>225</v>
      </c>
      <c r="Y413" s="1">
        <v>26</v>
      </c>
      <c r="Z413" s="1"/>
      <c r="AA413" s="1" t="s">
        <v>975</v>
      </c>
      <c r="AB413" s="1">
        <v>3127675590</v>
      </c>
    </row>
    <row r="414" spans="1:28" ht="13.8">
      <c r="A414" s="331">
        <v>35264</v>
      </c>
      <c r="B414" s="331">
        <v>26409</v>
      </c>
      <c r="C414" s="115">
        <v>46065</v>
      </c>
      <c r="D414" s="1" t="s">
        <v>1303</v>
      </c>
      <c r="E414" s="1" t="s">
        <v>1304</v>
      </c>
      <c r="F414" s="1" t="s">
        <v>127</v>
      </c>
      <c r="G414" s="1" t="s">
        <v>2236</v>
      </c>
      <c r="H414" s="1" t="s">
        <v>2237</v>
      </c>
      <c r="I414" s="1" t="s">
        <v>1065</v>
      </c>
      <c r="J414" s="1" t="s">
        <v>210</v>
      </c>
      <c r="K414" s="1"/>
      <c r="L414" s="2">
        <v>0</v>
      </c>
      <c r="M414" s="2">
        <v>0</v>
      </c>
      <c r="N414" s="2">
        <v>58046.22</v>
      </c>
      <c r="O414" s="2">
        <v>0</v>
      </c>
      <c r="P414" s="2">
        <v>0</v>
      </c>
      <c r="Q414" s="2">
        <v>17453.78</v>
      </c>
      <c r="R414" s="2">
        <v>0</v>
      </c>
      <c r="S414" s="2">
        <v>-58046.22</v>
      </c>
      <c r="T414" s="3">
        <v>0</v>
      </c>
      <c r="U414" s="1"/>
      <c r="V414" s="1"/>
      <c r="W414" s="1" t="s">
        <v>63</v>
      </c>
      <c r="X414" s="1" t="s">
        <v>225</v>
      </c>
      <c r="Y414" s="1">
        <v>26</v>
      </c>
      <c r="Z414" s="1"/>
      <c r="AA414" s="1" t="s">
        <v>975</v>
      </c>
      <c r="AB414" s="1">
        <v>3053742727</v>
      </c>
    </row>
    <row r="415" spans="1:28" ht="13.8">
      <c r="A415" s="331">
        <v>34602</v>
      </c>
      <c r="B415" s="331">
        <v>25981</v>
      </c>
      <c r="C415" s="115">
        <v>46065</v>
      </c>
      <c r="D415" s="1" t="s">
        <v>1306</v>
      </c>
      <c r="E415" s="1" t="s">
        <v>1307</v>
      </c>
      <c r="F415" s="1" t="s">
        <v>127</v>
      </c>
      <c r="G415" s="1" t="s">
        <v>391</v>
      </c>
      <c r="H415" s="1" t="s">
        <v>392</v>
      </c>
      <c r="I415" s="1" t="s">
        <v>1065</v>
      </c>
      <c r="J415" s="1" t="s">
        <v>210</v>
      </c>
      <c r="K415" s="1"/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3">
        <v>0</v>
      </c>
      <c r="U415" s="1"/>
      <c r="V415" s="1"/>
      <c r="W415" s="1" t="s">
        <v>63</v>
      </c>
      <c r="X415" s="1" t="s">
        <v>225</v>
      </c>
      <c r="Y415" s="1">
        <v>23</v>
      </c>
      <c r="Z415" s="1"/>
      <c r="AA415" s="1" t="s">
        <v>975</v>
      </c>
      <c r="AB415" s="1">
        <v>3197273627</v>
      </c>
    </row>
    <row r="416" spans="1:28" ht="13.8">
      <c r="A416" s="331">
        <v>34602</v>
      </c>
      <c r="B416" s="331">
        <v>25982</v>
      </c>
      <c r="C416" s="115">
        <v>46065</v>
      </c>
      <c r="D416" s="1" t="s">
        <v>1306</v>
      </c>
      <c r="E416" s="1" t="s">
        <v>1307</v>
      </c>
      <c r="F416" s="1" t="s">
        <v>127</v>
      </c>
      <c r="G416" s="1" t="s">
        <v>1308</v>
      </c>
      <c r="H416" s="1" t="s">
        <v>1309</v>
      </c>
      <c r="I416" s="1" t="s">
        <v>1062</v>
      </c>
      <c r="J416" s="1" t="s">
        <v>210</v>
      </c>
      <c r="K416" s="1"/>
      <c r="L416" s="2">
        <v>0</v>
      </c>
      <c r="M416" s="2">
        <v>0</v>
      </c>
      <c r="N416" s="2">
        <v>3810</v>
      </c>
      <c r="O416" s="2">
        <v>0</v>
      </c>
      <c r="P416" s="2">
        <v>0</v>
      </c>
      <c r="Q416" s="2">
        <v>4034</v>
      </c>
      <c r="R416" s="2">
        <v>0</v>
      </c>
      <c r="S416" s="2">
        <v>-3810</v>
      </c>
      <c r="T416" s="3">
        <v>0</v>
      </c>
      <c r="U416" s="1"/>
      <c r="V416" s="1"/>
      <c r="W416" s="1" t="s">
        <v>63</v>
      </c>
      <c r="X416" s="1" t="s">
        <v>225</v>
      </c>
      <c r="Y416" s="1">
        <v>23</v>
      </c>
      <c r="Z416" s="1"/>
      <c r="AA416" s="1" t="s">
        <v>975</v>
      </c>
      <c r="AB416" s="1">
        <v>3197273627</v>
      </c>
    </row>
    <row r="417" spans="1:28" ht="13.8">
      <c r="A417" s="331">
        <v>34741</v>
      </c>
      <c r="B417" s="331">
        <v>26374</v>
      </c>
      <c r="C417" s="115">
        <v>46065</v>
      </c>
      <c r="D417" s="1" t="s">
        <v>2079</v>
      </c>
      <c r="E417" s="1" t="s">
        <v>2080</v>
      </c>
      <c r="F417" s="1" t="s">
        <v>3</v>
      </c>
      <c r="G417" s="1" t="s">
        <v>324</v>
      </c>
      <c r="H417" s="1" t="s">
        <v>325</v>
      </c>
      <c r="I417" s="1" t="s">
        <v>1097</v>
      </c>
      <c r="J417" s="1" t="s">
        <v>210</v>
      </c>
      <c r="K417" s="1" t="s">
        <v>1097</v>
      </c>
      <c r="L417" s="2">
        <v>650000</v>
      </c>
      <c r="M417" s="2">
        <v>325000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325000</v>
      </c>
      <c r="T417" s="3">
        <v>0.5</v>
      </c>
      <c r="U417" s="1"/>
      <c r="V417" s="1" t="s">
        <v>2238</v>
      </c>
      <c r="W417" s="1" t="s">
        <v>202</v>
      </c>
      <c r="X417" s="1" t="s">
        <v>248</v>
      </c>
      <c r="Y417" s="1">
        <v>32</v>
      </c>
      <c r="Z417" s="1" t="s">
        <v>2239</v>
      </c>
      <c r="AA417" s="1" t="s">
        <v>975</v>
      </c>
      <c r="AB417" s="1">
        <v>3163330323</v>
      </c>
    </row>
    <row r="418" spans="1:28" ht="13.8">
      <c r="A418" s="331">
        <v>36414</v>
      </c>
      <c r="B418" s="331">
        <v>26468</v>
      </c>
      <c r="C418" s="115">
        <v>46065</v>
      </c>
      <c r="D418" s="1" t="s">
        <v>2150</v>
      </c>
      <c r="E418" s="1" t="s">
        <v>2151</v>
      </c>
      <c r="F418" s="1" t="s">
        <v>107</v>
      </c>
      <c r="G418" s="1">
        <v>890304</v>
      </c>
      <c r="H418" s="1" t="s">
        <v>913</v>
      </c>
      <c r="I418" s="1" t="s">
        <v>972</v>
      </c>
      <c r="J418" s="1" t="s">
        <v>223</v>
      </c>
      <c r="K418" s="1"/>
      <c r="L418" s="2">
        <v>240000</v>
      </c>
      <c r="M418" s="2">
        <v>120000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120000</v>
      </c>
      <c r="T418" s="3">
        <v>0.5</v>
      </c>
      <c r="U418" s="1"/>
      <c r="V418" s="1" t="s">
        <v>2240</v>
      </c>
      <c r="W418" s="1" t="s">
        <v>202</v>
      </c>
      <c r="X418" s="1" t="s">
        <v>213</v>
      </c>
      <c r="Y418" s="1">
        <v>73</v>
      </c>
      <c r="Z418" s="1" t="s">
        <v>2241</v>
      </c>
      <c r="AA418" s="1" t="s">
        <v>975</v>
      </c>
      <c r="AB418" s="1">
        <v>3107444618</v>
      </c>
    </row>
    <row r="419" spans="1:28" ht="13.8">
      <c r="A419" s="332">
        <v>36418</v>
      </c>
      <c r="B419" s="332">
        <v>26475</v>
      </c>
      <c r="C419" s="38">
        <v>46065</v>
      </c>
      <c r="D419" s="4" t="s">
        <v>2150</v>
      </c>
      <c r="E419" s="4" t="s">
        <v>2151</v>
      </c>
      <c r="F419" s="4" t="s">
        <v>107</v>
      </c>
      <c r="G419" s="4" t="s">
        <v>1996</v>
      </c>
      <c r="H419" s="4" t="s">
        <v>1997</v>
      </c>
      <c r="I419" s="4" t="s">
        <v>1062</v>
      </c>
      <c r="J419" s="4" t="s">
        <v>210</v>
      </c>
      <c r="K419" s="4"/>
      <c r="L419" s="5">
        <v>400000</v>
      </c>
      <c r="M419" s="5">
        <v>188234</v>
      </c>
      <c r="N419" s="5">
        <v>10218.27</v>
      </c>
      <c r="O419" s="5">
        <v>0</v>
      </c>
      <c r="P419" s="5">
        <v>0</v>
      </c>
      <c r="Q419" s="5">
        <v>13313.73</v>
      </c>
      <c r="R419" s="5">
        <v>0</v>
      </c>
      <c r="S419" s="5">
        <v>201547.73</v>
      </c>
      <c r="T419" s="6" t="s">
        <v>224</v>
      </c>
      <c r="U419" s="1"/>
      <c r="V419" s="1" t="s">
        <v>2242</v>
      </c>
      <c r="W419" s="1" t="s">
        <v>202</v>
      </c>
      <c r="X419" s="1" t="s">
        <v>213</v>
      </c>
      <c r="Y419" s="1">
        <v>73</v>
      </c>
      <c r="Z419" s="1" t="s">
        <v>2243</v>
      </c>
      <c r="AA419" s="1" t="s">
        <v>975</v>
      </c>
      <c r="AB419" s="1">
        <v>3107444618</v>
      </c>
    </row>
    <row r="420" spans="1:28" ht="13.8">
      <c r="A420" s="331">
        <v>36406</v>
      </c>
      <c r="B420" s="331">
        <v>26458</v>
      </c>
      <c r="C420" s="115">
        <v>46065</v>
      </c>
      <c r="D420" s="1" t="s">
        <v>2244</v>
      </c>
      <c r="E420" s="1" t="s">
        <v>2245</v>
      </c>
      <c r="F420" s="1" t="s">
        <v>3</v>
      </c>
      <c r="G420" s="1">
        <v>890242</v>
      </c>
      <c r="H420" s="1" t="s">
        <v>331</v>
      </c>
      <c r="I420" s="1" t="s">
        <v>972</v>
      </c>
      <c r="J420" s="1" t="s">
        <v>223</v>
      </c>
      <c r="K420" s="1"/>
      <c r="L420" s="2">
        <v>250000</v>
      </c>
      <c r="M420" s="2">
        <v>122500</v>
      </c>
      <c r="N420" s="2">
        <v>0</v>
      </c>
      <c r="O420" s="2">
        <v>5000</v>
      </c>
      <c r="P420" s="2">
        <v>0</v>
      </c>
      <c r="Q420" s="2">
        <v>0</v>
      </c>
      <c r="R420" s="2">
        <v>0</v>
      </c>
      <c r="S420" s="2">
        <v>122500</v>
      </c>
      <c r="T420" s="3">
        <v>0.49</v>
      </c>
      <c r="U420" s="1"/>
      <c r="V420" s="1" t="s">
        <v>2246</v>
      </c>
      <c r="W420" s="1" t="s">
        <v>202</v>
      </c>
      <c r="X420" s="1" t="s">
        <v>277</v>
      </c>
      <c r="Y420" s="1">
        <v>60</v>
      </c>
      <c r="Z420" s="1" t="s">
        <v>2247</v>
      </c>
      <c r="AA420" s="1" t="s">
        <v>1007</v>
      </c>
      <c r="AB420" s="1">
        <v>3003743496</v>
      </c>
    </row>
    <row r="421" spans="1:28" ht="13.8">
      <c r="A421" s="331">
        <v>36415</v>
      </c>
      <c r="B421" s="331">
        <v>26472</v>
      </c>
      <c r="C421" s="115">
        <v>46065</v>
      </c>
      <c r="D421" s="1" t="s">
        <v>2077</v>
      </c>
      <c r="E421" s="1" t="s">
        <v>2078</v>
      </c>
      <c r="F421" s="1" t="s">
        <v>107</v>
      </c>
      <c r="G421" s="1">
        <v>861414</v>
      </c>
      <c r="H421" s="1" t="s">
        <v>405</v>
      </c>
      <c r="I421" s="1" t="s">
        <v>1081</v>
      </c>
      <c r="J421" s="1" t="s">
        <v>210</v>
      </c>
      <c r="K421" s="1"/>
      <c r="L421" s="2">
        <v>0</v>
      </c>
      <c r="M421" s="2">
        <v>0</v>
      </c>
      <c r="N421" s="2">
        <v>221206.25</v>
      </c>
      <c r="O421" s="2">
        <v>0</v>
      </c>
      <c r="P421" s="2">
        <v>0</v>
      </c>
      <c r="Q421" s="2">
        <v>131952.75</v>
      </c>
      <c r="R421" s="2">
        <v>0</v>
      </c>
      <c r="S421" s="2">
        <v>-221206.25</v>
      </c>
      <c r="T421" s="3">
        <v>0</v>
      </c>
      <c r="U421" s="1"/>
      <c r="V421" s="1"/>
      <c r="W421" s="1" t="s">
        <v>63</v>
      </c>
      <c r="X421" s="1" t="s">
        <v>213</v>
      </c>
      <c r="Y421" s="1">
        <v>26</v>
      </c>
      <c r="Z421" s="1"/>
      <c r="AA421" s="1" t="s">
        <v>975</v>
      </c>
      <c r="AB421" s="1">
        <v>3135054711</v>
      </c>
    </row>
    <row r="422" spans="1:28" ht="13.8">
      <c r="A422" s="331">
        <v>30646</v>
      </c>
      <c r="B422" s="331">
        <v>22842</v>
      </c>
      <c r="C422" s="115">
        <v>46065</v>
      </c>
      <c r="D422" s="1" t="s">
        <v>2248</v>
      </c>
      <c r="E422" s="1" t="s">
        <v>2249</v>
      </c>
      <c r="F422" s="1" t="s">
        <v>2</v>
      </c>
      <c r="G422" s="1" t="s">
        <v>499</v>
      </c>
      <c r="H422" s="1" t="s">
        <v>500</v>
      </c>
      <c r="I422" s="1" t="s">
        <v>1125</v>
      </c>
      <c r="J422" s="1" t="s">
        <v>210</v>
      </c>
      <c r="K422" s="1" t="s">
        <v>1126</v>
      </c>
      <c r="L422" s="2">
        <v>650000</v>
      </c>
      <c r="M422" s="2">
        <v>318500</v>
      </c>
      <c r="N422" s="2">
        <v>0</v>
      </c>
      <c r="O422" s="2">
        <v>13000</v>
      </c>
      <c r="P422" s="2">
        <v>0</v>
      </c>
      <c r="Q422" s="2">
        <v>0</v>
      </c>
      <c r="R422" s="2">
        <v>0</v>
      </c>
      <c r="S422" s="2">
        <v>318500</v>
      </c>
      <c r="T422" s="3">
        <v>0.49</v>
      </c>
      <c r="U422" s="1"/>
      <c r="V422" s="1" t="s">
        <v>2250</v>
      </c>
      <c r="W422" s="1" t="s">
        <v>202</v>
      </c>
      <c r="X422" s="1" t="s">
        <v>213</v>
      </c>
      <c r="Y422" s="1">
        <v>41</v>
      </c>
      <c r="Z422" s="1" t="s">
        <v>2251</v>
      </c>
      <c r="AA422" s="1" t="s">
        <v>975</v>
      </c>
      <c r="AB422" s="1">
        <v>3007562695</v>
      </c>
    </row>
    <row r="423" spans="1:28" ht="13.8">
      <c r="A423" s="331">
        <v>34695</v>
      </c>
      <c r="B423" s="331">
        <v>26338</v>
      </c>
      <c r="C423" s="115">
        <v>46065</v>
      </c>
      <c r="D423" s="1" t="s">
        <v>2042</v>
      </c>
      <c r="E423" s="1" t="s">
        <v>2043</v>
      </c>
      <c r="F423" s="1" t="s">
        <v>2</v>
      </c>
      <c r="G423" s="1">
        <v>861411</v>
      </c>
      <c r="H423" s="1" t="s">
        <v>406</v>
      </c>
      <c r="I423" s="1" t="s">
        <v>1081</v>
      </c>
      <c r="J423" s="1" t="s">
        <v>210</v>
      </c>
      <c r="K423" s="1"/>
      <c r="L423" s="2">
        <v>1150000</v>
      </c>
      <c r="M423" s="2">
        <v>406125</v>
      </c>
      <c r="N423" s="2">
        <v>205786</v>
      </c>
      <c r="O423" s="2">
        <v>23000</v>
      </c>
      <c r="P423" s="2">
        <v>0</v>
      </c>
      <c r="Q423" s="2">
        <v>108964</v>
      </c>
      <c r="R423" s="2">
        <v>0</v>
      </c>
      <c r="S423" s="2">
        <v>515089</v>
      </c>
      <c r="T423" s="3">
        <v>0.44790347826087001</v>
      </c>
      <c r="U423" s="1"/>
      <c r="V423" s="1" t="s">
        <v>2252</v>
      </c>
      <c r="W423" s="1" t="s">
        <v>202</v>
      </c>
      <c r="X423" s="1" t="s">
        <v>213</v>
      </c>
      <c r="Y423" s="1">
        <v>48</v>
      </c>
      <c r="Z423" s="1" t="s">
        <v>2253</v>
      </c>
      <c r="AA423" s="1" t="s">
        <v>975</v>
      </c>
      <c r="AB423" s="1">
        <v>3148112376</v>
      </c>
    </row>
    <row r="424" spans="1:28" ht="13.8">
      <c r="A424" s="331">
        <v>34888</v>
      </c>
      <c r="B424" s="331">
        <v>23922</v>
      </c>
      <c r="C424" s="115">
        <v>46065</v>
      </c>
      <c r="D424" s="1" t="s">
        <v>358</v>
      </c>
      <c r="E424" s="1" t="s">
        <v>359</v>
      </c>
      <c r="F424" s="1" t="s">
        <v>2</v>
      </c>
      <c r="G424" s="1" t="s">
        <v>431</v>
      </c>
      <c r="H424" s="1" t="s">
        <v>432</v>
      </c>
      <c r="I424" s="1" t="s">
        <v>1047</v>
      </c>
      <c r="J424" s="1" t="s">
        <v>210</v>
      </c>
      <c r="K424" s="1" t="s">
        <v>1097</v>
      </c>
      <c r="L424" s="2">
        <v>450000</v>
      </c>
      <c r="M424" s="2">
        <v>220500</v>
      </c>
      <c r="N424" s="2">
        <v>0</v>
      </c>
      <c r="O424" s="2">
        <v>9000</v>
      </c>
      <c r="P424" s="2">
        <v>0</v>
      </c>
      <c r="Q424" s="2">
        <v>0</v>
      </c>
      <c r="R424" s="2">
        <v>0</v>
      </c>
      <c r="S424" s="2">
        <v>220500</v>
      </c>
      <c r="T424" s="3">
        <v>0.49</v>
      </c>
      <c r="U424" s="1"/>
      <c r="V424" s="1" t="s">
        <v>2254</v>
      </c>
      <c r="W424" s="1" t="s">
        <v>202</v>
      </c>
      <c r="X424" s="1" t="s">
        <v>248</v>
      </c>
      <c r="Y424" s="1">
        <v>67</v>
      </c>
      <c r="Z424" s="1" t="s">
        <v>2255</v>
      </c>
      <c r="AA424" s="1" t="s">
        <v>975</v>
      </c>
      <c r="AB424" s="1">
        <v>3218375053</v>
      </c>
    </row>
    <row r="425" spans="1:28" ht="13.8">
      <c r="A425" s="331">
        <v>25748</v>
      </c>
      <c r="B425" s="331">
        <v>26469</v>
      </c>
      <c r="C425" s="115">
        <v>46065</v>
      </c>
      <c r="D425" s="1" t="s">
        <v>2069</v>
      </c>
      <c r="E425" s="1" t="s">
        <v>2222</v>
      </c>
      <c r="F425" s="1" t="s">
        <v>3</v>
      </c>
      <c r="G425" s="1" t="s">
        <v>324</v>
      </c>
      <c r="H425" s="1" t="s">
        <v>325</v>
      </c>
      <c r="I425" s="1" t="s">
        <v>1097</v>
      </c>
      <c r="J425" s="1" t="s">
        <v>210</v>
      </c>
      <c r="K425" s="1" t="s">
        <v>1097</v>
      </c>
      <c r="L425" s="2">
        <v>650000</v>
      </c>
      <c r="M425" s="2">
        <v>318500</v>
      </c>
      <c r="N425" s="2">
        <v>0</v>
      </c>
      <c r="O425" s="2">
        <v>13000</v>
      </c>
      <c r="P425" s="2">
        <v>0</v>
      </c>
      <c r="Q425" s="2">
        <v>0</v>
      </c>
      <c r="R425" s="2">
        <v>0</v>
      </c>
      <c r="S425" s="2">
        <v>318500</v>
      </c>
      <c r="T425" s="3">
        <v>0.49</v>
      </c>
      <c r="U425" s="1"/>
      <c r="V425" s="1" t="s">
        <v>2256</v>
      </c>
      <c r="W425" s="1" t="s">
        <v>202</v>
      </c>
      <c r="X425" s="1" t="s">
        <v>277</v>
      </c>
      <c r="Y425" s="1">
        <v>59</v>
      </c>
      <c r="Z425" s="1" t="s">
        <v>2257</v>
      </c>
      <c r="AA425" s="1" t="s">
        <v>975</v>
      </c>
      <c r="AB425" s="1">
        <v>16479724187</v>
      </c>
    </row>
    <row r="426" spans="1:28" ht="13.8">
      <c r="A426" s="331">
        <v>25748</v>
      </c>
      <c r="B426" s="331">
        <v>26471</v>
      </c>
      <c r="C426" s="115">
        <v>46065</v>
      </c>
      <c r="D426" s="1" t="s">
        <v>2069</v>
      </c>
      <c r="E426" s="1" t="s">
        <v>2222</v>
      </c>
      <c r="F426" s="1" t="s">
        <v>3</v>
      </c>
      <c r="G426" s="1" t="s">
        <v>2258</v>
      </c>
      <c r="H426" s="1" t="s">
        <v>2259</v>
      </c>
      <c r="I426" s="1" t="s">
        <v>1065</v>
      </c>
      <c r="J426" s="1" t="s">
        <v>210</v>
      </c>
      <c r="K426" s="1"/>
      <c r="L426" s="2">
        <v>2050000</v>
      </c>
      <c r="M426" s="2">
        <v>397500</v>
      </c>
      <c r="N426" s="2">
        <v>1029588</v>
      </c>
      <c r="O426" s="2">
        <v>41000</v>
      </c>
      <c r="P426" s="2">
        <v>0</v>
      </c>
      <c r="Q426" s="2">
        <v>184412</v>
      </c>
      <c r="R426" s="2">
        <v>0</v>
      </c>
      <c r="S426" s="2">
        <v>581912</v>
      </c>
      <c r="T426" s="3">
        <v>0.28385951219512001</v>
      </c>
      <c r="U426" s="1"/>
      <c r="V426" s="1" t="s">
        <v>2256</v>
      </c>
      <c r="W426" s="1" t="s">
        <v>202</v>
      </c>
      <c r="X426" s="1" t="s">
        <v>277</v>
      </c>
      <c r="Y426" s="1">
        <v>59</v>
      </c>
      <c r="Z426" s="1" t="s">
        <v>2257</v>
      </c>
      <c r="AA426" s="1" t="s">
        <v>975</v>
      </c>
      <c r="AB426" s="1">
        <v>16479724187</v>
      </c>
    </row>
    <row r="427" spans="1:28" ht="13.8">
      <c r="A427" s="331">
        <v>35889</v>
      </c>
      <c r="B427" s="331">
        <v>25500</v>
      </c>
      <c r="C427" s="115">
        <v>46065</v>
      </c>
      <c r="D427" s="1" t="s">
        <v>1994</v>
      </c>
      <c r="E427" s="1" t="s">
        <v>1995</v>
      </c>
      <c r="F427" s="1" t="s">
        <v>3</v>
      </c>
      <c r="G427" s="1">
        <v>890242</v>
      </c>
      <c r="H427" s="1" t="s">
        <v>331</v>
      </c>
      <c r="I427" s="1" t="s">
        <v>972</v>
      </c>
      <c r="J427" s="1" t="s">
        <v>223</v>
      </c>
      <c r="K427" s="1"/>
      <c r="L427" s="2">
        <v>250000</v>
      </c>
      <c r="M427" s="2">
        <v>122500</v>
      </c>
      <c r="N427" s="2">
        <v>0</v>
      </c>
      <c r="O427" s="2">
        <v>5000</v>
      </c>
      <c r="P427" s="2">
        <v>0</v>
      </c>
      <c r="Q427" s="2">
        <v>0</v>
      </c>
      <c r="R427" s="2">
        <v>0</v>
      </c>
      <c r="S427" s="2">
        <v>122500</v>
      </c>
      <c r="T427" s="3">
        <v>0.49</v>
      </c>
      <c r="U427" s="1"/>
      <c r="V427" s="1" t="s">
        <v>2260</v>
      </c>
      <c r="W427" s="1" t="s">
        <v>202</v>
      </c>
      <c r="X427" s="1" t="s">
        <v>213</v>
      </c>
      <c r="Y427" s="1">
        <v>49</v>
      </c>
      <c r="Z427" s="1" t="s">
        <v>2261</v>
      </c>
      <c r="AA427" s="1" t="s">
        <v>1028</v>
      </c>
      <c r="AB427" s="1">
        <v>3017086842</v>
      </c>
    </row>
    <row r="428" spans="1:28" ht="13.8">
      <c r="A428" s="331">
        <v>30646</v>
      </c>
      <c r="B428" s="331">
        <v>26460</v>
      </c>
      <c r="C428" s="115">
        <v>46065</v>
      </c>
      <c r="D428" s="1" t="s">
        <v>2248</v>
      </c>
      <c r="E428" s="1" t="s">
        <v>2249</v>
      </c>
      <c r="F428" s="1" t="s">
        <v>2</v>
      </c>
      <c r="G428" s="1" t="s">
        <v>255</v>
      </c>
      <c r="H428" s="1" t="s">
        <v>256</v>
      </c>
      <c r="I428" s="1" t="s">
        <v>256</v>
      </c>
      <c r="J428" s="1" t="s">
        <v>210</v>
      </c>
      <c r="K428" s="1" t="s">
        <v>1066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3">
        <v>0</v>
      </c>
      <c r="U428" s="1"/>
      <c r="V428" s="1"/>
      <c r="W428" s="1" t="s">
        <v>63</v>
      </c>
      <c r="X428" s="1" t="s">
        <v>213</v>
      </c>
      <c r="Y428" s="1">
        <v>41</v>
      </c>
      <c r="Z428" s="1"/>
      <c r="AA428" s="1" t="s">
        <v>975</v>
      </c>
      <c r="AB428" s="1">
        <v>3007562695</v>
      </c>
    </row>
    <row r="429" spans="1:28" ht="13.8">
      <c r="A429" s="331">
        <v>25748</v>
      </c>
      <c r="B429" s="331">
        <v>26470</v>
      </c>
      <c r="C429" s="115">
        <v>46065</v>
      </c>
      <c r="D429" s="1" t="s">
        <v>2069</v>
      </c>
      <c r="E429" s="1" t="s">
        <v>2222</v>
      </c>
      <c r="F429" s="1" t="s">
        <v>3</v>
      </c>
      <c r="G429" s="1" t="s">
        <v>1031</v>
      </c>
      <c r="H429" s="1" t="s">
        <v>1032</v>
      </c>
      <c r="I429" s="1" t="s">
        <v>1033</v>
      </c>
      <c r="J429" s="1" t="s">
        <v>210</v>
      </c>
      <c r="K429" s="1" t="s">
        <v>1033</v>
      </c>
      <c r="L429" s="2">
        <v>800000</v>
      </c>
      <c r="M429" s="2">
        <v>392000</v>
      </c>
      <c r="N429" s="2">
        <v>0</v>
      </c>
      <c r="O429" s="2">
        <v>16000</v>
      </c>
      <c r="P429" s="2">
        <v>0</v>
      </c>
      <c r="Q429" s="2">
        <v>0</v>
      </c>
      <c r="R429" s="2">
        <v>0</v>
      </c>
      <c r="S429" s="2">
        <v>392000</v>
      </c>
      <c r="T429" s="3">
        <v>0.49</v>
      </c>
      <c r="U429" s="1"/>
      <c r="V429" s="1" t="s">
        <v>2256</v>
      </c>
      <c r="W429" s="1" t="s">
        <v>202</v>
      </c>
      <c r="X429" s="1" t="s">
        <v>277</v>
      </c>
      <c r="Y429" s="1">
        <v>59</v>
      </c>
      <c r="Z429" s="1" t="s">
        <v>2257</v>
      </c>
      <c r="AA429" s="1" t="s">
        <v>975</v>
      </c>
      <c r="AB429" s="1">
        <v>16479724187</v>
      </c>
    </row>
    <row r="430" spans="1:28" ht="13.8">
      <c r="A430" s="331">
        <v>36359</v>
      </c>
      <c r="B430" s="331">
        <v>26373</v>
      </c>
      <c r="C430" s="115">
        <v>46065</v>
      </c>
      <c r="D430" s="1" t="s">
        <v>2077</v>
      </c>
      <c r="E430" s="1" t="s">
        <v>2078</v>
      </c>
      <c r="F430" s="1" t="s">
        <v>3</v>
      </c>
      <c r="G430" s="1" t="s">
        <v>324</v>
      </c>
      <c r="H430" s="1" t="s">
        <v>325</v>
      </c>
      <c r="I430" s="1" t="s">
        <v>1097</v>
      </c>
      <c r="J430" s="1" t="s">
        <v>210</v>
      </c>
      <c r="K430" s="1" t="s">
        <v>1097</v>
      </c>
      <c r="L430" s="2">
        <v>650000</v>
      </c>
      <c r="M430" s="2">
        <v>325000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325000</v>
      </c>
      <c r="T430" s="3">
        <v>0.5</v>
      </c>
      <c r="U430" s="1"/>
      <c r="V430" s="1" t="s">
        <v>2262</v>
      </c>
      <c r="W430" s="1" t="s">
        <v>202</v>
      </c>
      <c r="X430" s="1" t="s">
        <v>213</v>
      </c>
      <c r="Y430" s="1">
        <v>26</v>
      </c>
      <c r="Z430" s="1" t="s">
        <v>2263</v>
      </c>
      <c r="AA430" s="1" t="s">
        <v>975</v>
      </c>
      <c r="AB430" s="1">
        <v>3135054711</v>
      </c>
    </row>
    <row r="431" spans="1:28" ht="13.8">
      <c r="A431" s="331">
        <v>36348</v>
      </c>
      <c r="B431" s="331">
        <v>26354</v>
      </c>
      <c r="C431" s="115">
        <v>46065</v>
      </c>
      <c r="D431" s="1" t="s">
        <v>1368</v>
      </c>
      <c r="E431" s="1" t="s">
        <v>1369</v>
      </c>
      <c r="F431" s="1" t="s">
        <v>3</v>
      </c>
      <c r="G431" s="1" t="s">
        <v>341</v>
      </c>
      <c r="H431" s="1" t="s">
        <v>342</v>
      </c>
      <c r="I431" s="1" t="s">
        <v>1125</v>
      </c>
      <c r="J431" s="1" t="s">
        <v>210</v>
      </c>
      <c r="K431" s="1" t="s">
        <v>1126</v>
      </c>
      <c r="L431" s="2">
        <v>650000</v>
      </c>
      <c r="M431" s="2">
        <v>317323.40000000002</v>
      </c>
      <c r="N431" s="2">
        <v>2000.01</v>
      </c>
      <c r="O431" s="2">
        <v>13000</v>
      </c>
      <c r="P431" s="2">
        <v>0</v>
      </c>
      <c r="Q431" s="2">
        <v>353.19</v>
      </c>
      <c r="R431" s="2">
        <v>0</v>
      </c>
      <c r="S431" s="2">
        <v>317676.59000000003</v>
      </c>
      <c r="T431" s="3">
        <v>0.48873321538462</v>
      </c>
      <c r="U431" s="1"/>
      <c r="V431" s="1" t="s">
        <v>2264</v>
      </c>
      <c r="W431" s="1" t="s">
        <v>202</v>
      </c>
      <c r="X431" s="1" t="s">
        <v>213</v>
      </c>
      <c r="Y431" s="1">
        <v>51</v>
      </c>
      <c r="Z431" s="1" t="s">
        <v>2265</v>
      </c>
      <c r="AA431" s="1" t="s">
        <v>975</v>
      </c>
      <c r="AB431" s="1">
        <v>3168202765</v>
      </c>
    </row>
    <row r="432" spans="1:28" ht="13.8">
      <c r="A432" s="331">
        <v>36420</v>
      </c>
      <c r="B432" s="331">
        <v>26479</v>
      </c>
      <c r="C432" s="115">
        <v>46065</v>
      </c>
      <c r="D432" s="1" t="s">
        <v>2084</v>
      </c>
      <c r="E432" s="1" t="s">
        <v>2085</v>
      </c>
      <c r="F432" s="1" t="s">
        <v>3</v>
      </c>
      <c r="G432" s="1" t="s">
        <v>324</v>
      </c>
      <c r="H432" s="1" t="s">
        <v>325</v>
      </c>
      <c r="I432" s="1" t="s">
        <v>1097</v>
      </c>
      <c r="J432" s="1" t="s">
        <v>210</v>
      </c>
      <c r="K432" s="1" t="s">
        <v>1097</v>
      </c>
      <c r="L432" s="2">
        <v>650000</v>
      </c>
      <c r="M432" s="2">
        <v>318500</v>
      </c>
      <c r="N432" s="2">
        <v>0</v>
      </c>
      <c r="O432" s="2">
        <v>13000</v>
      </c>
      <c r="P432" s="2">
        <v>0</v>
      </c>
      <c r="Q432" s="2">
        <v>0</v>
      </c>
      <c r="R432" s="2">
        <v>0</v>
      </c>
      <c r="S432" s="2">
        <v>318500</v>
      </c>
      <c r="T432" s="3">
        <v>0.49</v>
      </c>
      <c r="U432" s="1"/>
      <c r="V432" s="1" t="s">
        <v>2266</v>
      </c>
      <c r="W432" s="1" t="s">
        <v>202</v>
      </c>
      <c r="X432" s="1" t="s">
        <v>225</v>
      </c>
      <c r="Y432" s="1">
        <v>34</v>
      </c>
      <c r="Z432" s="1" t="s">
        <v>2267</v>
      </c>
      <c r="AA432" s="1" t="s">
        <v>975</v>
      </c>
      <c r="AB432" s="1">
        <v>3143038304</v>
      </c>
    </row>
    <row r="433" spans="1:28" ht="13.8">
      <c r="A433" s="331">
        <v>36423</v>
      </c>
      <c r="B433" s="331">
        <v>26483</v>
      </c>
      <c r="C433" s="115">
        <v>46065</v>
      </c>
      <c r="D433" s="1" t="s">
        <v>2244</v>
      </c>
      <c r="E433" s="1" t="s">
        <v>2245</v>
      </c>
      <c r="F433" s="1" t="s">
        <v>3</v>
      </c>
      <c r="G433" s="1">
        <v>864206</v>
      </c>
      <c r="H433" s="1" t="s">
        <v>1384</v>
      </c>
      <c r="I433" s="1" t="s">
        <v>983</v>
      </c>
      <c r="J433" s="1" t="s">
        <v>210</v>
      </c>
      <c r="K433" s="1"/>
      <c r="L433" s="2">
        <v>1800000</v>
      </c>
      <c r="M433" s="2">
        <v>786450</v>
      </c>
      <c r="N433" s="2">
        <v>9189</v>
      </c>
      <c r="O433" s="2">
        <v>36000</v>
      </c>
      <c r="P433" s="2">
        <v>180000</v>
      </c>
      <c r="Q433" s="2">
        <v>1911</v>
      </c>
      <c r="R433" s="2">
        <v>0</v>
      </c>
      <c r="S433" s="2">
        <v>788361</v>
      </c>
      <c r="T433" s="3">
        <v>0.43797833333333003</v>
      </c>
      <c r="U433" s="1"/>
      <c r="V433" s="1" t="s">
        <v>2268</v>
      </c>
      <c r="W433" s="1" t="s">
        <v>202</v>
      </c>
      <c r="X433" s="1" t="s">
        <v>277</v>
      </c>
      <c r="Y433" s="1">
        <v>60</v>
      </c>
      <c r="Z433" s="1" t="s">
        <v>2269</v>
      </c>
      <c r="AA433" s="1" t="s">
        <v>1007</v>
      </c>
      <c r="AB433" s="1">
        <v>3003743496</v>
      </c>
    </row>
    <row r="434" spans="1:28" ht="13.8">
      <c r="A434" s="331">
        <v>36312</v>
      </c>
      <c r="B434" s="331">
        <v>26287</v>
      </c>
      <c r="C434" s="115">
        <v>46066</v>
      </c>
      <c r="D434" s="1" t="s">
        <v>2027</v>
      </c>
      <c r="E434" s="1" t="s">
        <v>2028</v>
      </c>
      <c r="F434" s="1" t="s">
        <v>3</v>
      </c>
      <c r="G434" s="1" t="s">
        <v>324</v>
      </c>
      <c r="H434" s="1" t="s">
        <v>325</v>
      </c>
      <c r="I434" s="1" t="s">
        <v>1097</v>
      </c>
      <c r="J434" s="1" t="s">
        <v>210</v>
      </c>
      <c r="K434" s="1" t="s">
        <v>1097</v>
      </c>
      <c r="L434" s="2">
        <v>650000</v>
      </c>
      <c r="M434" s="2">
        <v>325000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325000</v>
      </c>
      <c r="T434" s="3">
        <v>0.5</v>
      </c>
      <c r="U434" s="1"/>
      <c r="V434" s="1" t="s">
        <v>2098</v>
      </c>
      <c r="W434" s="1" t="s">
        <v>202</v>
      </c>
      <c r="X434" s="1" t="s">
        <v>248</v>
      </c>
      <c r="Y434" s="1">
        <v>59</v>
      </c>
      <c r="Z434" s="1" t="s">
        <v>2099</v>
      </c>
      <c r="AA434" s="1" t="s">
        <v>975</v>
      </c>
      <c r="AB434" s="1">
        <v>3122057528</v>
      </c>
    </row>
    <row r="435" spans="1:28" ht="13.8">
      <c r="A435" s="331">
        <v>35666</v>
      </c>
      <c r="B435" s="331">
        <v>25108</v>
      </c>
      <c r="C435" s="115">
        <v>46066</v>
      </c>
      <c r="D435" s="1" t="s">
        <v>575</v>
      </c>
      <c r="E435" s="1" t="s">
        <v>576</v>
      </c>
      <c r="F435" s="1" t="s">
        <v>126</v>
      </c>
      <c r="G435" s="1" t="s">
        <v>326</v>
      </c>
      <c r="H435" s="1" t="s">
        <v>327</v>
      </c>
      <c r="I435" s="1" t="s">
        <v>1047</v>
      </c>
      <c r="J435" s="1" t="s">
        <v>210</v>
      </c>
      <c r="K435" s="1" t="s">
        <v>1048</v>
      </c>
      <c r="L435" s="2">
        <v>1200000</v>
      </c>
      <c r="M435" s="2">
        <v>588000</v>
      </c>
      <c r="N435" s="2">
        <v>0</v>
      </c>
      <c r="O435" s="2">
        <v>24000</v>
      </c>
      <c r="P435" s="2">
        <v>0</v>
      </c>
      <c r="Q435" s="2">
        <v>0</v>
      </c>
      <c r="R435" s="2">
        <v>0</v>
      </c>
      <c r="S435" s="2">
        <v>588000</v>
      </c>
      <c r="T435" s="3">
        <v>0.49</v>
      </c>
      <c r="U435" s="1"/>
      <c r="V435" s="1" t="s">
        <v>2089</v>
      </c>
      <c r="W435" s="1" t="s">
        <v>202</v>
      </c>
      <c r="X435" s="1" t="s">
        <v>213</v>
      </c>
      <c r="Y435" s="1">
        <v>35</v>
      </c>
      <c r="Z435" s="1" t="s">
        <v>2090</v>
      </c>
      <c r="AA435" s="1" t="s">
        <v>975</v>
      </c>
      <c r="AB435" s="1">
        <v>3147431099</v>
      </c>
    </row>
    <row r="436" spans="1:28" ht="13.8">
      <c r="A436" s="331">
        <v>35666</v>
      </c>
      <c r="B436" s="331">
        <v>26448</v>
      </c>
      <c r="C436" s="115">
        <v>46066</v>
      </c>
      <c r="D436" s="1" t="s">
        <v>575</v>
      </c>
      <c r="E436" s="1" t="s">
        <v>576</v>
      </c>
      <c r="F436" s="1" t="s">
        <v>126</v>
      </c>
      <c r="G436" s="1">
        <v>863101</v>
      </c>
      <c r="H436" s="1" t="s">
        <v>378</v>
      </c>
      <c r="I436" s="1" t="s">
        <v>983</v>
      </c>
      <c r="J436" s="1" t="s">
        <v>210</v>
      </c>
      <c r="K436" s="1"/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3">
        <v>0</v>
      </c>
      <c r="U436" s="1"/>
      <c r="V436" s="1"/>
      <c r="W436" s="1" t="s">
        <v>63</v>
      </c>
      <c r="X436" s="1" t="s">
        <v>213</v>
      </c>
      <c r="Y436" s="1">
        <v>35</v>
      </c>
      <c r="Z436" s="1"/>
      <c r="AA436" s="1" t="s">
        <v>975</v>
      </c>
      <c r="AB436" s="1">
        <v>3147431099</v>
      </c>
    </row>
    <row r="437" spans="1:28" ht="13.8">
      <c r="A437" s="331">
        <v>36345</v>
      </c>
      <c r="B437" s="331">
        <v>26351</v>
      </c>
      <c r="C437" s="115">
        <v>46066</v>
      </c>
      <c r="D437" s="1" t="s">
        <v>2046</v>
      </c>
      <c r="E437" s="1" t="s">
        <v>2047</v>
      </c>
      <c r="F437" s="1" t="s">
        <v>126</v>
      </c>
      <c r="G437" s="1" t="s">
        <v>324</v>
      </c>
      <c r="H437" s="1" t="s">
        <v>325</v>
      </c>
      <c r="I437" s="1" t="s">
        <v>1097</v>
      </c>
      <c r="J437" s="1" t="s">
        <v>210</v>
      </c>
      <c r="K437" s="1" t="s">
        <v>1097</v>
      </c>
      <c r="L437" s="2">
        <v>650000</v>
      </c>
      <c r="M437" s="2">
        <v>318500</v>
      </c>
      <c r="N437" s="2">
        <v>0</v>
      </c>
      <c r="O437" s="2">
        <v>13000</v>
      </c>
      <c r="P437" s="2">
        <v>0</v>
      </c>
      <c r="Q437" s="2">
        <v>0</v>
      </c>
      <c r="R437" s="2">
        <v>0</v>
      </c>
      <c r="S437" s="2">
        <v>318500</v>
      </c>
      <c r="T437" s="3">
        <v>0.49</v>
      </c>
      <c r="U437" s="1"/>
      <c r="V437" s="1" t="s">
        <v>2385</v>
      </c>
      <c r="W437" s="1" t="s">
        <v>202</v>
      </c>
      <c r="X437" s="1" t="s">
        <v>248</v>
      </c>
      <c r="Y437" s="1">
        <v>42</v>
      </c>
      <c r="Z437" s="1" t="s">
        <v>2386</v>
      </c>
      <c r="AA437" s="1" t="s">
        <v>975</v>
      </c>
      <c r="AB437" s="1">
        <v>3165269415</v>
      </c>
    </row>
    <row r="438" spans="1:28" ht="13.8">
      <c r="A438" s="331">
        <v>36418</v>
      </c>
      <c r="B438" s="331">
        <v>26476</v>
      </c>
      <c r="C438" s="115">
        <v>46066</v>
      </c>
      <c r="D438" s="1" t="s">
        <v>2150</v>
      </c>
      <c r="E438" s="1" t="s">
        <v>2151</v>
      </c>
      <c r="F438" s="1" t="s">
        <v>107</v>
      </c>
      <c r="G438" s="1">
        <v>861414</v>
      </c>
      <c r="H438" s="1" t="s">
        <v>405</v>
      </c>
      <c r="I438" s="1" t="s">
        <v>1081</v>
      </c>
      <c r="J438" s="1" t="s">
        <v>210</v>
      </c>
      <c r="K438" s="1"/>
      <c r="L438" s="2">
        <v>300000</v>
      </c>
      <c r="M438" s="2">
        <v>150000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150000</v>
      </c>
      <c r="T438" s="3">
        <v>0.5</v>
      </c>
      <c r="U438" s="1"/>
      <c r="V438" s="1" t="s">
        <v>2152</v>
      </c>
      <c r="W438" s="1" t="s">
        <v>202</v>
      </c>
      <c r="X438" s="1" t="s">
        <v>213</v>
      </c>
      <c r="Y438" s="1">
        <v>73</v>
      </c>
      <c r="Z438" s="1" t="s">
        <v>2153</v>
      </c>
      <c r="AA438" s="1" t="s">
        <v>975</v>
      </c>
      <c r="AB438" s="1">
        <v>3107444618</v>
      </c>
    </row>
    <row r="439" spans="1:28" ht="13.8">
      <c r="A439" s="331">
        <v>36361</v>
      </c>
      <c r="B439" s="331">
        <v>26376</v>
      </c>
      <c r="C439" s="115">
        <v>46066</v>
      </c>
      <c r="D439" s="1" t="s">
        <v>2083</v>
      </c>
      <c r="E439" s="1" t="s">
        <v>2102</v>
      </c>
      <c r="F439" s="1" t="s">
        <v>2</v>
      </c>
      <c r="G439" s="1">
        <v>890242</v>
      </c>
      <c r="H439" s="1" t="s">
        <v>331</v>
      </c>
      <c r="I439" s="1" t="s">
        <v>972</v>
      </c>
      <c r="J439" s="1" t="s">
        <v>223</v>
      </c>
      <c r="K439" s="1"/>
      <c r="L439" s="2">
        <v>250000</v>
      </c>
      <c r="M439" s="2">
        <v>122500</v>
      </c>
      <c r="N439" s="2">
        <v>0</v>
      </c>
      <c r="O439" s="2">
        <v>5000</v>
      </c>
      <c r="P439" s="2">
        <v>0</v>
      </c>
      <c r="Q439" s="2">
        <v>0</v>
      </c>
      <c r="R439" s="2">
        <v>0</v>
      </c>
      <c r="S439" s="2">
        <v>122500</v>
      </c>
      <c r="T439" s="3">
        <v>0.49</v>
      </c>
      <c r="U439" s="1"/>
      <c r="V439" s="1" t="s">
        <v>2387</v>
      </c>
      <c r="W439" s="1" t="s">
        <v>202</v>
      </c>
      <c r="X439" s="1" t="s">
        <v>213</v>
      </c>
      <c r="Y439" s="1">
        <v>30</v>
      </c>
      <c r="Z439" s="1" t="s">
        <v>2388</v>
      </c>
      <c r="AA439" s="1" t="s">
        <v>975</v>
      </c>
      <c r="AB439" s="1">
        <v>3217990073</v>
      </c>
    </row>
    <row r="440" spans="1:28" ht="13.8">
      <c r="A440" s="331">
        <v>36373</v>
      </c>
      <c r="B440" s="331">
        <v>26411</v>
      </c>
      <c r="C440" s="115">
        <v>46066</v>
      </c>
      <c r="D440" s="1" t="s">
        <v>2111</v>
      </c>
      <c r="E440" s="1" t="s">
        <v>2112</v>
      </c>
      <c r="F440" s="1" t="s">
        <v>126</v>
      </c>
      <c r="G440" s="1">
        <v>890303</v>
      </c>
      <c r="H440" s="1" t="s">
        <v>221</v>
      </c>
      <c r="I440" s="1" t="s">
        <v>1012</v>
      </c>
      <c r="J440" s="1" t="s">
        <v>223</v>
      </c>
      <c r="K440" s="1"/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3">
        <v>0</v>
      </c>
      <c r="U440" s="1"/>
      <c r="V440" s="1"/>
      <c r="W440" s="1" t="s">
        <v>63</v>
      </c>
      <c r="X440" s="1" t="s">
        <v>277</v>
      </c>
      <c r="Y440" s="1">
        <v>30</v>
      </c>
      <c r="Z440" s="1"/>
      <c r="AA440" s="1" t="s">
        <v>975</v>
      </c>
      <c r="AB440" s="1">
        <v>3165106208</v>
      </c>
    </row>
    <row r="441" spans="1:28" ht="13.8">
      <c r="A441" s="331">
        <v>36422</v>
      </c>
      <c r="B441" s="331">
        <v>26482</v>
      </c>
      <c r="C441" s="115">
        <v>46066</v>
      </c>
      <c r="D441" s="1" t="s">
        <v>2156</v>
      </c>
      <c r="E441" s="1" t="s">
        <v>2389</v>
      </c>
      <c r="F441" s="1" t="s">
        <v>126</v>
      </c>
      <c r="G441" s="1">
        <v>890242</v>
      </c>
      <c r="H441" s="1" t="s">
        <v>331</v>
      </c>
      <c r="I441" s="1" t="s">
        <v>972</v>
      </c>
      <c r="J441" s="1" t="s">
        <v>223</v>
      </c>
      <c r="K441" s="1"/>
      <c r="L441" s="2">
        <v>250000</v>
      </c>
      <c r="M441" s="2">
        <v>125000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125000</v>
      </c>
      <c r="T441" s="3">
        <v>0.5</v>
      </c>
      <c r="U441" s="1"/>
      <c r="V441" s="1" t="s">
        <v>2390</v>
      </c>
      <c r="W441" s="1" t="s">
        <v>202</v>
      </c>
      <c r="X441" s="1" t="s">
        <v>213</v>
      </c>
      <c r="Y441" s="1">
        <v>34</v>
      </c>
      <c r="Z441" s="1" t="s">
        <v>2391</v>
      </c>
      <c r="AA441" s="1" t="s">
        <v>975</v>
      </c>
      <c r="AB441" s="1">
        <v>3245139223</v>
      </c>
    </row>
    <row r="442" spans="1:28" ht="13.8">
      <c r="A442" s="331">
        <v>36313</v>
      </c>
      <c r="B442" s="331">
        <v>26288</v>
      </c>
      <c r="C442" s="115">
        <v>46066</v>
      </c>
      <c r="D442" s="1" t="s">
        <v>2029</v>
      </c>
      <c r="E442" s="1" t="s">
        <v>2030</v>
      </c>
      <c r="F442" s="1" t="s">
        <v>4</v>
      </c>
      <c r="G442" s="1">
        <v>890242</v>
      </c>
      <c r="H442" s="1" t="s">
        <v>331</v>
      </c>
      <c r="I442" s="1" t="s">
        <v>972</v>
      </c>
      <c r="J442" s="1" t="s">
        <v>223</v>
      </c>
      <c r="K442" s="1"/>
      <c r="L442" s="2">
        <v>250000</v>
      </c>
      <c r="M442" s="2">
        <v>122500</v>
      </c>
      <c r="N442" s="2">
        <v>0</v>
      </c>
      <c r="O442" s="2">
        <v>5000</v>
      </c>
      <c r="P442" s="2">
        <v>0</v>
      </c>
      <c r="Q442" s="2">
        <v>0</v>
      </c>
      <c r="R442" s="2">
        <v>0</v>
      </c>
      <c r="S442" s="2">
        <v>122500</v>
      </c>
      <c r="T442" s="3">
        <v>0.49</v>
      </c>
      <c r="U442" s="1"/>
      <c r="V442" s="1" t="s">
        <v>2392</v>
      </c>
      <c r="W442" s="1" t="s">
        <v>202</v>
      </c>
      <c r="X442" s="1" t="s">
        <v>213</v>
      </c>
      <c r="Y442" s="1">
        <v>30</v>
      </c>
      <c r="Z442" s="1" t="s">
        <v>2393</v>
      </c>
      <c r="AA442" s="1" t="s">
        <v>975</v>
      </c>
      <c r="AB442" s="1">
        <v>3218179484</v>
      </c>
    </row>
    <row r="443" spans="1:28" ht="13.8">
      <c r="A443" s="331">
        <v>36398</v>
      </c>
      <c r="B443" s="331">
        <v>26446</v>
      </c>
      <c r="C443" s="115">
        <v>46066</v>
      </c>
      <c r="D443" s="1" t="s">
        <v>2198</v>
      </c>
      <c r="E443" s="1" t="s">
        <v>2199</v>
      </c>
      <c r="F443" s="1" t="s">
        <v>126</v>
      </c>
      <c r="G443" s="1" t="s">
        <v>362</v>
      </c>
      <c r="H443" s="1" t="s">
        <v>363</v>
      </c>
      <c r="I443" s="1" t="s">
        <v>1062</v>
      </c>
      <c r="J443" s="1" t="s">
        <v>210</v>
      </c>
      <c r="K443" s="1"/>
      <c r="L443" s="2">
        <v>1200000</v>
      </c>
      <c r="M443" s="2">
        <v>305883</v>
      </c>
      <c r="N443" s="2">
        <v>499953.07</v>
      </c>
      <c r="O443" s="2">
        <v>0</v>
      </c>
      <c r="P443" s="2">
        <v>0</v>
      </c>
      <c r="Q443" s="2">
        <v>88280.93</v>
      </c>
      <c r="R443" s="2">
        <v>0</v>
      </c>
      <c r="S443" s="2">
        <v>394163.93</v>
      </c>
      <c r="T443" s="3">
        <v>0.32846994166666998</v>
      </c>
      <c r="U443" s="1"/>
      <c r="V443" s="1" t="s">
        <v>2394</v>
      </c>
      <c r="W443" s="1" t="s">
        <v>202</v>
      </c>
      <c r="X443" s="1" t="s">
        <v>277</v>
      </c>
      <c r="Y443" s="1">
        <v>30</v>
      </c>
      <c r="Z443" s="1" t="s">
        <v>2395</v>
      </c>
      <c r="AA443" s="1" t="s">
        <v>975</v>
      </c>
      <c r="AB443" s="1">
        <v>3148074730</v>
      </c>
    </row>
    <row r="444" spans="1:28" ht="13.8">
      <c r="A444" s="331">
        <v>36350</v>
      </c>
      <c r="B444" s="331">
        <v>26357</v>
      </c>
      <c r="C444" s="115">
        <v>46066</v>
      </c>
      <c r="D444" s="1" t="s">
        <v>2057</v>
      </c>
      <c r="E444" s="1" t="s">
        <v>2058</v>
      </c>
      <c r="F444" s="1" t="s">
        <v>126</v>
      </c>
      <c r="G444" s="1">
        <v>890242</v>
      </c>
      <c r="H444" s="1" t="s">
        <v>331</v>
      </c>
      <c r="I444" s="1" t="s">
        <v>972</v>
      </c>
      <c r="J444" s="1" t="s">
        <v>223</v>
      </c>
      <c r="K444" s="1"/>
      <c r="L444" s="2">
        <v>250000</v>
      </c>
      <c r="M444" s="2">
        <v>122500</v>
      </c>
      <c r="N444" s="2">
        <v>0</v>
      </c>
      <c r="O444" s="2">
        <v>5000</v>
      </c>
      <c r="P444" s="2">
        <v>0</v>
      </c>
      <c r="Q444" s="2">
        <v>0</v>
      </c>
      <c r="R444" s="2">
        <v>0</v>
      </c>
      <c r="S444" s="2">
        <v>122500</v>
      </c>
      <c r="T444" s="3">
        <v>0.49</v>
      </c>
      <c r="U444" s="1"/>
      <c r="V444" s="1" t="s">
        <v>2396</v>
      </c>
      <c r="W444" s="1" t="s">
        <v>202</v>
      </c>
      <c r="X444" s="1" t="s">
        <v>213</v>
      </c>
      <c r="Y444" s="1">
        <v>42</v>
      </c>
      <c r="Z444" s="1" t="s">
        <v>2397</v>
      </c>
      <c r="AA444" s="1" t="s">
        <v>975</v>
      </c>
      <c r="AB444" s="1">
        <v>3216971238</v>
      </c>
    </row>
    <row r="445" spans="1:28" ht="13.8">
      <c r="A445" s="331">
        <v>36250</v>
      </c>
      <c r="B445" s="331">
        <v>26184</v>
      </c>
      <c r="C445" s="115">
        <v>46066</v>
      </c>
      <c r="D445" s="1" t="s">
        <v>1389</v>
      </c>
      <c r="E445" s="1" t="s">
        <v>1390</v>
      </c>
      <c r="F445" s="1" t="s">
        <v>3</v>
      </c>
      <c r="G445" s="1">
        <v>890242</v>
      </c>
      <c r="H445" s="1" t="s">
        <v>331</v>
      </c>
      <c r="I445" s="1" t="s">
        <v>972</v>
      </c>
      <c r="J445" s="1" t="s">
        <v>223</v>
      </c>
      <c r="K445" s="1"/>
      <c r="L445" s="2">
        <v>250000</v>
      </c>
      <c r="M445" s="2">
        <v>122500</v>
      </c>
      <c r="N445" s="2">
        <v>0</v>
      </c>
      <c r="O445" s="2">
        <v>5000</v>
      </c>
      <c r="P445" s="2">
        <v>0</v>
      </c>
      <c r="Q445" s="2">
        <v>0</v>
      </c>
      <c r="R445" s="2">
        <v>0</v>
      </c>
      <c r="S445" s="2">
        <v>122500</v>
      </c>
      <c r="T445" s="3">
        <v>0.49</v>
      </c>
      <c r="U445" s="1"/>
      <c r="V445" s="1" t="s">
        <v>2398</v>
      </c>
      <c r="W445" s="1" t="s">
        <v>202</v>
      </c>
      <c r="X445" s="1" t="s">
        <v>225</v>
      </c>
      <c r="Y445" s="1">
        <v>29</v>
      </c>
      <c r="Z445" s="1" t="s">
        <v>2399</v>
      </c>
      <c r="AA445" s="1" t="s">
        <v>975</v>
      </c>
      <c r="AB445" s="1">
        <v>3217532861</v>
      </c>
    </row>
    <row r="446" spans="1:28" ht="13.8">
      <c r="A446" s="331">
        <v>35861</v>
      </c>
      <c r="B446" s="331">
        <v>25464</v>
      </c>
      <c r="C446" s="115">
        <v>46066</v>
      </c>
      <c r="D446" s="1" t="s">
        <v>705</v>
      </c>
      <c r="E446" s="1" t="s">
        <v>706</v>
      </c>
      <c r="F446" s="1" t="s">
        <v>4</v>
      </c>
      <c r="G446" s="1">
        <v>890242</v>
      </c>
      <c r="H446" s="1" t="s">
        <v>331</v>
      </c>
      <c r="I446" s="1" t="s">
        <v>972</v>
      </c>
      <c r="J446" s="1" t="s">
        <v>223</v>
      </c>
      <c r="K446" s="1"/>
      <c r="L446" s="2">
        <v>250000</v>
      </c>
      <c r="M446" s="2">
        <v>122500</v>
      </c>
      <c r="N446" s="2">
        <v>0</v>
      </c>
      <c r="O446" s="2">
        <v>5000</v>
      </c>
      <c r="P446" s="2">
        <v>0</v>
      </c>
      <c r="Q446" s="2">
        <v>0</v>
      </c>
      <c r="R446" s="2">
        <v>0</v>
      </c>
      <c r="S446" s="2">
        <v>122500</v>
      </c>
      <c r="T446" s="3">
        <v>0.49</v>
      </c>
      <c r="U446" s="1"/>
      <c r="V446" s="1" t="s">
        <v>2400</v>
      </c>
      <c r="W446" s="1" t="s">
        <v>202</v>
      </c>
      <c r="X446" s="1" t="s">
        <v>213</v>
      </c>
      <c r="Y446" s="1">
        <v>24</v>
      </c>
      <c r="Z446" s="1" t="s">
        <v>2401</v>
      </c>
      <c r="AA446" s="1" t="s">
        <v>975</v>
      </c>
      <c r="AB446" s="1">
        <v>3232903143</v>
      </c>
    </row>
    <row r="447" spans="1:28" ht="13.8">
      <c r="A447" s="331">
        <v>36007</v>
      </c>
      <c r="B447" s="331">
        <v>26487</v>
      </c>
      <c r="C447" s="115">
        <v>46066</v>
      </c>
      <c r="D447" s="1" t="s">
        <v>810</v>
      </c>
      <c r="E447" s="1" t="s">
        <v>811</v>
      </c>
      <c r="F447" s="1" t="s">
        <v>2</v>
      </c>
      <c r="G447" s="1" t="s">
        <v>255</v>
      </c>
      <c r="H447" s="1" t="s">
        <v>256</v>
      </c>
      <c r="I447" s="1" t="s">
        <v>256</v>
      </c>
      <c r="J447" s="1" t="s">
        <v>210</v>
      </c>
      <c r="K447" s="1" t="s">
        <v>1066</v>
      </c>
      <c r="L447" s="2">
        <v>0</v>
      </c>
      <c r="M447" s="2">
        <v>0</v>
      </c>
      <c r="N447" s="2">
        <v>61814.38</v>
      </c>
      <c r="O447" s="2">
        <v>0</v>
      </c>
      <c r="P447" s="2">
        <v>0</v>
      </c>
      <c r="Q447" s="2">
        <v>15585.62</v>
      </c>
      <c r="R447" s="2">
        <v>0</v>
      </c>
      <c r="S447" s="2">
        <v>-61814.38</v>
      </c>
      <c r="T447" s="3">
        <v>0</v>
      </c>
      <c r="U447" s="1"/>
      <c r="V447" s="1"/>
      <c r="W447" s="1" t="s">
        <v>63</v>
      </c>
      <c r="X447" s="1" t="s">
        <v>225</v>
      </c>
      <c r="Y447" s="1">
        <v>42</v>
      </c>
      <c r="Z447" s="1"/>
      <c r="AA447" s="1" t="s">
        <v>975</v>
      </c>
      <c r="AB447" s="1">
        <v>3217998074</v>
      </c>
    </row>
    <row r="448" spans="1:28" ht="13.8">
      <c r="A448" s="331">
        <v>34879</v>
      </c>
      <c r="B448" s="331">
        <v>26491</v>
      </c>
      <c r="C448" s="115">
        <v>46066</v>
      </c>
      <c r="D448" s="1" t="s">
        <v>2160</v>
      </c>
      <c r="E448" s="1" t="s">
        <v>2161</v>
      </c>
      <c r="F448" s="1" t="s">
        <v>2</v>
      </c>
      <c r="G448" s="1" t="s">
        <v>451</v>
      </c>
      <c r="H448" s="1" t="s">
        <v>452</v>
      </c>
      <c r="I448" s="1" t="s">
        <v>2566</v>
      </c>
      <c r="J448" s="1" t="s">
        <v>210</v>
      </c>
      <c r="K448" s="1" t="s">
        <v>1048</v>
      </c>
      <c r="L448" s="2">
        <v>600000</v>
      </c>
      <c r="M448" s="2">
        <v>294000</v>
      </c>
      <c r="N448" s="2">
        <v>0</v>
      </c>
      <c r="O448" s="2">
        <v>12000</v>
      </c>
      <c r="P448" s="2">
        <v>0</v>
      </c>
      <c r="Q448" s="2">
        <v>0</v>
      </c>
      <c r="R448" s="2">
        <v>0</v>
      </c>
      <c r="S448" s="2">
        <v>294000</v>
      </c>
      <c r="T448" s="3">
        <v>0.49</v>
      </c>
      <c r="U448" s="1"/>
      <c r="V448" s="1" t="s">
        <v>2402</v>
      </c>
      <c r="W448" s="1" t="s">
        <v>202</v>
      </c>
      <c r="X448" s="1" t="s">
        <v>204</v>
      </c>
      <c r="Y448" s="1">
        <v>50</v>
      </c>
      <c r="Z448" s="1" t="s">
        <v>2403</v>
      </c>
      <c r="AA448" s="1" t="s">
        <v>2404</v>
      </c>
      <c r="AB448" s="1">
        <v>14012254476</v>
      </c>
    </row>
    <row r="449" spans="1:28" ht="13.8">
      <c r="A449" s="331">
        <v>34879</v>
      </c>
      <c r="B449" s="331">
        <v>26492</v>
      </c>
      <c r="C449" s="115">
        <v>46066</v>
      </c>
      <c r="D449" s="1" t="s">
        <v>2160</v>
      </c>
      <c r="E449" s="1" t="s">
        <v>2161</v>
      </c>
      <c r="F449" s="1" t="s">
        <v>2</v>
      </c>
      <c r="G449" s="1">
        <v>863101</v>
      </c>
      <c r="H449" s="1" t="s">
        <v>378</v>
      </c>
      <c r="I449" s="1" t="s">
        <v>983</v>
      </c>
      <c r="J449" s="1" t="s">
        <v>210</v>
      </c>
      <c r="K449" s="1"/>
      <c r="L449" s="2">
        <v>350000</v>
      </c>
      <c r="M449" s="2">
        <v>171500</v>
      </c>
      <c r="N449" s="2">
        <v>0</v>
      </c>
      <c r="O449" s="2">
        <v>7000</v>
      </c>
      <c r="P449" s="2">
        <v>0</v>
      </c>
      <c r="Q449" s="2">
        <v>0</v>
      </c>
      <c r="R449" s="2">
        <v>0</v>
      </c>
      <c r="S449" s="2">
        <v>171500</v>
      </c>
      <c r="T449" s="3">
        <v>0.49</v>
      </c>
      <c r="U449" s="1"/>
      <c r="V449" s="1" t="s">
        <v>2405</v>
      </c>
      <c r="W449" s="1" t="s">
        <v>202</v>
      </c>
      <c r="X449" s="1" t="s">
        <v>204</v>
      </c>
      <c r="Y449" s="1">
        <v>50</v>
      </c>
      <c r="Z449" s="1" t="s">
        <v>2406</v>
      </c>
      <c r="AA449" s="1" t="s">
        <v>2404</v>
      </c>
      <c r="AB449" s="1">
        <v>14012254476</v>
      </c>
    </row>
    <row r="450" spans="1:28" ht="13.8">
      <c r="A450" s="331">
        <v>34605</v>
      </c>
      <c r="B450" s="331">
        <v>24392</v>
      </c>
      <c r="C450" s="115">
        <v>46066</v>
      </c>
      <c r="D450" s="1" t="s">
        <v>413</v>
      </c>
      <c r="E450" s="1" t="s">
        <v>414</v>
      </c>
      <c r="F450" s="1" t="s">
        <v>2</v>
      </c>
      <c r="G450" s="1" t="s">
        <v>499</v>
      </c>
      <c r="H450" s="1" t="s">
        <v>500</v>
      </c>
      <c r="I450" s="1" t="s">
        <v>1125</v>
      </c>
      <c r="J450" s="1" t="s">
        <v>210</v>
      </c>
      <c r="K450" s="1" t="s">
        <v>1048</v>
      </c>
      <c r="L450" s="2">
        <v>1500000</v>
      </c>
      <c r="M450" s="2">
        <v>735000</v>
      </c>
      <c r="N450" s="2">
        <v>0</v>
      </c>
      <c r="O450" s="2">
        <v>30000</v>
      </c>
      <c r="P450" s="2">
        <v>0</v>
      </c>
      <c r="Q450" s="2">
        <v>0</v>
      </c>
      <c r="R450" s="2">
        <v>0</v>
      </c>
      <c r="S450" s="2">
        <v>735000</v>
      </c>
      <c r="T450" s="3">
        <v>0.49</v>
      </c>
      <c r="U450" s="1"/>
      <c r="V450" s="1" t="s">
        <v>2407</v>
      </c>
      <c r="W450" s="1" t="s">
        <v>202</v>
      </c>
      <c r="X450" s="1" t="s">
        <v>277</v>
      </c>
      <c r="Y450" s="1">
        <v>35</v>
      </c>
      <c r="Z450" s="1" t="s">
        <v>2408</v>
      </c>
      <c r="AA450" s="1" t="s">
        <v>975</v>
      </c>
      <c r="AB450" s="1">
        <v>3197908838</v>
      </c>
    </row>
    <row r="451" spans="1:28" ht="13.8">
      <c r="A451" s="331">
        <v>22327</v>
      </c>
      <c r="B451" s="331">
        <v>25961</v>
      </c>
      <c r="C451" s="115">
        <v>46066</v>
      </c>
      <c r="D451" s="1" t="s">
        <v>1297</v>
      </c>
      <c r="E451" s="1" t="s">
        <v>1298</v>
      </c>
      <c r="F451" s="1" t="s">
        <v>2</v>
      </c>
      <c r="G451" s="1" t="s">
        <v>391</v>
      </c>
      <c r="H451" s="1" t="s">
        <v>392</v>
      </c>
      <c r="I451" s="1" t="s">
        <v>1065</v>
      </c>
      <c r="J451" s="1" t="s">
        <v>210</v>
      </c>
      <c r="K451" s="1"/>
      <c r="L451" s="2">
        <v>500000</v>
      </c>
      <c r="M451" s="2">
        <v>250000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250000</v>
      </c>
      <c r="T451" s="3">
        <v>0.5</v>
      </c>
      <c r="U451" s="1"/>
      <c r="V451" s="1" t="s">
        <v>2409</v>
      </c>
      <c r="W451" s="1" t="s">
        <v>202</v>
      </c>
      <c r="X451" s="1" t="s">
        <v>213</v>
      </c>
      <c r="Y451" s="1">
        <v>33</v>
      </c>
      <c r="Z451" s="1" t="s">
        <v>2410</v>
      </c>
      <c r="AA451" s="1" t="s">
        <v>975</v>
      </c>
      <c r="AB451" s="1">
        <v>3116163253</v>
      </c>
    </row>
    <row r="452" spans="1:28" ht="13.8">
      <c r="A452" s="331">
        <v>22327</v>
      </c>
      <c r="B452" s="331">
        <v>25962</v>
      </c>
      <c r="C452" s="115">
        <v>46066</v>
      </c>
      <c r="D452" s="1" t="s">
        <v>1297</v>
      </c>
      <c r="E452" s="1" t="s">
        <v>1298</v>
      </c>
      <c r="F452" s="1" t="s">
        <v>2</v>
      </c>
      <c r="G452" s="1" t="s">
        <v>431</v>
      </c>
      <c r="H452" s="1" t="s">
        <v>432</v>
      </c>
      <c r="I452" s="1" t="s">
        <v>1047</v>
      </c>
      <c r="J452" s="1" t="s">
        <v>210</v>
      </c>
      <c r="K452" s="1" t="s">
        <v>1209</v>
      </c>
      <c r="L452" s="2">
        <v>700000</v>
      </c>
      <c r="M452" s="2">
        <v>350000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350000</v>
      </c>
      <c r="T452" s="3">
        <v>0.5</v>
      </c>
      <c r="U452" s="1"/>
      <c r="V452" s="1" t="s">
        <v>2409</v>
      </c>
      <c r="W452" s="1" t="s">
        <v>202</v>
      </c>
      <c r="X452" s="1" t="s">
        <v>213</v>
      </c>
      <c r="Y452" s="1">
        <v>33</v>
      </c>
      <c r="Z452" s="1" t="s">
        <v>2410</v>
      </c>
      <c r="AA452" s="1" t="s">
        <v>975</v>
      </c>
      <c r="AB452" s="1">
        <v>3116163253</v>
      </c>
    </row>
    <row r="453" spans="1:28" ht="13.8">
      <c r="A453" s="331">
        <v>30993</v>
      </c>
      <c r="B453" s="331">
        <v>26276</v>
      </c>
      <c r="C453" s="115">
        <v>46066</v>
      </c>
      <c r="D453" s="1" t="s">
        <v>2019</v>
      </c>
      <c r="E453" s="1" t="s">
        <v>2020</v>
      </c>
      <c r="F453" s="1" t="s">
        <v>2</v>
      </c>
      <c r="G453" s="1" t="s">
        <v>391</v>
      </c>
      <c r="H453" s="1" t="s">
        <v>392</v>
      </c>
      <c r="I453" s="1" t="s">
        <v>1065</v>
      </c>
      <c r="J453" s="1" t="s">
        <v>210</v>
      </c>
      <c r="K453" s="1"/>
      <c r="L453" s="2">
        <v>500000</v>
      </c>
      <c r="M453" s="2">
        <v>220725</v>
      </c>
      <c r="N453" s="2">
        <v>33367.379999999997</v>
      </c>
      <c r="O453" s="2">
        <v>10000</v>
      </c>
      <c r="P453" s="2">
        <v>0</v>
      </c>
      <c r="Q453" s="2">
        <v>15182.62</v>
      </c>
      <c r="R453" s="2">
        <v>0</v>
      </c>
      <c r="S453" s="2">
        <v>235907.62</v>
      </c>
      <c r="T453" s="3">
        <v>0.47181524000000002</v>
      </c>
      <c r="U453" s="1"/>
      <c r="V453" s="1" t="s">
        <v>2411</v>
      </c>
      <c r="W453" s="1" t="s">
        <v>202</v>
      </c>
      <c r="X453" s="1" t="s">
        <v>213</v>
      </c>
      <c r="Y453" s="1">
        <v>36</v>
      </c>
      <c r="Z453" s="1" t="s">
        <v>2412</v>
      </c>
      <c r="AA453" s="1" t="s">
        <v>975</v>
      </c>
      <c r="AB453" s="1">
        <v>3134367946</v>
      </c>
    </row>
    <row r="454" spans="1:28" ht="13.8">
      <c r="A454" s="331">
        <v>22200</v>
      </c>
      <c r="B454" s="331">
        <v>25267</v>
      </c>
      <c r="C454" s="115">
        <v>46066</v>
      </c>
      <c r="D454" s="1" t="s">
        <v>619</v>
      </c>
      <c r="E454" s="1" t="s">
        <v>620</v>
      </c>
      <c r="F454" s="1" t="s">
        <v>2</v>
      </c>
      <c r="G454" s="1" t="s">
        <v>465</v>
      </c>
      <c r="H454" s="1" t="s">
        <v>466</v>
      </c>
      <c r="I454" s="1" t="s">
        <v>1125</v>
      </c>
      <c r="J454" s="1" t="s">
        <v>210</v>
      </c>
      <c r="K454" s="1" t="s">
        <v>1126</v>
      </c>
      <c r="L454" s="2">
        <v>400000</v>
      </c>
      <c r="M454" s="2">
        <v>196000</v>
      </c>
      <c r="N454" s="2">
        <v>0</v>
      </c>
      <c r="O454" s="2">
        <v>8000</v>
      </c>
      <c r="P454" s="2">
        <v>0</v>
      </c>
      <c r="Q454" s="2">
        <v>0</v>
      </c>
      <c r="R454" s="2">
        <v>0</v>
      </c>
      <c r="S454" s="2">
        <v>196000</v>
      </c>
      <c r="T454" s="3">
        <v>0.49</v>
      </c>
      <c r="U454" s="1"/>
      <c r="V454" s="1" t="s">
        <v>2413</v>
      </c>
      <c r="W454" s="1" t="s">
        <v>202</v>
      </c>
      <c r="X454" s="1" t="s">
        <v>319</v>
      </c>
      <c r="Y454" s="1">
        <v>38</v>
      </c>
      <c r="Z454" s="1" t="s">
        <v>2414</v>
      </c>
      <c r="AA454" s="1" t="s">
        <v>975</v>
      </c>
      <c r="AB454" s="1">
        <v>3104272963</v>
      </c>
    </row>
    <row r="455" spans="1:28" ht="13.8">
      <c r="A455" s="331">
        <v>36379</v>
      </c>
      <c r="B455" s="331">
        <v>26420</v>
      </c>
      <c r="C455" s="115">
        <v>46066</v>
      </c>
      <c r="D455" s="1" t="s">
        <v>2117</v>
      </c>
      <c r="E455" s="1" t="s">
        <v>2118</v>
      </c>
      <c r="F455" s="1" t="s">
        <v>3</v>
      </c>
      <c r="G455" s="1">
        <v>890242</v>
      </c>
      <c r="H455" s="1" t="s">
        <v>331</v>
      </c>
      <c r="I455" s="1" t="s">
        <v>972</v>
      </c>
      <c r="J455" s="1" t="s">
        <v>223</v>
      </c>
      <c r="K455" s="1"/>
      <c r="L455" s="2">
        <v>250000</v>
      </c>
      <c r="M455" s="2">
        <v>122500</v>
      </c>
      <c r="N455" s="2">
        <v>0</v>
      </c>
      <c r="O455" s="2">
        <v>5000</v>
      </c>
      <c r="P455" s="2">
        <v>0</v>
      </c>
      <c r="Q455" s="2">
        <v>0</v>
      </c>
      <c r="R455" s="2">
        <v>0</v>
      </c>
      <c r="S455" s="2">
        <v>122500</v>
      </c>
      <c r="T455" s="3">
        <v>0.49</v>
      </c>
      <c r="U455" s="1"/>
      <c r="V455" s="1" t="s">
        <v>2415</v>
      </c>
      <c r="W455" s="1" t="s">
        <v>202</v>
      </c>
      <c r="X455" s="1" t="s">
        <v>213</v>
      </c>
      <c r="Y455" s="1">
        <v>39</v>
      </c>
      <c r="Z455" s="1" t="s">
        <v>2416</v>
      </c>
      <c r="AA455" s="1" t="s">
        <v>975</v>
      </c>
      <c r="AB455" s="1">
        <v>3206139434</v>
      </c>
    </row>
    <row r="456" spans="1:28" ht="13.8">
      <c r="A456" s="331">
        <v>22200</v>
      </c>
      <c r="B456" s="331">
        <v>25268</v>
      </c>
      <c r="C456" s="115">
        <v>46066</v>
      </c>
      <c r="D456" s="1" t="s">
        <v>619</v>
      </c>
      <c r="E456" s="1" t="s">
        <v>620</v>
      </c>
      <c r="F456" s="1" t="s">
        <v>2</v>
      </c>
      <c r="G456" s="1" t="s">
        <v>555</v>
      </c>
      <c r="H456" s="1" t="s">
        <v>556</v>
      </c>
      <c r="I456" s="1" t="s">
        <v>1065</v>
      </c>
      <c r="J456" s="1" t="s">
        <v>210</v>
      </c>
      <c r="K456" s="1"/>
      <c r="L456" s="2">
        <v>400000</v>
      </c>
      <c r="M456" s="2">
        <v>108900</v>
      </c>
      <c r="N456" s="2">
        <v>148000</v>
      </c>
      <c r="O456" s="2">
        <v>8000</v>
      </c>
      <c r="P456" s="2">
        <v>0</v>
      </c>
      <c r="Q456" s="2">
        <v>26200</v>
      </c>
      <c r="R456" s="2">
        <v>0</v>
      </c>
      <c r="S456" s="2">
        <v>135100</v>
      </c>
      <c r="T456" s="3">
        <v>0.33774999999999999</v>
      </c>
      <c r="U456" s="1"/>
      <c r="V456" s="1" t="s">
        <v>2413</v>
      </c>
      <c r="W456" s="1" t="s">
        <v>202</v>
      </c>
      <c r="X456" s="1" t="s">
        <v>319</v>
      </c>
      <c r="Y456" s="1">
        <v>38</v>
      </c>
      <c r="Z456" s="1" t="s">
        <v>2414</v>
      </c>
      <c r="AA456" s="1" t="s">
        <v>975</v>
      </c>
      <c r="AB456" s="1">
        <v>3104272963</v>
      </c>
    </row>
    <row r="457" spans="1:28" ht="13.8">
      <c r="A457" s="331">
        <v>36117</v>
      </c>
      <c r="B457" s="331">
        <v>25911</v>
      </c>
      <c r="C457" s="115">
        <v>46066</v>
      </c>
      <c r="D457" s="1" t="s">
        <v>915</v>
      </c>
      <c r="E457" s="1" t="s">
        <v>916</v>
      </c>
      <c r="F457" s="1" t="s">
        <v>2</v>
      </c>
      <c r="G457" s="1">
        <v>890303</v>
      </c>
      <c r="H457" s="1" t="s">
        <v>221</v>
      </c>
      <c r="I457" s="1" t="s">
        <v>1012</v>
      </c>
      <c r="J457" s="1" t="s">
        <v>223</v>
      </c>
      <c r="K457" s="1"/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3">
        <v>0</v>
      </c>
      <c r="U457" s="1"/>
      <c r="V457" s="1"/>
      <c r="W457" s="1" t="s">
        <v>63</v>
      </c>
      <c r="X457" s="1" t="s">
        <v>213</v>
      </c>
      <c r="Y457" s="1">
        <v>67</v>
      </c>
      <c r="Z457" s="1"/>
      <c r="AA457" s="1" t="s">
        <v>975</v>
      </c>
      <c r="AB457" s="1">
        <v>3148779647</v>
      </c>
    </row>
    <row r="458" spans="1:28" ht="13.8">
      <c r="A458" s="331">
        <v>31680</v>
      </c>
      <c r="B458" s="331">
        <v>26507</v>
      </c>
      <c r="C458" s="115">
        <v>46066</v>
      </c>
      <c r="D458" s="1" t="s">
        <v>964</v>
      </c>
      <c r="E458" s="1" t="s">
        <v>4</v>
      </c>
      <c r="F458" s="1" t="s">
        <v>2</v>
      </c>
      <c r="G458" s="1" t="s">
        <v>2012</v>
      </c>
      <c r="H458" s="1" t="s">
        <v>2013</v>
      </c>
      <c r="I458" s="1" t="s">
        <v>1065</v>
      </c>
      <c r="J458" s="1" t="s">
        <v>210</v>
      </c>
      <c r="K458" s="1"/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3">
        <v>0</v>
      </c>
      <c r="U458" s="1"/>
      <c r="V458" s="1"/>
      <c r="W458" s="1" t="s">
        <v>63</v>
      </c>
      <c r="X458" s="1" t="s">
        <v>248</v>
      </c>
      <c r="Y458" s="1">
        <v>35</v>
      </c>
      <c r="Z458" s="1"/>
      <c r="AA458" s="1" t="s">
        <v>975</v>
      </c>
      <c r="AB458" s="1">
        <v>3168305804</v>
      </c>
    </row>
    <row r="459" spans="1:28" ht="13.8">
      <c r="A459" s="331">
        <v>35752</v>
      </c>
      <c r="B459" s="331">
        <v>26490</v>
      </c>
      <c r="C459" s="115">
        <v>46066</v>
      </c>
      <c r="D459" s="1" t="s">
        <v>639</v>
      </c>
      <c r="E459" s="1" t="s">
        <v>640</v>
      </c>
      <c r="F459" s="1" t="s">
        <v>2</v>
      </c>
      <c r="G459" s="1">
        <v>861401</v>
      </c>
      <c r="H459" s="1" t="s">
        <v>307</v>
      </c>
      <c r="I459" s="1" t="s">
        <v>983</v>
      </c>
      <c r="J459" s="1" t="s">
        <v>210</v>
      </c>
      <c r="K459" s="1"/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3">
        <v>0</v>
      </c>
      <c r="U459" s="1"/>
      <c r="V459" s="1"/>
      <c r="W459" s="1" t="s">
        <v>63</v>
      </c>
      <c r="X459" s="1" t="s">
        <v>204</v>
      </c>
      <c r="Y459" s="1">
        <v>62</v>
      </c>
      <c r="Z459" s="1"/>
      <c r="AA459" s="1" t="s">
        <v>975</v>
      </c>
      <c r="AB459" s="1">
        <v>3154701493</v>
      </c>
    </row>
    <row r="460" spans="1:28" ht="13.8">
      <c r="A460" s="331">
        <v>36074</v>
      </c>
      <c r="B460" s="331">
        <v>25858</v>
      </c>
      <c r="C460" s="115">
        <v>46066</v>
      </c>
      <c r="D460" s="1" t="s">
        <v>2417</v>
      </c>
      <c r="E460" s="1" t="s">
        <v>2418</v>
      </c>
      <c r="F460" s="1" t="s">
        <v>4</v>
      </c>
      <c r="G460" s="1">
        <v>890242</v>
      </c>
      <c r="H460" s="1" t="s">
        <v>331</v>
      </c>
      <c r="I460" s="1" t="s">
        <v>972</v>
      </c>
      <c r="J460" s="1" t="s">
        <v>223</v>
      </c>
      <c r="K460" s="1"/>
      <c r="L460" s="2">
        <v>250000</v>
      </c>
      <c r="M460" s="2">
        <v>122500</v>
      </c>
      <c r="N460" s="2">
        <v>0</v>
      </c>
      <c r="O460" s="2">
        <v>5000</v>
      </c>
      <c r="P460" s="2">
        <v>0</v>
      </c>
      <c r="Q460" s="2">
        <v>0</v>
      </c>
      <c r="R460" s="2">
        <v>0</v>
      </c>
      <c r="S460" s="2">
        <v>122500</v>
      </c>
      <c r="T460" s="3">
        <v>0.49</v>
      </c>
      <c r="U460" s="1"/>
      <c r="V460" s="1" t="s">
        <v>2419</v>
      </c>
      <c r="W460" s="1" t="s">
        <v>202</v>
      </c>
      <c r="X460" s="1" t="s">
        <v>225</v>
      </c>
      <c r="Y460" s="1">
        <v>31</v>
      </c>
      <c r="Z460" s="1" t="s">
        <v>2420</v>
      </c>
      <c r="AA460" s="1" t="s">
        <v>975</v>
      </c>
      <c r="AB460" s="1">
        <v>3246474054</v>
      </c>
    </row>
    <row r="461" spans="1:28" ht="13.8">
      <c r="A461" s="331">
        <v>36263</v>
      </c>
      <c r="B461" s="331">
        <v>26201</v>
      </c>
      <c r="C461" s="115">
        <v>46066</v>
      </c>
      <c r="D461" s="1" t="s">
        <v>1398</v>
      </c>
      <c r="E461" s="1" t="s">
        <v>1399</v>
      </c>
      <c r="F461" s="1" t="s">
        <v>3</v>
      </c>
      <c r="G461" s="1">
        <v>890242</v>
      </c>
      <c r="H461" s="1" t="s">
        <v>331</v>
      </c>
      <c r="I461" s="1" t="s">
        <v>972</v>
      </c>
      <c r="J461" s="1" t="s">
        <v>223</v>
      </c>
      <c r="K461" s="1"/>
      <c r="L461" s="2">
        <v>250000</v>
      </c>
      <c r="M461" s="2">
        <v>122500</v>
      </c>
      <c r="N461" s="2">
        <v>0</v>
      </c>
      <c r="O461" s="2">
        <v>5000</v>
      </c>
      <c r="P461" s="2">
        <v>0</v>
      </c>
      <c r="Q461" s="2">
        <v>0</v>
      </c>
      <c r="R461" s="2">
        <v>0</v>
      </c>
      <c r="S461" s="2">
        <v>122500</v>
      </c>
      <c r="T461" s="3">
        <v>0.49</v>
      </c>
      <c r="U461" s="1"/>
      <c r="V461" s="1" t="s">
        <v>2421</v>
      </c>
      <c r="W461" s="1" t="s">
        <v>202</v>
      </c>
      <c r="X461" s="1" t="s">
        <v>213</v>
      </c>
      <c r="Y461" s="1">
        <v>49</v>
      </c>
      <c r="Z461" s="1" t="s">
        <v>2422</v>
      </c>
      <c r="AA461" s="1" t="s">
        <v>975</v>
      </c>
      <c r="AB461" s="1">
        <v>3122693684</v>
      </c>
    </row>
    <row r="462" spans="1:28" ht="13.8">
      <c r="A462" s="331">
        <v>35814</v>
      </c>
      <c r="B462" s="331">
        <v>25372</v>
      </c>
      <c r="C462" s="115">
        <v>46066</v>
      </c>
      <c r="D462" s="1" t="s">
        <v>675</v>
      </c>
      <c r="E462" s="1" t="s">
        <v>2423</v>
      </c>
      <c r="F462" s="1" t="s">
        <v>2</v>
      </c>
      <c r="G462" s="1">
        <v>890242</v>
      </c>
      <c r="H462" s="1" t="s">
        <v>331</v>
      </c>
      <c r="I462" s="1" t="s">
        <v>972</v>
      </c>
      <c r="J462" s="1" t="s">
        <v>223</v>
      </c>
      <c r="K462" s="1"/>
      <c r="L462" s="2">
        <v>250000</v>
      </c>
      <c r="M462" s="2">
        <v>122500</v>
      </c>
      <c r="N462" s="2">
        <v>0</v>
      </c>
      <c r="O462" s="2">
        <v>5000</v>
      </c>
      <c r="P462" s="2">
        <v>0</v>
      </c>
      <c r="Q462" s="2">
        <v>0</v>
      </c>
      <c r="R462" s="2">
        <v>0</v>
      </c>
      <c r="S462" s="2">
        <v>122500</v>
      </c>
      <c r="T462" s="3">
        <v>0.49</v>
      </c>
      <c r="U462" s="1"/>
      <c r="V462" s="1" t="s">
        <v>2424</v>
      </c>
      <c r="W462" s="1" t="s">
        <v>202</v>
      </c>
      <c r="X462" s="1" t="s">
        <v>213</v>
      </c>
      <c r="Y462" s="1">
        <v>27</v>
      </c>
      <c r="Z462" s="1" t="s">
        <v>2425</v>
      </c>
      <c r="AA462" s="1" t="s">
        <v>975</v>
      </c>
      <c r="AB462" s="1">
        <v>3004356988</v>
      </c>
    </row>
    <row r="463" spans="1:28" ht="13.8">
      <c r="A463" s="331">
        <v>24818</v>
      </c>
      <c r="B463" s="331">
        <v>22802</v>
      </c>
      <c r="C463" s="115">
        <v>46066</v>
      </c>
      <c r="D463" s="1" t="s">
        <v>1982</v>
      </c>
      <c r="E463" s="1" t="s">
        <v>1983</v>
      </c>
      <c r="F463" s="1" t="s">
        <v>2</v>
      </c>
      <c r="G463" s="1">
        <v>863105</v>
      </c>
      <c r="H463" s="1" t="s">
        <v>1984</v>
      </c>
      <c r="I463" s="1" t="s">
        <v>983</v>
      </c>
      <c r="J463" s="1" t="s">
        <v>210</v>
      </c>
      <c r="K463" s="1"/>
      <c r="L463" s="2">
        <v>400000</v>
      </c>
      <c r="M463" s="2">
        <v>196000</v>
      </c>
      <c r="N463" s="2">
        <v>0</v>
      </c>
      <c r="O463" s="2">
        <v>8000</v>
      </c>
      <c r="P463" s="2">
        <v>0</v>
      </c>
      <c r="Q463" s="2">
        <v>0</v>
      </c>
      <c r="R463" s="2">
        <v>0</v>
      </c>
      <c r="S463" s="2">
        <v>196000</v>
      </c>
      <c r="T463" s="3">
        <v>0.49</v>
      </c>
      <c r="U463" s="1"/>
      <c r="V463" s="1" t="s">
        <v>2426</v>
      </c>
      <c r="W463" s="1" t="s">
        <v>202</v>
      </c>
      <c r="X463" s="1" t="s">
        <v>319</v>
      </c>
      <c r="Y463" s="1">
        <v>92</v>
      </c>
      <c r="Z463" s="1" t="s">
        <v>2427</v>
      </c>
      <c r="AA463" s="1" t="s">
        <v>975</v>
      </c>
      <c r="AB463" s="1">
        <v>3154028098</v>
      </c>
    </row>
    <row r="464" spans="1:28" ht="13.8">
      <c r="A464" s="331">
        <v>28018</v>
      </c>
      <c r="B464" s="331">
        <v>25814</v>
      </c>
      <c r="C464" s="115">
        <v>46066</v>
      </c>
      <c r="D464" s="1" t="s">
        <v>847</v>
      </c>
      <c r="E464" s="1" t="s">
        <v>848</v>
      </c>
      <c r="F464" s="1" t="s">
        <v>2</v>
      </c>
      <c r="G464" s="1" t="s">
        <v>623</v>
      </c>
      <c r="H464" s="1" t="s">
        <v>624</v>
      </c>
      <c r="I464" s="1" t="s">
        <v>1125</v>
      </c>
      <c r="J464" s="1" t="s">
        <v>210</v>
      </c>
      <c r="K464" s="1" t="s">
        <v>1126</v>
      </c>
      <c r="L464" s="2">
        <v>300000</v>
      </c>
      <c r="M464" s="2">
        <v>150000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150000</v>
      </c>
      <c r="T464" s="3">
        <v>0.5</v>
      </c>
      <c r="U464" s="1"/>
      <c r="V464" s="1" t="s">
        <v>2428</v>
      </c>
      <c r="W464" s="1" t="s">
        <v>202</v>
      </c>
      <c r="X464" s="1" t="s">
        <v>225</v>
      </c>
      <c r="Y464" s="1">
        <v>28</v>
      </c>
      <c r="Z464" s="1" t="s">
        <v>2429</v>
      </c>
      <c r="AA464" s="1" t="s">
        <v>975</v>
      </c>
      <c r="AB464" s="1">
        <v>3107198356</v>
      </c>
    </row>
    <row r="465" spans="1:28" ht="13.8">
      <c r="A465" s="331">
        <v>33011</v>
      </c>
      <c r="B465" s="331">
        <v>21002</v>
      </c>
      <c r="C465" s="115">
        <v>46066</v>
      </c>
      <c r="D465" s="1" t="s">
        <v>261</v>
      </c>
      <c r="E465" s="1" t="s">
        <v>262</v>
      </c>
      <c r="F465" s="1" t="s">
        <v>3</v>
      </c>
      <c r="G465" s="1">
        <v>890303</v>
      </c>
      <c r="H465" s="1" t="s">
        <v>221</v>
      </c>
      <c r="I465" s="1" t="s">
        <v>1012</v>
      </c>
      <c r="J465" s="1" t="s">
        <v>223</v>
      </c>
      <c r="K465" s="1"/>
      <c r="L465" s="2">
        <v>180000</v>
      </c>
      <c r="M465" s="2">
        <v>88200</v>
      </c>
      <c r="N465" s="2">
        <v>0</v>
      </c>
      <c r="O465" s="2">
        <v>3600</v>
      </c>
      <c r="P465" s="2">
        <v>0</v>
      </c>
      <c r="Q465" s="2">
        <v>0</v>
      </c>
      <c r="R465" s="2">
        <v>0</v>
      </c>
      <c r="S465" s="2">
        <v>88200</v>
      </c>
      <c r="T465" s="3">
        <v>0.49</v>
      </c>
      <c r="U465" s="1"/>
      <c r="V465" s="1" t="s">
        <v>2430</v>
      </c>
      <c r="W465" s="1" t="s">
        <v>202</v>
      </c>
      <c r="X465" s="1" t="s">
        <v>213</v>
      </c>
      <c r="Y465" s="1">
        <v>42</v>
      </c>
      <c r="Z465" s="1" t="s">
        <v>2431</v>
      </c>
      <c r="AA465" s="1" t="s">
        <v>975</v>
      </c>
      <c r="AB465" s="1">
        <v>3122196209</v>
      </c>
    </row>
    <row r="466" spans="1:28" ht="13.8">
      <c r="A466" s="331">
        <v>30726</v>
      </c>
      <c r="B466" s="331">
        <v>25813</v>
      </c>
      <c r="C466" s="115">
        <v>46066</v>
      </c>
      <c r="D466" s="1" t="s">
        <v>845</v>
      </c>
      <c r="E466" s="1" t="s">
        <v>846</v>
      </c>
      <c r="F466" s="1" t="s">
        <v>3</v>
      </c>
      <c r="G466" s="1" t="s">
        <v>289</v>
      </c>
      <c r="H466" s="1" t="s">
        <v>290</v>
      </c>
      <c r="I466" s="1" t="s">
        <v>1065</v>
      </c>
      <c r="J466" s="1" t="s">
        <v>210</v>
      </c>
      <c r="K466" s="1"/>
      <c r="L466" s="2">
        <v>350000</v>
      </c>
      <c r="M466" s="2">
        <v>150725</v>
      </c>
      <c r="N466" s="2">
        <v>33367.379999999997</v>
      </c>
      <c r="O466" s="2">
        <v>0</v>
      </c>
      <c r="P466" s="2">
        <v>0</v>
      </c>
      <c r="Q466" s="2">
        <v>15182.62</v>
      </c>
      <c r="R466" s="2">
        <v>0</v>
      </c>
      <c r="S466" s="2">
        <v>165907.62</v>
      </c>
      <c r="T466" s="3">
        <v>0.47402177142856999</v>
      </c>
      <c r="U466" s="1"/>
      <c r="V466" s="1" t="s">
        <v>2432</v>
      </c>
      <c r="W466" s="1" t="s">
        <v>202</v>
      </c>
      <c r="X466" s="1" t="s">
        <v>225</v>
      </c>
      <c r="Y466" s="1">
        <v>31</v>
      </c>
      <c r="Z466" s="1" t="s">
        <v>2433</v>
      </c>
      <c r="AA466" s="1" t="s">
        <v>975</v>
      </c>
      <c r="AB466" s="1">
        <v>3019302065</v>
      </c>
    </row>
    <row r="467" spans="1:28" ht="13.8">
      <c r="A467" s="331">
        <v>36087</v>
      </c>
      <c r="B467" s="331">
        <v>25875</v>
      </c>
      <c r="C467" s="115">
        <v>46066</v>
      </c>
      <c r="D467" s="1" t="s">
        <v>887</v>
      </c>
      <c r="E467" s="1" t="s">
        <v>888</v>
      </c>
      <c r="F467" s="1" t="s">
        <v>3</v>
      </c>
      <c r="G467" s="1">
        <v>890242</v>
      </c>
      <c r="H467" s="1" t="s">
        <v>331</v>
      </c>
      <c r="I467" s="1" t="s">
        <v>972</v>
      </c>
      <c r="J467" s="1" t="s">
        <v>223</v>
      </c>
      <c r="K467" s="1"/>
      <c r="L467" s="2">
        <v>250000</v>
      </c>
      <c r="M467" s="2">
        <v>122500</v>
      </c>
      <c r="N467" s="2">
        <v>0</v>
      </c>
      <c r="O467" s="2">
        <v>5000</v>
      </c>
      <c r="P467" s="2">
        <v>0</v>
      </c>
      <c r="Q467" s="2">
        <v>0</v>
      </c>
      <c r="R467" s="2">
        <v>0</v>
      </c>
      <c r="S467" s="2">
        <v>122500</v>
      </c>
      <c r="T467" s="3">
        <v>0.49</v>
      </c>
      <c r="U467" s="1"/>
      <c r="V467" s="1" t="s">
        <v>2434</v>
      </c>
      <c r="W467" s="1" t="s">
        <v>202</v>
      </c>
      <c r="X467" s="1" t="s">
        <v>225</v>
      </c>
      <c r="Y467" s="1">
        <v>1</v>
      </c>
      <c r="Z467" s="1" t="s">
        <v>2435</v>
      </c>
      <c r="AA467" s="1" t="s">
        <v>975</v>
      </c>
      <c r="AB467" s="1">
        <v>3006247013</v>
      </c>
    </row>
    <row r="468" spans="1:28" ht="13.8">
      <c r="A468" s="331">
        <v>36260</v>
      </c>
      <c r="B468" s="331">
        <v>26195</v>
      </c>
      <c r="C468" s="115">
        <v>46066</v>
      </c>
      <c r="D468" s="1" t="s">
        <v>883</v>
      </c>
      <c r="E468" s="1" t="s">
        <v>884</v>
      </c>
      <c r="F468" s="1" t="s">
        <v>5</v>
      </c>
      <c r="G468" s="1">
        <v>890304</v>
      </c>
      <c r="H468" s="1" t="s">
        <v>913</v>
      </c>
      <c r="I468" s="1" t="s">
        <v>972</v>
      </c>
      <c r="J468" s="1" t="s">
        <v>223</v>
      </c>
      <c r="K468" s="1"/>
      <c r="L468" s="2">
        <v>250000</v>
      </c>
      <c r="M468" s="2">
        <v>125000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125000</v>
      </c>
      <c r="T468" s="3">
        <v>0.5</v>
      </c>
      <c r="U468" s="1"/>
      <c r="V468" s="1" t="s">
        <v>2436</v>
      </c>
      <c r="W468" s="1" t="s">
        <v>202</v>
      </c>
      <c r="X468" s="1" t="s">
        <v>277</v>
      </c>
      <c r="Y468" s="1">
        <v>27</v>
      </c>
      <c r="Z468" s="1" t="s">
        <v>2437</v>
      </c>
      <c r="AA468" s="1" t="s">
        <v>1028</v>
      </c>
      <c r="AB468" s="1">
        <v>3173146427</v>
      </c>
    </row>
    <row r="469" spans="1:28" ht="13.8">
      <c r="A469" s="331">
        <v>32877</v>
      </c>
      <c r="B469" s="331">
        <v>25340</v>
      </c>
      <c r="C469" s="115">
        <v>46066</v>
      </c>
      <c r="D469" s="1" t="s">
        <v>647</v>
      </c>
      <c r="E469" s="1" t="s">
        <v>648</v>
      </c>
      <c r="F469" s="1" t="s">
        <v>3</v>
      </c>
      <c r="G469" s="1" t="s">
        <v>391</v>
      </c>
      <c r="H469" s="1" t="s">
        <v>392</v>
      </c>
      <c r="I469" s="1" t="s">
        <v>1065</v>
      </c>
      <c r="J469" s="1" t="s">
        <v>210</v>
      </c>
      <c r="K469" s="1"/>
      <c r="L469" s="2">
        <v>500000</v>
      </c>
      <c r="M469" s="2">
        <v>208587.5</v>
      </c>
      <c r="N469" s="2">
        <v>50051.07</v>
      </c>
      <c r="O469" s="2">
        <v>10000</v>
      </c>
      <c r="P469" s="2">
        <v>0</v>
      </c>
      <c r="Q469" s="2">
        <v>22773.93</v>
      </c>
      <c r="R469" s="2">
        <v>0</v>
      </c>
      <c r="S469" s="2">
        <v>231361.43</v>
      </c>
      <c r="T469" s="3">
        <v>0.46272286000000001</v>
      </c>
      <c r="U469" s="1"/>
      <c r="V469" s="1" t="s">
        <v>2438</v>
      </c>
      <c r="W469" s="1" t="s">
        <v>202</v>
      </c>
      <c r="X469" s="1" t="s">
        <v>204</v>
      </c>
      <c r="Y469" s="1">
        <v>25</v>
      </c>
      <c r="Z469" s="1" t="s">
        <v>2439</v>
      </c>
      <c r="AA469" s="1" t="s">
        <v>975</v>
      </c>
      <c r="AB469" s="1">
        <v>3118072167</v>
      </c>
    </row>
    <row r="470" spans="1:28" ht="13.8">
      <c r="A470" s="331">
        <v>34424</v>
      </c>
      <c r="B470" s="331">
        <v>25058</v>
      </c>
      <c r="C470" s="115">
        <v>46066</v>
      </c>
      <c r="D470" s="1" t="s">
        <v>565</v>
      </c>
      <c r="E470" s="1" t="s">
        <v>566</v>
      </c>
      <c r="F470" s="1" t="s">
        <v>3</v>
      </c>
      <c r="G470" s="1" t="s">
        <v>301</v>
      </c>
      <c r="H470" s="1" t="s">
        <v>302</v>
      </c>
      <c r="I470" s="1" t="s">
        <v>1058</v>
      </c>
      <c r="J470" s="1" t="s">
        <v>210</v>
      </c>
      <c r="K470" s="1" t="s">
        <v>1058</v>
      </c>
      <c r="L470" s="2">
        <v>2100000</v>
      </c>
      <c r="M470" s="2">
        <v>941900</v>
      </c>
      <c r="N470" s="2">
        <v>148000</v>
      </c>
      <c r="O470" s="2">
        <v>42000</v>
      </c>
      <c r="P470" s="2">
        <v>0</v>
      </c>
      <c r="Q470" s="2">
        <v>26200</v>
      </c>
      <c r="R470" s="2">
        <v>0</v>
      </c>
      <c r="S470" s="2">
        <v>968100</v>
      </c>
      <c r="T470" s="3">
        <v>0.46100000000000002</v>
      </c>
      <c r="U470" s="1"/>
      <c r="V470" s="1" t="s">
        <v>2440</v>
      </c>
      <c r="W470" s="1" t="s">
        <v>202</v>
      </c>
      <c r="X470" s="1" t="s">
        <v>277</v>
      </c>
      <c r="Y470" s="1">
        <v>30</v>
      </c>
      <c r="Z470" s="1" t="s">
        <v>2441</v>
      </c>
      <c r="AA470" s="1" t="s">
        <v>1007</v>
      </c>
      <c r="AB470" s="1">
        <v>8582205610</v>
      </c>
    </row>
    <row r="471" spans="1:28" ht="13.8">
      <c r="A471" s="331">
        <v>32634</v>
      </c>
      <c r="B471" s="331">
        <v>25257</v>
      </c>
      <c r="C471" s="115">
        <v>46066</v>
      </c>
      <c r="D471" s="1" t="s">
        <v>616</v>
      </c>
      <c r="E471" s="1" t="s">
        <v>617</v>
      </c>
      <c r="F471" s="1" t="s">
        <v>2</v>
      </c>
      <c r="G471" s="1">
        <v>868118</v>
      </c>
      <c r="H471" s="1" t="s">
        <v>618</v>
      </c>
      <c r="I471" s="1" t="s">
        <v>983</v>
      </c>
      <c r="J471" s="1" t="s">
        <v>210</v>
      </c>
      <c r="K471" s="1"/>
      <c r="L471" s="2">
        <v>1000000</v>
      </c>
      <c r="M471" s="2">
        <v>472555.75</v>
      </c>
      <c r="N471" s="2">
        <v>29309.87</v>
      </c>
      <c r="O471" s="2">
        <v>20000</v>
      </c>
      <c r="P471" s="2">
        <v>0</v>
      </c>
      <c r="Q471" s="2">
        <v>5578.63</v>
      </c>
      <c r="R471" s="2">
        <v>0</v>
      </c>
      <c r="S471" s="2">
        <v>478134.38</v>
      </c>
      <c r="T471" s="3">
        <v>0.47813438000000003</v>
      </c>
      <c r="U471" s="1"/>
      <c r="V471" s="1" t="s">
        <v>2442</v>
      </c>
      <c r="W471" s="1" t="s">
        <v>202</v>
      </c>
      <c r="X471" s="1" t="s">
        <v>277</v>
      </c>
      <c r="Y471" s="1">
        <v>19</v>
      </c>
      <c r="Z471" s="1" t="s">
        <v>2443</v>
      </c>
      <c r="AA471" s="1" t="s">
        <v>975</v>
      </c>
      <c r="AB471" s="1">
        <v>3013316508</v>
      </c>
    </row>
    <row r="472" spans="1:28" ht="13.8">
      <c r="A472" s="331">
        <v>35653</v>
      </c>
      <c r="B472" s="331">
        <v>25117</v>
      </c>
      <c r="C472" s="115">
        <v>46066</v>
      </c>
      <c r="D472" s="1" t="s">
        <v>578</v>
      </c>
      <c r="E472" s="1" t="s">
        <v>2444</v>
      </c>
      <c r="F472" s="1" t="s">
        <v>2</v>
      </c>
      <c r="G472" s="1" t="s">
        <v>451</v>
      </c>
      <c r="H472" s="1" t="s">
        <v>452</v>
      </c>
      <c r="I472" s="1" t="s">
        <v>2566</v>
      </c>
      <c r="J472" s="1" t="s">
        <v>210</v>
      </c>
      <c r="K472" s="1" t="s">
        <v>1048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3">
        <v>0</v>
      </c>
      <c r="U472" s="1"/>
      <c r="V472" s="1"/>
      <c r="W472" s="1" t="s">
        <v>63</v>
      </c>
      <c r="X472" s="1" t="s">
        <v>213</v>
      </c>
      <c r="Y472" s="1">
        <v>47</v>
      </c>
      <c r="Z472" s="1"/>
      <c r="AA472" s="1" t="s">
        <v>975</v>
      </c>
      <c r="AB472" s="1">
        <v>3013763297</v>
      </c>
    </row>
    <row r="473" spans="1:28" ht="13.8">
      <c r="A473" s="331">
        <v>36070</v>
      </c>
      <c r="B473" s="331">
        <v>25852</v>
      </c>
      <c r="C473" s="115">
        <v>46066</v>
      </c>
      <c r="D473" s="1" t="s">
        <v>870</v>
      </c>
      <c r="E473" s="1" t="s">
        <v>871</v>
      </c>
      <c r="F473" s="1" t="s">
        <v>3</v>
      </c>
      <c r="G473" s="1">
        <v>890242</v>
      </c>
      <c r="H473" s="1" t="s">
        <v>331</v>
      </c>
      <c r="I473" s="1" t="s">
        <v>972</v>
      </c>
      <c r="J473" s="1" t="s">
        <v>223</v>
      </c>
      <c r="K473" s="1"/>
      <c r="L473" s="2">
        <v>250000</v>
      </c>
      <c r="M473" s="2">
        <v>125000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125000</v>
      </c>
      <c r="T473" s="3">
        <v>0.5</v>
      </c>
      <c r="U473" s="1"/>
      <c r="V473" s="1" t="s">
        <v>2445</v>
      </c>
      <c r="W473" s="1" t="s">
        <v>202</v>
      </c>
      <c r="X473" s="1" t="s">
        <v>319</v>
      </c>
      <c r="Y473" s="1">
        <v>12</v>
      </c>
      <c r="Z473" s="1" t="s">
        <v>2446</v>
      </c>
      <c r="AA473" s="1" t="s">
        <v>975</v>
      </c>
      <c r="AB473" s="1">
        <v>3044492728</v>
      </c>
    </row>
    <row r="474" spans="1:28" ht="13.8">
      <c r="A474" s="331">
        <v>28241</v>
      </c>
      <c r="B474" s="331">
        <v>26501</v>
      </c>
      <c r="C474" s="115">
        <v>46066</v>
      </c>
      <c r="D474" s="1" t="s">
        <v>965</v>
      </c>
      <c r="E474" s="1" t="s">
        <v>3</v>
      </c>
      <c r="F474" s="1" t="s">
        <v>132</v>
      </c>
      <c r="G474" s="1" t="s">
        <v>1087</v>
      </c>
      <c r="H474" s="1" t="s">
        <v>1088</v>
      </c>
      <c r="I474" s="1" t="s">
        <v>1089</v>
      </c>
      <c r="J474" s="1" t="s">
        <v>200</v>
      </c>
      <c r="K474" s="1" t="s">
        <v>1089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3">
        <v>0</v>
      </c>
      <c r="U474" s="1"/>
      <c r="V474" s="1"/>
      <c r="W474" s="1" t="s">
        <v>63</v>
      </c>
      <c r="X474" s="1" t="s">
        <v>248</v>
      </c>
      <c r="Y474" s="1">
        <v>36</v>
      </c>
      <c r="Z474" s="1"/>
      <c r="AA474" s="1" t="s">
        <v>975</v>
      </c>
      <c r="AB474" s="1">
        <v>3008249135</v>
      </c>
    </row>
    <row r="475" spans="1:28" ht="13.8">
      <c r="A475" s="331">
        <v>36017</v>
      </c>
      <c r="B475" s="331">
        <v>25741</v>
      </c>
      <c r="C475" s="115">
        <v>46066</v>
      </c>
      <c r="D475" s="1" t="s">
        <v>800</v>
      </c>
      <c r="E475" s="1" t="s">
        <v>801</v>
      </c>
      <c r="F475" s="1" t="s">
        <v>5</v>
      </c>
      <c r="G475" s="1">
        <v>890303</v>
      </c>
      <c r="H475" s="1" t="s">
        <v>221</v>
      </c>
      <c r="I475" s="1" t="s">
        <v>1012</v>
      </c>
      <c r="J475" s="1" t="s">
        <v>223</v>
      </c>
      <c r="K475" s="1"/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3">
        <v>0</v>
      </c>
      <c r="U475" s="1"/>
      <c r="V475" s="1"/>
      <c r="W475" s="1" t="s">
        <v>63</v>
      </c>
      <c r="X475" s="1" t="s">
        <v>225</v>
      </c>
      <c r="Y475" s="1">
        <v>28</v>
      </c>
      <c r="Z475" s="1"/>
      <c r="AA475" s="1" t="s">
        <v>975</v>
      </c>
      <c r="AB475" s="1">
        <v>3015971862</v>
      </c>
    </row>
    <row r="476" spans="1:28" ht="13.8">
      <c r="A476" s="331">
        <v>34441</v>
      </c>
      <c r="B476" s="331">
        <v>24585</v>
      </c>
      <c r="C476" s="115">
        <v>46066</v>
      </c>
      <c r="D476" s="1" t="s">
        <v>2447</v>
      </c>
      <c r="E476" s="1" t="s">
        <v>2448</v>
      </c>
      <c r="F476" s="1" t="s">
        <v>4</v>
      </c>
      <c r="G476" s="1" t="s">
        <v>255</v>
      </c>
      <c r="H476" s="1" t="s">
        <v>256</v>
      </c>
      <c r="I476" s="1" t="s">
        <v>256</v>
      </c>
      <c r="J476" s="1" t="s">
        <v>210</v>
      </c>
      <c r="K476" s="1" t="s">
        <v>1066</v>
      </c>
      <c r="L476" s="2">
        <v>480000</v>
      </c>
      <c r="M476" s="2">
        <v>196500</v>
      </c>
      <c r="N476" s="2">
        <v>61814.38</v>
      </c>
      <c r="O476" s="2">
        <v>9600</v>
      </c>
      <c r="P476" s="2">
        <v>0</v>
      </c>
      <c r="Q476" s="2">
        <v>15585.62</v>
      </c>
      <c r="R476" s="2">
        <v>0</v>
      </c>
      <c r="S476" s="2">
        <v>212085.62</v>
      </c>
      <c r="T476" s="3">
        <v>0.44184504166666999</v>
      </c>
      <c r="U476" s="1"/>
      <c r="V476" s="1" t="s">
        <v>2449</v>
      </c>
      <c r="W476" s="1" t="s">
        <v>202</v>
      </c>
      <c r="X476" s="1" t="s">
        <v>248</v>
      </c>
      <c r="Y476" s="1">
        <v>14</v>
      </c>
      <c r="Z476" s="1" t="s">
        <v>2450</v>
      </c>
      <c r="AA476" s="1" t="s">
        <v>975</v>
      </c>
      <c r="AB476" s="1">
        <v>3043851624</v>
      </c>
    </row>
    <row r="477" spans="1:28" ht="13.8">
      <c r="A477" s="331">
        <v>30155</v>
      </c>
      <c r="B477" s="331">
        <v>22839</v>
      </c>
      <c r="C477" s="115">
        <v>46066</v>
      </c>
      <c r="D477" s="1" t="s">
        <v>1985</v>
      </c>
      <c r="E477" s="1" t="s">
        <v>1986</v>
      </c>
      <c r="F477" s="1" t="s">
        <v>4</v>
      </c>
      <c r="G477" s="1">
        <v>861411</v>
      </c>
      <c r="H477" s="1" t="s">
        <v>406</v>
      </c>
      <c r="I477" s="1" t="s">
        <v>1081</v>
      </c>
      <c r="J477" s="1" t="s">
        <v>210</v>
      </c>
      <c r="K477" s="1"/>
      <c r="L477" s="2">
        <v>1150000</v>
      </c>
      <c r="M477" s="2">
        <v>406125</v>
      </c>
      <c r="N477" s="2">
        <v>205786</v>
      </c>
      <c r="O477" s="2">
        <v>23000</v>
      </c>
      <c r="P477" s="2">
        <v>0</v>
      </c>
      <c r="Q477" s="2">
        <v>108964</v>
      </c>
      <c r="R477" s="2">
        <v>0</v>
      </c>
      <c r="S477" s="2">
        <v>515089</v>
      </c>
      <c r="T477" s="3">
        <v>0.44790347826087001</v>
      </c>
      <c r="U477" s="1"/>
      <c r="V477" s="1" t="s">
        <v>2451</v>
      </c>
      <c r="W477" s="1" t="s">
        <v>202</v>
      </c>
      <c r="X477" s="1" t="s">
        <v>204</v>
      </c>
      <c r="Y477" s="1">
        <v>44</v>
      </c>
      <c r="Z477" s="1" t="s">
        <v>2452</v>
      </c>
      <c r="AA477" s="1" t="s">
        <v>975</v>
      </c>
      <c r="AB477" s="1">
        <v>3122504099</v>
      </c>
    </row>
    <row r="478" spans="1:28" ht="13.8">
      <c r="A478" s="331">
        <v>32251</v>
      </c>
      <c r="B478" s="331">
        <v>26395</v>
      </c>
      <c r="C478" s="115">
        <v>46066</v>
      </c>
      <c r="D478" s="1" t="s">
        <v>2105</v>
      </c>
      <c r="E478" s="1" t="s">
        <v>2106</v>
      </c>
      <c r="F478" s="1" t="s">
        <v>4</v>
      </c>
      <c r="G478" s="1" t="s">
        <v>255</v>
      </c>
      <c r="H478" s="1" t="s">
        <v>256</v>
      </c>
      <c r="I478" s="1" t="s">
        <v>256</v>
      </c>
      <c r="J478" s="1" t="s">
        <v>210</v>
      </c>
      <c r="K478" s="1" t="s">
        <v>1066</v>
      </c>
      <c r="L478" s="2">
        <v>650000</v>
      </c>
      <c r="M478" s="2">
        <v>279800</v>
      </c>
      <c r="N478" s="2">
        <v>67285</v>
      </c>
      <c r="O478" s="2">
        <v>13000</v>
      </c>
      <c r="P478" s="2">
        <v>0</v>
      </c>
      <c r="Q478" s="2">
        <v>10115</v>
      </c>
      <c r="R478" s="2">
        <v>0</v>
      </c>
      <c r="S478" s="2">
        <v>289915</v>
      </c>
      <c r="T478" s="3">
        <v>0.44602307692308002</v>
      </c>
      <c r="U478" s="1"/>
      <c r="V478" s="1" t="s">
        <v>2453</v>
      </c>
      <c r="W478" s="1" t="s">
        <v>202</v>
      </c>
      <c r="X478" s="1" t="s">
        <v>204</v>
      </c>
      <c r="Y478" s="1">
        <v>61</v>
      </c>
      <c r="Z478" s="1" t="s">
        <v>2454</v>
      </c>
      <c r="AA478" s="1" t="s">
        <v>975</v>
      </c>
      <c r="AB478" s="1">
        <v>3104069023</v>
      </c>
    </row>
    <row r="479" spans="1:28" ht="13.8">
      <c r="A479" s="331">
        <v>30139</v>
      </c>
      <c r="B479" s="331">
        <v>24537</v>
      </c>
      <c r="C479" s="115">
        <v>46066</v>
      </c>
      <c r="D479" s="1" t="s">
        <v>437</v>
      </c>
      <c r="E479" s="1" t="s">
        <v>438</v>
      </c>
      <c r="F479" s="1" t="s">
        <v>4</v>
      </c>
      <c r="G479" s="1" t="s">
        <v>324</v>
      </c>
      <c r="H479" s="1" t="s">
        <v>325</v>
      </c>
      <c r="I479" s="1" t="s">
        <v>1097</v>
      </c>
      <c r="J479" s="1" t="s">
        <v>210</v>
      </c>
      <c r="K479" s="1" t="s">
        <v>1097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3">
        <v>0</v>
      </c>
      <c r="U479" s="1"/>
      <c r="V479" s="1"/>
      <c r="W479" s="1" t="s">
        <v>63</v>
      </c>
      <c r="X479" s="1" t="s">
        <v>248</v>
      </c>
      <c r="Y479" s="1">
        <v>29</v>
      </c>
      <c r="Z479" s="1"/>
      <c r="AA479" s="1" t="s">
        <v>975</v>
      </c>
      <c r="AB479" s="1">
        <v>3235116603</v>
      </c>
    </row>
    <row r="480" spans="1:28" ht="13.8">
      <c r="A480" s="331">
        <v>26515</v>
      </c>
      <c r="B480" s="331">
        <v>26495</v>
      </c>
      <c r="C480" s="115">
        <v>46066</v>
      </c>
      <c r="D480" s="1" t="s">
        <v>2131</v>
      </c>
      <c r="E480" s="1" t="s">
        <v>2132</v>
      </c>
      <c r="F480" s="1" t="s">
        <v>4</v>
      </c>
      <c r="G480" s="1" t="s">
        <v>324</v>
      </c>
      <c r="H480" s="1" t="s">
        <v>325</v>
      </c>
      <c r="I480" s="1" t="s">
        <v>1097</v>
      </c>
      <c r="J480" s="1" t="s">
        <v>210</v>
      </c>
      <c r="K480" s="1" t="s">
        <v>1097</v>
      </c>
      <c r="L480" s="2">
        <v>350000</v>
      </c>
      <c r="M480" s="2">
        <v>171500</v>
      </c>
      <c r="N480" s="2">
        <v>0</v>
      </c>
      <c r="O480" s="2">
        <v>7000</v>
      </c>
      <c r="P480" s="2">
        <v>0</v>
      </c>
      <c r="Q480" s="2">
        <v>0</v>
      </c>
      <c r="R480" s="2">
        <v>0</v>
      </c>
      <c r="S480" s="2">
        <v>171500</v>
      </c>
      <c r="T480" s="3">
        <v>0.49</v>
      </c>
      <c r="U480" s="1"/>
      <c r="V480" s="1" t="s">
        <v>2455</v>
      </c>
      <c r="W480" s="1" t="s">
        <v>202</v>
      </c>
      <c r="X480" s="1" t="s">
        <v>225</v>
      </c>
      <c r="Y480" s="1">
        <v>52</v>
      </c>
      <c r="Z480" s="1" t="s">
        <v>2456</v>
      </c>
      <c r="AA480" s="1" t="s">
        <v>975</v>
      </c>
      <c r="AB480" s="1">
        <v>3176470234</v>
      </c>
    </row>
    <row r="481" spans="1:28" ht="13.8">
      <c r="A481" s="331">
        <v>35997</v>
      </c>
      <c r="B481" s="331">
        <v>25714</v>
      </c>
      <c r="C481" s="115">
        <v>46066</v>
      </c>
      <c r="D481" s="1" t="s">
        <v>784</v>
      </c>
      <c r="E481" s="1" t="s">
        <v>785</v>
      </c>
      <c r="F481" s="1" t="s">
        <v>4</v>
      </c>
      <c r="G481" s="1">
        <v>890303</v>
      </c>
      <c r="H481" s="1" t="s">
        <v>221</v>
      </c>
      <c r="I481" s="1" t="s">
        <v>1012</v>
      </c>
      <c r="J481" s="1" t="s">
        <v>223</v>
      </c>
      <c r="K481" s="1"/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3">
        <v>0</v>
      </c>
      <c r="U481" s="1"/>
      <c r="V481" s="1"/>
      <c r="W481" s="1" t="s">
        <v>63</v>
      </c>
      <c r="X481" s="1" t="s">
        <v>277</v>
      </c>
      <c r="Y481" s="1">
        <v>25</v>
      </c>
      <c r="Z481" s="1"/>
      <c r="AA481" s="1" t="s">
        <v>975</v>
      </c>
      <c r="AB481" s="1">
        <v>3146094814</v>
      </c>
    </row>
    <row r="482" spans="1:28" ht="13.8">
      <c r="A482" s="331">
        <v>26515</v>
      </c>
      <c r="B482" s="331">
        <v>26496</v>
      </c>
      <c r="C482" s="115">
        <v>46066</v>
      </c>
      <c r="D482" s="1" t="s">
        <v>2131</v>
      </c>
      <c r="E482" s="1" t="s">
        <v>2132</v>
      </c>
      <c r="F482" s="1" t="s">
        <v>4</v>
      </c>
      <c r="G482" s="1" t="s">
        <v>228</v>
      </c>
      <c r="H482" s="1" t="s">
        <v>229</v>
      </c>
      <c r="I482" s="1" t="s">
        <v>1209</v>
      </c>
      <c r="J482" s="1" t="s">
        <v>210</v>
      </c>
      <c r="K482" s="1" t="s">
        <v>1209</v>
      </c>
      <c r="L482" s="2">
        <v>350000</v>
      </c>
      <c r="M482" s="2">
        <v>171500</v>
      </c>
      <c r="N482" s="2">
        <v>0</v>
      </c>
      <c r="O482" s="2">
        <v>7000</v>
      </c>
      <c r="P482" s="2">
        <v>0</v>
      </c>
      <c r="Q482" s="2">
        <v>0</v>
      </c>
      <c r="R482" s="2">
        <v>0</v>
      </c>
      <c r="S482" s="2">
        <v>171500</v>
      </c>
      <c r="T482" s="3">
        <v>0.49</v>
      </c>
      <c r="U482" s="1"/>
      <c r="V482" s="1" t="s">
        <v>2455</v>
      </c>
      <c r="W482" s="1" t="s">
        <v>202</v>
      </c>
      <c r="X482" s="1" t="s">
        <v>225</v>
      </c>
      <c r="Y482" s="1">
        <v>52</v>
      </c>
      <c r="Z482" s="1" t="s">
        <v>2456</v>
      </c>
      <c r="AA482" s="1" t="s">
        <v>975</v>
      </c>
      <c r="AB482" s="1">
        <v>3176470234</v>
      </c>
    </row>
    <row r="483" spans="1:28" ht="13.8">
      <c r="A483" s="331">
        <v>24545</v>
      </c>
      <c r="B483" s="331">
        <v>26525</v>
      </c>
      <c r="C483" s="115">
        <v>46066</v>
      </c>
      <c r="D483" s="1" t="s">
        <v>843</v>
      </c>
      <c r="E483" s="1" t="s">
        <v>844</v>
      </c>
      <c r="F483" s="1" t="s">
        <v>4</v>
      </c>
      <c r="G483" s="1">
        <v>861411</v>
      </c>
      <c r="H483" s="1" t="s">
        <v>406</v>
      </c>
      <c r="I483" s="1" t="s">
        <v>1081</v>
      </c>
      <c r="J483" s="1" t="s">
        <v>210</v>
      </c>
      <c r="K483" s="1"/>
      <c r="L483" s="2">
        <v>1380000</v>
      </c>
      <c r="M483" s="2">
        <v>518825</v>
      </c>
      <c r="N483" s="2">
        <v>205786</v>
      </c>
      <c r="O483" s="2">
        <v>27600</v>
      </c>
      <c r="P483" s="2">
        <v>0</v>
      </c>
      <c r="Q483" s="2">
        <v>108964</v>
      </c>
      <c r="R483" s="2">
        <v>0</v>
      </c>
      <c r="S483" s="2">
        <v>627789</v>
      </c>
      <c r="T483" s="3">
        <v>0.45491956521739002</v>
      </c>
      <c r="U483" s="1"/>
      <c r="V483" s="1" t="s">
        <v>2457</v>
      </c>
      <c r="W483" s="1" t="s">
        <v>202</v>
      </c>
      <c r="X483" s="1" t="s">
        <v>277</v>
      </c>
      <c r="Y483" s="1">
        <v>69</v>
      </c>
      <c r="Z483" s="1" t="s">
        <v>2458</v>
      </c>
      <c r="AA483" s="1" t="s">
        <v>975</v>
      </c>
      <c r="AB483" s="1">
        <v>3137482276</v>
      </c>
    </row>
    <row r="484" spans="1:28" ht="13.8">
      <c r="A484" s="331">
        <v>36401</v>
      </c>
      <c r="B484" s="331">
        <v>26450</v>
      </c>
      <c r="C484" s="115">
        <v>46066</v>
      </c>
      <c r="D484" s="1" t="s">
        <v>441</v>
      </c>
      <c r="E484" s="1" t="s">
        <v>442</v>
      </c>
      <c r="F484" s="1" t="s">
        <v>4</v>
      </c>
      <c r="G484" s="1" t="s">
        <v>324</v>
      </c>
      <c r="H484" s="1" t="s">
        <v>325</v>
      </c>
      <c r="I484" s="1" t="s">
        <v>1097</v>
      </c>
      <c r="J484" s="1" t="s">
        <v>210</v>
      </c>
      <c r="K484" s="1" t="s">
        <v>1097</v>
      </c>
      <c r="L484" s="2">
        <v>650000</v>
      </c>
      <c r="M484" s="2">
        <v>318500</v>
      </c>
      <c r="N484" s="2">
        <v>0</v>
      </c>
      <c r="O484" s="2">
        <v>13000</v>
      </c>
      <c r="P484" s="2">
        <v>0</v>
      </c>
      <c r="Q484" s="2">
        <v>0</v>
      </c>
      <c r="R484" s="2">
        <v>0</v>
      </c>
      <c r="S484" s="2">
        <v>318500</v>
      </c>
      <c r="T484" s="3">
        <v>0.49</v>
      </c>
      <c r="U484" s="1"/>
      <c r="V484" s="1" t="s">
        <v>2459</v>
      </c>
      <c r="W484" s="1" t="s">
        <v>202</v>
      </c>
      <c r="X484" s="1" t="s">
        <v>213</v>
      </c>
      <c r="Y484" s="1">
        <v>36</v>
      </c>
      <c r="Z484" s="1" t="s">
        <v>2460</v>
      </c>
      <c r="AA484" s="1" t="s">
        <v>975</v>
      </c>
      <c r="AB484" s="1">
        <v>3214188144</v>
      </c>
    </row>
    <row r="485" spans="1:28" ht="13.8">
      <c r="A485" s="331">
        <v>32108</v>
      </c>
      <c r="B485" s="331">
        <v>26541</v>
      </c>
      <c r="C485" s="115">
        <v>46066</v>
      </c>
      <c r="D485" s="1" t="s">
        <v>804</v>
      </c>
      <c r="E485" s="1" t="s">
        <v>805</v>
      </c>
      <c r="F485" s="1" t="s">
        <v>4</v>
      </c>
      <c r="G485" s="1" t="s">
        <v>431</v>
      </c>
      <c r="H485" s="1" t="s">
        <v>432</v>
      </c>
      <c r="I485" s="1" t="s">
        <v>1047</v>
      </c>
      <c r="J485" s="1" t="s">
        <v>210</v>
      </c>
      <c r="K485" s="1" t="s">
        <v>1048</v>
      </c>
      <c r="L485" s="2">
        <v>1000000</v>
      </c>
      <c r="M485" s="2">
        <v>490000</v>
      </c>
      <c r="N485" s="2">
        <v>0</v>
      </c>
      <c r="O485" s="2">
        <v>20000</v>
      </c>
      <c r="P485" s="2">
        <v>0</v>
      </c>
      <c r="Q485" s="2">
        <v>0</v>
      </c>
      <c r="R485" s="2">
        <v>0</v>
      </c>
      <c r="S485" s="2">
        <v>490000</v>
      </c>
      <c r="T485" s="3">
        <v>0.49</v>
      </c>
      <c r="U485" s="1"/>
      <c r="V485" s="1" t="s">
        <v>2461</v>
      </c>
      <c r="W485" s="1" t="s">
        <v>202</v>
      </c>
      <c r="X485" s="1" t="s">
        <v>225</v>
      </c>
      <c r="Y485" s="1">
        <v>37</v>
      </c>
      <c r="Z485" s="1" t="s">
        <v>2462</v>
      </c>
      <c r="AA485" s="1" t="s">
        <v>975</v>
      </c>
      <c r="AB485" s="1" t="s">
        <v>2463</v>
      </c>
    </row>
    <row r="486" spans="1:28" ht="13.8">
      <c r="A486" s="331">
        <v>32108</v>
      </c>
      <c r="B486" s="331">
        <v>26543</v>
      </c>
      <c r="C486" s="115">
        <v>46066</v>
      </c>
      <c r="D486" s="1" t="s">
        <v>804</v>
      </c>
      <c r="E486" s="1" t="s">
        <v>805</v>
      </c>
      <c r="F486" s="1" t="s">
        <v>4</v>
      </c>
      <c r="G486" s="1">
        <v>861411</v>
      </c>
      <c r="H486" s="1" t="s">
        <v>406</v>
      </c>
      <c r="I486" s="1" t="s">
        <v>1081</v>
      </c>
      <c r="J486" s="1" t="s">
        <v>210</v>
      </c>
      <c r="K486" s="1"/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3">
        <v>0</v>
      </c>
      <c r="U486" s="1"/>
      <c r="V486" s="1"/>
      <c r="W486" s="1" t="s">
        <v>63</v>
      </c>
      <c r="X486" s="1" t="s">
        <v>225</v>
      </c>
      <c r="Y486" s="1">
        <v>37</v>
      </c>
      <c r="Z486" s="1"/>
      <c r="AA486" s="1" t="s">
        <v>975</v>
      </c>
      <c r="AB486" s="1" t="s">
        <v>2463</v>
      </c>
    </row>
    <row r="487" spans="1:28" ht="13.8">
      <c r="A487" s="331">
        <v>35466</v>
      </c>
      <c r="B487" s="331">
        <v>24774</v>
      </c>
      <c r="C487" s="115">
        <v>46066</v>
      </c>
      <c r="D487" s="1" t="s">
        <v>477</v>
      </c>
      <c r="E487" s="1" t="s">
        <v>478</v>
      </c>
      <c r="F487" s="1" t="s">
        <v>4</v>
      </c>
      <c r="G487" s="1">
        <v>890303</v>
      </c>
      <c r="H487" s="1" t="s">
        <v>281</v>
      </c>
      <c r="I487" s="1" t="s">
        <v>983</v>
      </c>
      <c r="J487" s="1" t="s">
        <v>210</v>
      </c>
      <c r="K487" s="1"/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3">
        <v>0</v>
      </c>
      <c r="U487" s="1"/>
      <c r="V487" s="1"/>
      <c r="W487" s="1" t="s">
        <v>63</v>
      </c>
      <c r="X487" s="1" t="s">
        <v>277</v>
      </c>
      <c r="Y487" s="1">
        <v>39</v>
      </c>
      <c r="Z487" s="1"/>
      <c r="AA487" s="1" t="s">
        <v>975</v>
      </c>
      <c r="AB487" s="1">
        <v>3155457397</v>
      </c>
    </row>
    <row r="488" spans="1:28" ht="13.8">
      <c r="A488" s="331">
        <v>36238</v>
      </c>
      <c r="B488" s="331">
        <v>26520</v>
      </c>
      <c r="C488" s="115">
        <v>46066</v>
      </c>
      <c r="D488" s="1" t="s">
        <v>1652</v>
      </c>
      <c r="E488" s="1" t="s">
        <v>1653</v>
      </c>
      <c r="F488" s="1" t="s">
        <v>4</v>
      </c>
      <c r="G488" s="1" t="s">
        <v>324</v>
      </c>
      <c r="H488" s="1" t="s">
        <v>325</v>
      </c>
      <c r="I488" s="1" t="s">
        <v>1097</v>
      </c>
      <c r="J488" s="1" t="s">
        <v>210</v>
      </c>
      <c r="K488" s="1" t="s">
        <v>1097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3">
        <v>0</v>
      </c>
      <c r="U488" s="1"/>
      <c r="V488" s="1"/>
      <c r="W488" s="1" t="s">
        <v>63</v>
      </c>
      <c r="X488" s="1" t="s">
        <v>204</v>
      </c>
      <c r="Y488" s="1">
        <v>39</v>
      </c>
      <c r="Z488" s="1"/>
      <c r="AA488" s="1" t="s">
        <v>975</v>
      </c>
      <c r="AB488" s="1">
        <v>3017505025</v>
      </c>
    </row>
    <row r="489" spans="1:28" ht="13.8">
      <c r="A489" s="331">
        <v>33922</v>
      </c>
      <c r="B489" s="331">
        <v>22470</v>
      </c>
      <c r="C489" s="115">
        <v>46066</v>
      </c>
      <c r="D489" s="1" t="s">
        <v>291</v>
      </c>
      <c r="E489" s="1" t="s">
        <v>292</v>
      </c>
      <c r="F489" s="1" t="s">
        <v>4</v>
      </c>
      <c r="G489" s="1">
        <v>890302</v>
      </c>
      <c r="H489" s="1" t="s">
        <v>244</v>
      </c>
      <c r="I489" s="1" t="s">
        <v>1012</v>
      </c>
      <c r="J489" s="1" t="s">
        <v>223</v>
      </c>
      <c r="K489" s="1"/>
      <c r="L489" s="2">
        <v>180000</v>
      </c>
      <c r="M489" s="2">
        <v>88200</v>
      </c>
      <c r="N489" s="2">
        <v>0</v>
      </c>
      <c r="O489" s="2">
        <v>3600</v>
      </c>
      <c r="P489" s="2">
        <v>0</v>
      </c>
      <c r="Q489" s="2">
        <v>0</v>
      </c>
      <c r="R489" s="2">
        <v>0</v>
      </c>
      <c r="S489" s="2">
        <v>88200</v>
      </c>
      <c r="T489" s="3">
        <v>0.49</v>
      </c>
      <c r="U489" s="1"/>
      <c r="V489" s="1" t="s">
        <v>2464</v>
      </c>
      <c r="W489" s="1" t="s">
        <v>202</v>
      </c>
      <c r="X489" s="1" t="s">
        <v>277</v>
      </c>
      <c r="Y489" s="1">
        <v>32</v>
      </c>
      <c r="Z489" s="1" t="s">
        <v>2465</v>
      </c>
      <c r="AA489" s="1" t="s">
        <v>975</v>
      </c>
      <c r="AB489" s="1">
        <v>3008891617</v>
      </c>
    </row>
    <row r="490" spans="1:28" ht="13.8">
      <c r="A490" s="331">
        <v>35986</v>
      </c>
      <c r="B490" s="331">
        <v>25689</v>
      </c>
      <c r="C490" s="115">
        <v>46067</v>
      </c>
      <c r="D490" s="1" t="s">
        <v>779</v>
      </c>
      <c r="E490" s="1" t="s">
        <v>2466</v>
      </c>
      <c r="F490" s="1" t="s">
        <v>3</v>
      </c>
      <c r="G490" s="1">
        <v>890242</v>
      </c>
      <c r="H490" s="1" t="s">
        <v>331</v>
      </c>
      <c r="I490" s="1" t="s">
        <v>972</v>
      </c>
      <c r="J490" s="1" t="s">
        <v>223</v>
      </c>
      <c r="K490" s="1"/>
      <c r="L490" s="2">
        <v>250000</v>
      </c>
      <c r="M490" s="2">
        <v>125000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125000</v>
      </c>
      <c r="T490" s="3">
        <v>0.5</v>
      </c>
      <c r="U490" s="1"/>
      <c r="V490" s="1" t="s">
        <v>2467</v>
      </c>
      <c r="W490" s="1" t="s">
        <v>202</v>
      </c>
      <c r="X490" s="1" t="s">
        <v>248</v>
      </c>
      <c r="Y490" s="1">
        <v>43</v>
      </c>
      <c r="Z490" s="1" t="s">
        <v>2468</v>
      </c>
      <c r="AA490" s="1" t="s">
        <v>975</v>
      </c>
      <c r="AB490" s="1">
        <v>3004689486</v>
      </c>
    </row>
    <row r="491" spans="1:28" ht="13.8">
      <c r="A491" s="331">
        <v>36216</v>
      </c>
      <c r="B491" s="331">
        <v>26094</v>
      </c>
      <c r="C491" s="115">
        <v>46067</v>
      </c>
      <c r="D491" s="1" t="s">
        <v>1355</v>
      </c>
      <c r="E491" s="1" t="s">
        <v>1356</v>
      </c>
      <c r="F491" s="1" t="s">
        <v>2</v>
      </c>
      <c r="G491" s="1">
        <v>890242</v>
      </c>
      <c r="H491" s="1" t="s">
        <v>331</v>
      </c>
      <c r="I491" s="1" t="s">
        <v>972</v>
      </c>
      <c r="J491" s="1" t="s">
        <v>223</v>
      </c>
      <c r="K491" s="1"/>
      <c r="L491" s="2">
        <v>250000</v>
      </c>
      <c r="M491" s="2">
        <v>122500</v>
      </c>
      <c r="N491" s="2">
        <v>0</v>
      </c>
      <c r="O491" s="2">
        <v>5000</v>
      </c>
      <c r="P491" s="2">
        <v>0</v>
      </c>
      <c r="Q491" s="2">
        <v>0</v>
      </c>
      <c r="R491" s="2">
        <v>0</v>
      </c>
      <c r="S491" s="2">
        <v>122500</v>
      </c>
      <c r="T491" s="3">
        <v>0.49</v>
      </c>
      <c r="U491" s="1"/>
      <c r="V491" s="1" t="s">
        <v>2469</v>
      </c>
      <c r="W491" s="1" t="s">
        <v>202</v>
      </c>
      <c r="X491" s="1" t="s">
        <v>213</v>
      </c>
      <c r="Y491" s="1">
        <v>21</v>
      </c>
      <c r="Z491" s="1" t="s">
        <v>2470</v>
      </c>
      <c r="AA491" s="1" t="s">
        <v>975</v>
      </c>
      <c r="AB491" s="1">
        <v>3017365035</v>
      </c>
    </row>
    <row r="492" spans="1:28" ht="13.8">
      <c r="A492" s="331">
        <v>35681</v>
      </c>
      <c r="B492" s="331">
        <v>25126</v>
      </c>
      <c r="C492" s="115">
        <v>46067</v>
      </c>
      <c r="D492" s="1" t="s">
        <v>579</v>
      </c>
      <c r="E492" s="1" t="s">
        <v>580</v>
      </c>
      <c r="F492" s="1" t="s">
        <v>4</v>
      </c>
      <c r="G492" s="1">
        <v>890242</v>
      </c>
      <c r="H492" s="1" t="s">
        <v>331</v>
      </c>
      <c r="I492" s="1" t="s">
        <v>972</v>
      </c>
      <c r="J492" s="1" t="s">
        <v>223</v>
      </c>
      <c r="K492" s="1"/>
      <c r="L492" s="2">
        <v>250000</v>
      </c>
      <c r="M492" s="2">
        <v>122500</v>
      </c>
      <c r="N492" s="2">
        <v>0</v>
      </c>
      <c r="O492" s="2">
        <v>5000</v>
      </c>
      <c r="P492" s="2">
        <v>0</v>
      </c>
      <c r="Q492" s="2">
        <v>0</v>
      </c>
      <c r="R492" s="2">
        <v>0</v>
      </c>
      <c r="S492" s="2">
        <v>122500</v>
      </c>
      <c r="T492" s="3">
        <v>0.49</v>
      </c>
      <c r="U492" s="1"/>
      <c r="V492" s="1" t="s">
        <v>2471</v>
      </c>
      <c r="W492" s="1" t="s">
        <v>202</v>
      </c>
      <c r="X492" s="1" t="s">
        <v>213</v>
      </c>
      <c r="Y492" s="1">
        <v>36</v>
      </c>
      <c r="Z492" s="1" t="s">
        <v>2472</v>
      </c>
      <c r="AA492" s="1" t="s">
        <v>975</v>
      </c>
      <c r="AB492" s="1">
        <v>3135030409</v>
      </c>
    </row>
    <row r="493" spans="1:28" ht="13.8">
      <c r="A493" s="331">
        <v>34187</v>
      </c>
      <c r="B493" s="331">
        <v>22863</v>
      </c>
      <c r="C493" s="115">
        <v>46067</v>
      </c>
      <c r="D493" s="1" t="s">
        <v>303</v>
      </c>
      <c r="E493" s="1" t="s">
        <v>304</v>
      </c>
      <c r="F493" s="1" t="s">
        <v>3</v>
      </c>
      <c r="G493" s="1">
        <v>890302</v>
      </c>
      <c r="H493" s="1" t="s">
        <v>244</v>
      </c>
      <c r="I493" s="1" t="s">
        <v>1012</v>
      </c>
      <c r="J493" s="1" t="s">
        <v>223</v>
      </c>
      <c r="K493" s="1"/>
      <c r="L493" s="2">
        <v>180000</v>
      </c>
      <c r="M493" s="2">
        <v>88200</v>
      </c>
      <c r="N493" s="2">
        <v>0</v>
      </c>
      <c r="O493" s="2">
        <v>3600</v>
      </c>
      <c r="P493" s="2">
        <v>0</v>
      </c>
      <c r="Q493" s="2">
        <v>0</v>
      </c>
      <c r="R493" s="2">
        <v>0</v>
      </c>
      <c r="S493" s="2">
        <v>88200</v>
      </c>
      <c r="T493" s="3">
        <v>0.49</v>
      </c>
      <c r="U493" s="1"/>
      <c r="V493" s="1" t="s">
        <v>2473</v>
      </c>
      <c r="W493" s="1" t="s">
        <v>202</v>
      </c>
      <c r="X493" s="1" t="s">
        <v>225</v>
      </c>
      <c r="Y493" s="1">
        <v>31</v>
      </c>
      <c r="Z493" s="1" t="s">
        <v>2474</v>
      </c>
      <c r="AA493" s="1" t="s">
        <v>975</v>
      </c>
      <c r="AB493" s="1">
        <v>3027435634</v>
      </c>
    </row>
    <row r="494" spans="1:28" ht="13.8">
      <c r="A494" s="331">
        <v>36461</v>
      </c>
      <c r="B494" s="331">
        <v>26556</v>
      </c>
      <c r="C494" s="115">
        <v>46067</v>
      </c>
      <c r="D494" s="1" t="s">
        <v>779</v>
      </c>
      <c r="E494" s="1" t="s">
        <v>2466</v>
      </c>
      <c r="F494" s="1" t="s">
        <v>3</v>
      </c>
      <c r="G494" s="1" t="s">
        <v>2475</v>
      </c>
      <c r="H494" s="1" t="s">
        <v>2476</v>
      </c>
      <c r="I494" s="1" t="s">
        <v>1097</v>
      </c>
      <c r="J494" s="1" t="s">
        <v>210</v>
      </c>
      <c r="K494" s="1" t="s">
        <v>1097</v>
      </c>
      <c r="L494" s="2">
        <v>200000</v>
      </c>
      <c r="M494" s="2">
        <v>98000</v>
      </c>
      <c r="N494" s="2">
        <v>0</v>
      </c>
      <c r="O494" s="2">
        <v>4000</v>
      </c>
      <c r="P494" s="2">
        <v>0</v>
      </c>
      <c r="Q494" s="2">
        <v>0</v>
      </c>
      <c r="R494" s="2">
        <v>0</v>
      </c>
      <c r="S494" s="2">
        <v>98000</v>
      </c>
      <c r="T494" s="3">
        <v>0.49</v>
      </c>
      <c r="U494" s="1"/>
      <c r="V494" s="1" t="s">
        <v>2477</v>
      </c>
      <c r="W494" s="1" t="s">
        <v>202</v>
      </c>
      <c r="X494" s="1" t="s">
        <v>248</v>
      </c>
      <c r="Y494" s="1">
        <v>43</v>
      </c>
      <c r="Z494" s="1" t="s">
        <v>2478</v>
      </c>
      <c r="AA494" s="1" t="s">
        <v>975</v>
      </c>
      <c r="AB494" s="1">
        <v>3004689486</v>
      </c>
    </row>
    <row r="495" spans="1:28" ht="13.8">
      <c r="A495" s="331">
        <v>36465</v>
      </c>
      <c r="B495" s="331">
        <v>26564</v>
      </c>
      <c r="C495" s="115">
        <v>46067</v>
      </c>
      <c r="D495" s="1" t="s">
        <v>2479</v>
      </c>
      <c r="E495" s="1" t="s">
        <v>2480</v>
      </c>
      <c r="F495" s="1" t="s">
        <v>3</v>
      </c>
      <c r="G495" s="1">
        <v>890242</v>
      </c>
      <c r="H495" s="1" t="s">
        <v>331</v>
      </c>
      <c r="I495" s="1" t="s">
        <v>972</v>
      </c>
      <c r="J495" s="1" t="s">
        <v>223</v>
      </c>
      <c r="K495" s="1"/>
      <c r="L495" s="2">
        <v>200000</v>
      </c>
      <c r="M495" s="2">
        <v>98000</v>
      </c>
      <c r="N495" s="2">
        <v>0</v>
      </c>
      <c r="O495" s="2">
        <v>4000</v>
      </c>
      <c r="P495" s="2">
        <v>0</v>
      </c>
      <c r="Q495" s="2">
        <v>0</v>
      </c>
      <c r="R495" s="2">
        <v>0</v>
      </c>
      <c r="S495" s="2">
        <v>98000</v>
      </c>
      <c r="T495" s="3">
        <v>0.49</v>
      </c>
      <c r="U495" s="1"/>
      <c r="V495" s="1" t="s">
        <v>2481</v>
      </c>
      <c r="W495" s="1" t="s">
        <v>202</v>
      </c>
      <c r="X495" s="1" t="s">
        <v>225</v>
      </c>
      <c r="Y495" s="1">
        <v>36</v>
      </c>
      <c r="Z495" s="1" t="s">
        <v>2482</v>
      </c>
      <c r="AA495" s="1" t="s">
        <v>975</v>
      </c>
      <c r="AB495" s="1">
        <v>3128447551</v>
      </c>
    </row>
    <row r="496" spans="1:28" ht="13.8">
      <c r="A496" s="331">
        <v>36418</v>
      </c>
      <c r="B496" s="331">
        <v>26478</v>
      </c>
      <c r="C496" s="115">
        <v>46067</v>
      </c>
      <c r="D496" s="1" t="s">
        <v>2150</v>
      </c>
      <c r="E496" s="1" t="s">
        <v>2151</v>
      </c>
      <c r="F496" s="1" t="s">
        <v>107</v>
      </c>
      <c r="G496" s="1">
        <v>861414</v>
      </c>
      <c r="H496" s="1" t="s">
        <v>405</v>
      </c>
      <c r="I496" s="1" t="s">
        <v>1081</v>
      </c>
      <c r="J496" s="1" t="s">
        <v>210</v>
      </c>
      <c r="K496" s="1"/>
      <c r="L496" s="2">
        <v>760000</v>
      </c>
      <c r="M496" s="2">
        <v>195035.5</v>
      </c>
      <c r="N496" s="2">
        <v>233694.09</v>
      </c>
      <c r="O496" s="2">
        <v>0</v>
      </c>
      <c r="P496" s="2">
        <v>0</v>
      </c>
      <c r="Q496" s="2">
        <v>136234.91</v>
      </c>
      <c r="R496" s="2">
        <v>0</v>
      </c>
      <c r="S496" s="2">
        <v>331270.40999999997</v>
      </c>
      <c r="T496" s="3">
        <v>0.43588211842105001</v>
      </c>
      <c r="U496" s="1"/>
      <c r="V496" s="1" t="s">
        <v>2154</v>
      </c>
      <c r="W496" s="1" t="s">
        <v>202</v>
      </c>
      <c r="X496" s="1" t="s">
        <v>213</v>
      </c>
      <c r="Y496" s="1">
        <v>73</v>
      </c>
      <c r="Z496" s="1" t="s">
        <v>2155</v>
      </c>
      <c r="AA496" s="1" t="s">
        <v>975</v>
      </c>
      <c r="AB496" s="1">
        <v>3107444618</v>
      </c>
    </row>
    <row r="497" spans="1:28" ht="13.8">
      <c r="A497" s="331">
        <v>36086</v>
      </c>
      <c r="B497" s="331">
        <v>25874</v>
      </c>
      <c r="C497" s="115">
        <v>46067</v>
      </c>
      <c r="D497" s="1" t="s">
        <v>885</v>
      </c>
      <c r="E497" s="1" t="s">
        <v>886</v>
      </c>
      <c r="F497" s="1" t="s">
        <v>3</v>
      </c>
      <c r="G497" s="1">
        <v>890242</v>
      </c>
      <c r="H497" s="1" t="s">
        <v>331</v>
      </c>
      <c r="I497" s="1" t="s">
        <v>972</v>
      </c>
      <c r="J497" s="1" t="s">
        <v>223</v>
      </c>
      <c r="K497" s="1"/>
      <c r="L497" s="2">
        <v>250000</v>
      </c>
      <c r="M497" s="2">
        <v>125000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125000</v>
      </c>
      <c r="T497" s="3">
        <v>0.5</v>
      </c>
      <c r="U497" s="1"/>
      <c r="V497" s="1" t="s">
        <v>2483</v>
      </c>
      <c r="W497" s="1" t="s">
        <v>202</v>
      </c>
      <c r="X497" s="1" t="s">
        <v>277</v>
      </c>
      <c r="Y497" s="1">
        <v>22</v>
      </c>
      <c r="Z497" s="1" t="s">
        <v>2484</v>
      </c>
      <c r="AA497" s="1" t="s">
        <v>975</v>
      </c>
      <c r="AB497" s="1">
        <v>3189126393</v>
      </c>
    </row>
    <row r="498" spans="1:28" ht="13.8">
      <c r="A498" s="331">
        <v>36472</v>
      </c>
      <c r="B498" s="331">
        <v>26575</v>
      </c>
      <c r="C498" s="115">
        <v>46067</v>
      </c>
      <c r="D498" s="1" t="s">
        <v>2485</v>
      </c>
      <c r="E498" s="1" t="s">
        <v>2486</v>
      </c>
      <c r="F498" s="1" t="s">
        <v>2</v>
      </c>
      <c r="G498" s="1">
        <v>890242</v>
      </c>
      <c r="H498" s="1" t="s">
        <v>331</v>
      </c>
      <c r="I498" s="1" t="s">
        <v>972</v>
      </c>
      <c r="J498" s="1" t="s">
        <v>223</v>
      </c>
      <c r="K498" s="1"/>
      <c r="L498" s="2">
        <v>250000</v>
      </c>
      <c r="M498" s="2">
        <v>122500</v>
      </c>
      <c r="N498" s="2">
        <v>0</v>
      </c>
      <c r="O498" s="2">
        <v>5000</v>
      </c>
      <c r="P498" s="2">
        <v>0</v>
      </c>
      <c r="Q498" s="2">
        <v>0</v>
      </c>
      <c r="R498" s="2">
        <v>0</v>
      </c>
      <c r="S498" s="2">
        <v>122500</v>
      </c>
      <c r="T498" s="3">
        <v>0.49</v>
      </c>
      <c r="U498" s="1"/>
      <c r="V498" s="1" t="s">
        <v>2487</v>
      </c>
      <c r="W498" s="1" t="s">
        <v>202</v>
      </c>
      <c r="X498" s="1" t="s">
        <v>277</v>
      </c>
      <c r="Y498" s="1">
        <v>27</v>
      </c>
      <c r="Z498" s="1" t="s">
        <v>2488</v>
      </c>
      <c r="AA498" s="1" t="s">
        <v>2489</v>
      </c>
      <c r="AB498" s="1">
        <v>525564373700</v>
      </c>
    </row>
    <row r="499" spans="1:28" ht="13.8">
      <c r="A499" s="331">
        <v>35827</v>
      </c>
      <c r="B499" s="331">
        <v>25680</v>
      </c>
      <c r="C499" s="115">
        <v>46067</v>
      </c>
      <c r="D499" s="1" t="s">
        <v>775</v>
      </c>
      <c r="E499" s="1" t="s">
        <v>776</v>
      </c>
      <c r="F499" s="1" t="s">
        <v>2</v>
      </c>
      <c r="G499" s="1">
        <v>863101</v>
      </c>
      <c r="H499" s="1" t="s">
        <v>378</v>
      </c>
      <c r="I499" s="1" t="s">
        <v>983</v>
      </c>
      <c r="J499" s="1" t="s">
        <v>210</v>
      </c>
      <c r="K499" s="1"/>
      <c r="L499" s="2">
        <v>350000</v>
      </c>
      <c r="M499" s="2">
        <v>175000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175000</v>
      </c>
      <c r="T499" s="3">
        <v>0.5</v>
      </c>
      <c r="U499" s="1"/>
      <c r="V499" s="1" t="s">
        <v>2490</v>
      </c>
      <c r="W499" s="1" t="s">
        <v>202</v>
      </c>
      <c r="X499" s="1" t="s">
        <v>213</v>
      </c>
      <c r="Y499" s="1">
        <v>32</v>
      </c>
      <c r="Z499" s="1" t="s">
        <v>2491</v>
      </c>
      <c r="AA499" s="1" t="s">
        <v>975</v>
      </c>
      <c r="AB499" s="1">
        <v>3145016756</v>
      </c>
    </row>
    <row r="500" spans="1:28" ht="13.8">
      <c r="A500" s="331">
        <v>33003</v>
      </c>
      <c r="B500" s="331">
        <v>20993</v>
      </c>
      <c r="C500" s="115">
        <v>46067</v>
      </c>
      <c r="D500" s="1" t="s">
        <v>2492</v>
      </c>
      <c r="E500" s="1" t="s">
        <v>2493</v>
      </c>
      <c r="F500" s="1" t="s">
        <v>2</v>
      </c>
      <c r="G500" s="1">
        <v>861401</v>
      </c>
      <c r="H500" s="1" t="s">
        <v>307</v>
      </c>
      <c r="I500" s="1" t="s">
        <v>983</v>
      </c>
      <c r="J500" s="1" t="s">
        <v>210</v>
      </c>
      <c r="K500" s="1"/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3">
        <v>0</v>
      </c>
      <c r="U500" s="1"/>
      <c r="V500" s="1"/>
      <c r="W500" s="1" t="s">
        <v>63</v>
      </c>
      <c r="X500" s="1" t="s">
        <v>213</v>
      </c>
      <c r="Y500" s="1">
        <v>16</v>
      </c>
      <c r="Z500" s="1"/>
      <c r="AA500" s="1" t="s">
        <v>975</v>
      </c>
      <c r="AB500" s="1">
        <v>3505819009</v>
      </c>
    </row>
    <row r="501" spans="1:28" ht="13.8">
      <c r="A501" s="331">
        <v>36452</v>
      </c>
      <c r="B501" s="331">
        <v>26539</v>
      </c>
      <c r="C501" s="115">
        <v>46067</v>
      </c>
      <c r="D501" s="1" t="s">
        <v>2494</v>
      </c>
      <c r="E501" s="1" t="s">
        <v>2495</v>
      </c>
      <c r="F501" s="1" t="s">
        <v>2</v>
      </c>
      <c r="G501" s="1" t="s">
        <v>255</v>
      </c>
      <c r="H501" s="1" t="s">
        <v>256</v>
      </c>
      <c r="I501" s="1" t="s">
        <v>256</v>
      </c>
      <c r="J501" s="1" t="s">
        <v>210</v>
      </c>
      <c r="K501" s="1" t="s">
        <v>1066</v>
      </c>
      <c r="L501" s="2">
        <v>650000</v>
      </c>
      <c r="M501" s="2">
        <v>279800</v>
      </c>
      <c r="N501" s="2">
        <v>61814.38</v>
      </c>
      <c r="O501" s="2">
        <v>13000</v>
      </c>
      <c r="P501" s="2">
        <v>0</v>
      </c>
      <c r="Q501" s="2">
        <v>15585.62</v>
      </c>
      <c r="R501" s="2">
        <v>0</v>
      </c>
      <c r="S501" s="2">
        <v>295385.62</v>
      </c>
      <c r="T501" s="3">
        <v>0.45443941538462002</v>
      </c>
      <c r="U501" s="1"/>
      <c r="V501" s="1" t="s">
        <v>2496</v>
      </c>
      <c r="W501" s="1" t="s">
        <v>202</v>
      </c>
      <c r="X501" s="1" t="s">
        <v>213</v>
      </c>
      <c r="Y501" s="1">
        <v>17</v>
      </c>
      <c r="Z501" s="1" t="s">
        <v>2497</v>
      </c>
      <c r="AA501" s="1" t="s">
        <v>1028</v>
      </c>
      <c r="AB501" s="1">
        <v>3005969622</v>
      </c>
    </row>
    <row r="502" spans="1:28" ht="13.8">
      <c r="A502" s="331">
        <v>36231</v>
      </c>
      <c r="B502" s="331">
        <v>26131</v>
      </c>
      <c r="C502" s="115">
        <v>46067</v>
      </c>
      <c r="D502" s="1" t="s">
        <v>1366</v>
      </c>
      <c r="E502" s="1" t="s">
        <v>1367</v>
      </c>
      <c r="F502" s="1" t="s">
        <v>2</v>
      </c>
      <c r="G502" s="1" t="s">
        <v>654</v>
      </c>
      <c r="H502" s="1" t="s">
        <v>655</v>
      </c>
      <c r="I502" s="1" t="s">
        <v>2195</v>
      </c>
      <c r="J502" s="1" t="s">
        <v>210</v>
      </c>
      <c r="K502" s="1" t="s">
        <v>2195</v>
      </c>
      <c r="L502" s="2">
        <v>600000</v>
      </c>
      <c r="M502" s="2">
        <v>284858.5</v>
      </c>
      <c r="N502" s="2">
        <v>13583.5</v>
      </c>
      <c r="O502" s="2">
        <v>12000</v>
      </c>
      <c r="P502" s="2">
        <v>0</v>
      </c>
      <c r="Q502" s="2">
        <v>4699.5</v>
      </c>
      <c r="R502" s="2">
        <v>0</v>
      </c>
      <c r="S502" s="2">
        <v>289558</v>
      </c>
      <c r="T502" s="3">
        <v>0.48259666666667</v>
      </c>
      <c r="U502" s="1"/>
      <c r="V502" s="1" t="s">
        <v>2498</v>
      </c>
      <c r="W502" s="1" t="s">
        <v>202</v>
      </c>
      <c r="X502" s="1" t="s">
        <v>213</v>
      </c>
      <c r="Y502" s="1">
        <v>32</v>
      </c>
      <c r="Z502" s="1" t="s">
        <v>2499</v>
      </c>
      <c r="AA502" s="1" t="s">
        <v>975</v>
      </c>
      <c r="AB502" s="1">
        <v>3126812778</v>
      </c>
    </row>
    <row r="503" spans="1:28" ht="13.8">
      <c r="A503" s="331">
        <v>36231</v>
      </c>
      <c r="B503" s="331">
        <v>26132</v>
      </c>
      <c r="C503" s="115">
        <v>46067</v>
      </c>
      <c r="D503" s="1" t="s">
        <v>1366</v>
      </c>
      <c r="E503" s="1" t="s">
        <v>1367</v>
      </c>
      <c r="F503" s="1" t="s">
        <v>2</v>
      </c>
      <c r="G503" s="1">
        <v>868116</v>
      </c>
      <c r="H503" s="1" t="s">
        <v>298</v>
      </c>
      <c r="I503" s="1" t="s">
        <v>983</v>
      </c>
      <c r="J503" s="1" t="s">
        <v>210</v>
      </c>
      <c r="K503" s="1"/>
      <c r="L503" s="2">
        <v>200000</v>
      </c>
      <c r="M503" s="2">
        <v>89615</v>
      </c>
      <c r="N503" s="2">
        <v>14583</v>
      </c>
      <c r="O503" s="2">
        <v>4000</v>
      </c>
      <c r="P503" s="2">
        <v>0</v>
      </c>
      <c r="Q503" s="2">
        <v>2187</v>
      </c>
      <c r="R503" s="2">
        <v>0</v>
      </c>
      <c r="S503" s="2">
        <v>91802</v>
      </c>
      <c r="T503" s="3">
        <v>0.45900999999999997</v>
      </c>
      <c r="U503" s="1"/>
      <c r="V503" s="1" t="s">
        <v>2498</v>
      </c>
      <c r="W503" s="1" t="s">
        <v>202</v>
      </c>
      <c r="X503" s="1" t="s">
        <v>213</v>
      </c>
      <c r="Y503" s="1">
        <v>32</v>
      </c>
      <c r="Z503" s="1" t="s">
        <v>2499</v>
      </c>
      <c r="AA503" s="1" t="s">
        <v>975</v>
      </c>
      <c r="AB503" s="1">
        <v>3126812778</v>
      </c>
    </row>
    <row r="504" spans="1:28" ht="13.8">
      <c r="A504" s="331">
        <v>33003</v>
      </c>
      <c r="B504" s="331">
        <v>26542</v>
      </c>
      <c r="C504" s="115">
        <v>46067</v>
      </c>
      <c r="D504" s="1" t="s">
        <v>2492</v>
      </c>
      <c r="E504" s="1" t="s">
        <v>2493</v>
      </c>
      <c r="F504" s="1" t="s">
        <v>2</v>
      </c>
      <c r="G504" s="1">
        <v>861401</v>
      </c>
      <c r="H504" s="1" t="s">
        <v>307</v>
      </c>
      <c r="I504" s="1" t="s">
        <v>983</v>
      </c>
      <c r="J504" s="1" t="s">
        <v>210</v>
      </c>
      <c r="K504" s="1"/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3">
        <v>0</v>
      </c>
      <c r="U504" s="1"/>
      <c r="V504" s="1"/>
      <c r="W504" s="1" t="s">
        <v>63</v>
      </c>
      <c r="X504" s="1" t="s">
        <v>213</v>
      </c>
      <c r="Y504" s="1">
        <v>16</v>
      </c>
      <c r="Z504" s="1"/>
      <c r="AA504" s="1" t="s">
        <v>975</v>
      </c>
      <c r="AB504" s="1">
        <v>3505819009</v>
      </c>
    </row>
    <row r="505" spans="1:28" ht="13.8">
      <c r="A505" s="331">
        <v>36474</v>
      </c>
      <c r="B505" s="331">
        <v>26578</v>
      </c>
      <c r="C505" s="115">
        <v>46067</v>
      </c>
      <c r="D505" s="1" t="s">
        <v>2485</v>
      </c>
      <c r="E505" s="1" t="s">
        <v>2486</v>
      </c>
      <c r="F505" s="1" t="s">
        <v>2</v>
      </c>
      <c r="G505" s="1" t="s">
        <v>301</v>
      </c>
      <c r="H505" s="1" t="s">
        <v>302</v>
      </c>
      <c r="I505" s="1" t="s">
        <v>1058</v>
      </c>
      <c r="J505" s="1" t="s">
        <v>210</v>
      </c>
      <c r="K505" s="1" t="s">
        <v>1058</v>
      </c>
      <c r="L505" s="2">
        <v>2100000</v>
      </c>
      <c r="M505" s="2">
        <v>941900</v>
      </c>
      <c r="N505" s="2">
        <v>148000</v>
      </c>
      <c r="O505" s="2">
        <v>42000</v>
      </c>
      <c r="P505" s="2">
        <v>0</v>
      </c>
      <c r="Q505" s="2">
        <v>26200</v>
      </c>
      <c r="R505" s="2">
        <v>0</v>
      </c>
      <c r="S505" s="2">
        <v>968100</v>
      </c>
      <c r="T505" s="3">
        <v>0.46100000000000002</v>
      </c>
      <c r="U505" s="1"/>
      <c r="V505" s="1" t="s">
        <v>2500</v>
      </c>
      <c r="W505" s="1" t="s">
        <v>202</v>
      </c>
      <c r="X505" s="1" t="s">
        <v>277</v>
      </c>
      <c r="Y505" s="1">
        <v>27</v>
      </c>
      <c r="Z505" s="1" t="s">
        <v>2501</v>
      </c>
      <c r="AA505" s="1" t="s">
        <v>2489</v>
      </c>
      <c r="AB505" s="1">
        <v>525564373700</v>
      </c>
    </row>
    <row r="506" spans="1:28" ht="13.8">
      <c r="A506" s="331">
        <v>35807</v>
      </c>
      <c r="B506" s="331">
        <v>25355</v>
      </c>
      <c r="C506" s="115">
        <v>46067</v>
      </c>
      <c r="D506" s="1" t="s">
        <v>662</v>
      </c>
      <c r="E506" s="1" t="s">
        <v>663</v>
      </c>
      <c r="F506" s="1" t="s">
        <v>2</v>
      </c>
      <c r="G506" s="1">
        <v>890303</v>
      </c>
      <c r="H506" s="1" t="s">
        <v>221</v>
      </c>
      <c r="I506" s="1" t="s">
        <v>1012</v>
      </c>
      <c r="J506" s="1" t="s">
        <v>223</v>
      </c>
      <c r="K506" s="1"/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3">
        <v>0</v>
      </c>
      <c r="U506" s="1"/>
      <c r="V506" s="1"/>
      <c r="W506" s="1" t="s">
        <v>63</v>
      </c>
      <c r="X506" s="1" t="s">
        <v>225</v>
      </c>
      <c r="Y506" s="1">
        <v>55</v>
      </c>
      <c r="Z506" s="1"/>
      <c r="AA506" s="1" t="s">
        <v>975</v>
      </c>
      <c r="AB506" s="1">
        <v>3002142832</v>
      </c>
    </row>
    <row r="507" spans="1:28" ht="13.8">
      <c r="A507" s="331">
        <v>36360</v>
      </c>
      <c r="B507" s="331">
        <v>26375</v>
      </c>
      <c r="C507" s="115">
        <v>46067</v>
      </c>
      <c r="D507" s="1" t="s">
        <v>2081</v>
      </c>
      <c r="E507" s="1" t="s">
        <v>2082</v>
      </c>
      <c r="F507" s="1" t="s">
        <v>4</v>
      </c>
      <c r="G507" s="1">
        <v>890242</v>
      </c>
      <c r="H507" s="1" t="s">
        <v>331</v>
      </c>
      <c r="I507" s="1" t="s">
        <v>972</v>
      </c>
      <c r="J507" s="1" t="s">
        <v>223</v>
      </c>
      <c r="K507" s="1"/>
      <c r="L507" s="2">
        <v>250000</v>
      </c>
      <c r="M507" s="2">
        <v>122500</v>
      </c>
      <c r="N507" s="2">
        <v>0</v>
      </c>
      <c r="O507" s="2">
        <v>5000</v>
      </c>
      <c r="P507" s="2">
        <v>0</v>
      </c>
      <c r="Q507" s="2">
        <v>0</v>
      </c>
      <c r="R507" s="2">
        <v>0</v>
      </c>
      <c r="S507" s="2">
        <v>122500</v>
      </c>
      <c r="T507" s="3">
        <v>0.49</v>
      </c>
      <c r="U507" s="1"/>
      <c r="V507" s="1" t="s">
        <v>2502</v>
      </c>
      <c r="W507" s="1" t="s">
        <v>202</v>
      </c>
      <c r="X507" s="1" t="s">
        <v>277</v>
      </c>
      <c r="Y507" s="1">
        <v>14</v>
      </c>
      <c r="Z507" s="1" t="s">
        <v>2503</v>
      </c>
      <c r="AA507" s="1" t="s">
        <v>975</v>
      </c>
      <c r="AB507" s="1">
        <v>3116333434</v>
      </c>
    </row>
    <row r="508" spans="1:28" ht="13.8">
      <c r="A508" s="331">
        <v>36468</v>
      </c>
      <c r="B508" s="331">
        <v>26570</v>
      </c>
      <c r="C508" s="115">
        <v>46067</v>
      </c>
      <c r="D508" s="1" t="s">
        <v>952</v>
      </c>
      <c r="E508" s="1" t="s">
        <v>953</v>
      </c>
      <c r="F508" s="1" t="s">
        <v>3</v>
      </c>
      <c r="G508" s="1" t="s">
        <v>391</v>
      </c>
      <c r="H508" s="1" t="s">
        <v>392</v>
      </c>
      <c r="I508" s="1" t="s">
        <v>1065</v>
      </c>
      <c r="J508" s="1" t="s">
        <v>210</v>
      </c>
      <c r="K508" s="1"/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3">
        <v>0</v>
      </c>
      <c r="U508" s="1"/>
      <c r="V508" s="1"/>
      <c r="W508" s="1" t="s">
        <v>63</v>
      </c>
      <c r="X508" s="1" t="s">
        <v>225</v>
      </c>
      <c r="Y508" s="1">
        <v>29</v>
      </c>
      <c r="Z508" s="1"/>
      <c r="AA508" s="1" t="s">
        <v>975</v>
      </c>
      <c r="AB508" s="1">
        <v>3136820922</v>
      </c>
    </row>
    <row r="509" spans="1:28" ht="13.8">
      <c r="A509" s="331">
        <v>36450</v>
      </c>
      <c r="B509" s="331">
        <v>26536</v>
      </c>
      <c r="C509" s="115">
        <v>46067</v>
      </c>
      <c r="D509" s="1" t="s">
        <v>2504</v>
      </c>
      <c r="E509" s="1" t="s">
        <v>2505</v>
      </c>
      <c r="F509" s="1" t="s">
        <v>3</v>
      </c>
      <c r="G509" s="1">
        <v>860101</v>
      </c>
      <c r="H509" s="1" t="s">
        <v>982</v>
      </c>
      <c r="I509" s="1" t="s">
        <v>983</v>
      </c>
      <c r="J509" s="1" t="s">
        <v>210</v>
      </c>
      <c r="K509" s="1"/>
      <c r="L509" s="2">
        <v>650000</v>
      </c>
      <c r="M509" s="2">
        <v>222950</v>
      </c>
      <c r="N509" s="2">
        <v>9189</v>
      </c>
      <c r="O509" s="2">
        <v>13000</v>
      </c>
      <c r="P509" s="2">
        <v>180000</v>
      </c>
      <c r="Q509" s="2">
        <v>1911</v>
      </c>
      <c r="R509" s="2">
        <v>0</v>
      </c>
      <c r="S509" s="2">
        <v>224861</v>
      </c>
      <c r="T509" s="3">
        <v>0.34594000000000003</v>
      </c>
      <c r="U509" s="1"/>
      <c r="V509" s="1" t="s">
        <v>2506</v>
      </c>
      <c r="W509" s="1" t="s">
        <v>202</v>
      </c>
      <c r="X509" s="1" t="s">
        <v>277</v>
      </c>
      <c r="Y509" s="1">
        <v>47</v>
      </c>
      <c r="Z509" s="1" t="s">
        <v>2507</v>
      </c>
      <c r="AA509" s="1" t="s">
        <v>975</v>
      </c>
      <c r="AB509" s="1">
        <v>3104323542</v>
      </c>
    </row>
    <row r="510" spans="1:28" ht="13.8">
      <c r="A510" s="331">
        <v>36434</v>
      </c>
      <c r="B510" s="331">
        <v>26511</v>
      </c>
      <c r="C510" s="115">
        <v>46067</v>
      </c>
      <c r="D510" s="1" t="s">
        <v>2508</v>
      </c>
      <c r="E510" s="1" t="s">
        <v>2509</v>
      </c>
      <c r="F510" s="1" t="s">
        <v>127</v>
      </c>
      <c r="G510" s="1">
        <v>890242</v>
      </c>
      <c r="H510" s="1" t="s">
        <v>331</v>
      </c>
      <c r="I510" s="1" t="s">
        <v>972</v>
      </c>
      <c r="J510" s="1" t="s">
        <v>223</v>
      </c>
      <c r="K510" s="1"/>
      <c r="L510" s="2">
        <v>250000</v>
      </c>
      <c r="M510" s="2">
        <v>122500</v>
      </c>
      <c r="N510" s="2">
        <v>0</v>
      </c>
      <c r="O510" s="2">
        <v>5000</v>
      </c>
      <c r="P510" s="2">
        <v>0</v>
      </c>
      <c r="Q510" s="2">
        <v>0</v>
      </c>
      <c r="R510" s="2">
        <v>0</v>
      </c>
      <c r="S510" s="2">
        <v>122500</v>
      </c>
      <c r="T510" s="3">
        <v>0.49</v>
      </c>
      <c r="U510" s="1"/>
      <c r="V510" s="1" t="s">
        <v>2510</v>
      </c>
      <c r="W510" s="1" t="s">
        <v>202</v>
      </c>
      <c r="X510" s="1" t="s">
        <v>213</v>
      </c>
      <c r="Y510" s="1">
        <v>22</v>
      </c>
      <c r="Z510" s="1" t="s">
        <v>2511</v>
      </c>
      <c r="AA510" s="1" t="s">
        <v>975</v>
      </c>
      <c r="AB510" s="1">
        <v>3122001296</v>
      </c>
    </row>
    <row r="511" spans="1:28" ht="13.8">
      <c r="A511" s="331">
        <v>30891</v>
      </c>
      <c r="B511" s="331">
        <v>23539</v>
      </c>
      <c r="C511" s="115">
        <v>46067</v>
      </c>
      <c r="D511" s="1" t="s">
        <v>320</v>
      </c>
      <c r="E511" s="1" t="s">
        <v>321</v>
      </c>
      <c r="F511" s="1" t="s">
        <v>3</v>
      </c>
      <c r="G511" s="1">
        <v>861417</v>
      </c>
      <c r="H511" s="1" t="s">
        <v>1460</v>
      </c>
      <c r="I511" s="1" t="s">
        <v>1081</v>
      </c>
      <c r="J511" s="1" t="s">
        <v>210</v>
      </c>
      <c r="K511" s="1"/>
      <c r="L511" s="2">
        <v>2375000</v>
      </c>
      <c r="M511" s="2">
        <v>689655</v>
      </c>
      <c r="N511" s="2">
        <v>806290</v>
      </c>
      <c r="O511" s="2">
        <v>47500</v>
      </c>
      <c r="P511" s="2">
        <v>0</v>
      </c>
      <c r="Q511" s="2">
        <v>141900</v>
      </c>
      <c r="R511" s="2">
        <v>0</v>
      </c>
      <c r="S511" s="2">
        <v>831555</v>
      </c>
      <c r="T511" s="3">
        <v>0.35012842105262998</v>
      </c>
      <c r="U511" s="1"/>
      <c r="V511" s="1" t="s">
        <v>2512</v>
      </c>
      <c r="W511" s="1" t="s">
        <v>202</v>
      </c>
      <c r="X511" s="1" t="s">
        <v>248</v>
      </c>
      <c r="Y511" s="1">
        <v>32</v>
      </c>
      <c r="Z511" s="1" t="s">
        <v>2513</v>
      </c>
      <c r="AA511" s="1" t="s">
        <v>975</v>
      </c>
      <c r="AB511" s="1">
        <v>3128557068</v>
      </c>
    </row>
    <row r="512" spans="1:28" ht="13.8">
      <c r="A512" s="331">
        <v>34717</v>
      </c>
      <c r="B512" s="331">
        <v>23668</v>
      </c>
      <c r="C512" s="115">
        <v>46067</v>
      </c>
      <c r="D512" s="1" t="s">
        <v>333</v>
      </c>
      <c r="E512" s="1" t="s">
        <v>334</v>
      </c>
      <c r="F512" s="1" t="s">
        <v>3</v>
      </c>
      <c r="G512" s="1" t="s">
        <v>324</v>
      </c>
      <c r="H512" s="1" t="s">
        <v>325</v>
      </c>
      <c r="I512" s="1" t="s">
        <v>1097</v>
      </c>
      <c r="J512" s="1" t="s">
        <v>210</v>
      </c>
      <c r="K512" s="1" t="s">
        <v>1097</v>
      </c>
      <c r="L512" s="2">
        <v>650000</v>
      </c>
      <c r="M512" s="2">
        <v>318500</v>
      </c>
      <c r="N512" s="2">
        <v>0</v>
      </c>
      <c r="O512" s="2">
        <v>13000</v>
      </c>
      <c r="P512" s="2">
        <v>0</v>
      </c>
      <c r="Q512" s="2">
        <v>0</v>
      </c>
      <c r="R512" s="2">
        <v>0</v>
      </c>
      <c r="S512" s="2">
        <v>318500</v>
      </c>
      <c r="T512" s="3">
        <v>0.49</v>
      </c>
      <c r="U512" s="1"/>
      <c r="V512" s="1" t="s">
        <v>2514</v>
      </c>
      <c r="W512" s="1" t="s">
        <v>202</v>
      </c>
      <c r="X512" s="1" t="s">
        <v>213</v>
      </c>
      <c r="Y512" s="1">
        <v>28</v>
      </c>
      <c r="Z512" s="1" t="s">
        <v>2515</v>
      </c>
      <c r="AA512" s="1" t="s">
        <v>975</v>
      </c>
      <c r="AB512" s="1">
        <v>3155916855</v>
      </c>
    </row>
    <row r="513" spans="1:28" ht="13.8">
      <c r="A513" s="331">
        <v>36030</v>
      </c>
      <c r="B513" s="331">
        <v>25780</v>
      </c>
      <c r="C513" s="115">
        <v>46067</v>
      </c>
      <c r="D513" s="1" t="s">
        <v>826</v>
      </c>
      <c r="E513" s="1" t="s">
        <v>827</v>
      </c>
      <c r="F513" s="1" t="s">
        <v>3</v>
      </c>
      <c r="G513" s="1">
        <v>890242</v>
      </c>
      <c r="H513" s="1" t="s">
        <v>331</v>
      </c>
      <c r="I513" s="1" t="s">
        <v>972</v>
      </c>
      <c r="J513" s="1" t="s">
        <v>223</v>
      </c>
      <c r="K513" s="1"/>
      <c r="L513" s="2">
        <v>250000</v>
      </c>
      <c r="M513" s="2">
        <v>122500</v>
      </c>
      <c r="N513" s="2">
        <v>0</v>
      </c>
      <c r="O513" s="2">
        <v>5000</v>
      </c>
      <c r="P513" s="2">
        <v>0</v>
      </c>
      <c r="Q513" s="2">
        <v>0</v>
      </c>
      <c r="R513" s="2">
        <v>0</v>
      </c>
      <c r="S513" s="2">
        <v>122500</v>
      </c>
      <c r="T513" s="3">
        <v>0.49</v>
      </c>
      <c r="U513" s="1"/>
      <c r="V513" s="1" t="s">
        <v>2516</v>
      </c>
      <c r="W513" s="1" t="s">
        <v>202</v>
      </c>
      <c r="X513" s="1" t="s">
        <v>213</v>
      </c>
      <c r="Y513" s="1">
        <v>53</v>
      </c>
      <c r="Z513" s="1" t="s">
        <v>2517</v>
      </c>
      <c r="AA513" s="1" t="s">
        <v>975</v>
      </c>
      <c r="AB513" s="1" t="s">
        <v>2518</v>
      </c>
    </row>
    <row r="514" spans="1:28" ht="13.8">
      <c r="A514" s="331">
        <v>36322</v>
      </c>
      <c r="B514" s="331">
        <v>26593</v>
      </c>
      <c r="C514" s="115">
        <v>46067</v>
      </c>
      <c r="D514" s="1" t="s">
        <v>2034</v>
      </c>
      <c r="E514" s="1" t="s">
        <v>2035</v>
      </c>
      <c r="F514" s="1" t="s">
        <v>3</v>
      </c>
      <c r="G514" s="1" t="s">
        <v>445</v>
      </c>
      <c r="H514" s="1" t="s">
        <v>446</v>
      </c>
      <c r="I514" s="1" t="s">
        <v>1209</v>
      </c>
      <c r="J514" s="1" t="s">
        <v>210</v>
      </c>
      <c r="K514" s="1" t="s">
        <v>1209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3">
        <v>0</v>
      </c>
      <c r="U514" s="1"/>
      <c r="V514" s="1"/>
      <c r="W514" s="1" t="s">
        <v>63</v>
      </c>
      <c r="X514" s="1" t="s">
        <v>225</v>
      </c>
      <c r="Y514" s="1">
        <v>29</v>
      </c>
      <c r="Z514" s="1"/>
      <c r="AA514" s="1" t="s">
        <v>975</v>
      </c>
      <c r="AB514" s="1">
        <v>3228480062</v>
      </c>
    </row>
    <row r="515" spans="1:28" ht="13.8">
      <c r="A515" s="331">
        <v>34444</v>
      </c>
      <c r="B515" s="331">
        <v>24415</v>
      </c>
      <c r="C515" s="115">
        <v>46067</v>
      </c>
      <c r="D515" s="1" t="s">
        <v>419</v>
      </c>
      <c r="E515" s="1" t="s">
        <v>420</v>
      </c>
      <c r="F515" s="1" t="s">
        <v>127</v>
      </c>
      <c r="G515" s="1" t="s">
        <v>324</v>
      </c>
      <c r="H515" s="1" t="s">
        <v>325</v>
      </c>
      <c r="I515" s="1" t="s">
        <v>1097</v>
      </c>
      <c r="J515" s="1" t="s">
        <v>210</v>
      </c>
      <c r="K515" s="1" t="s">
        <v>1097</v>
      </c>
      <c r="L515" s="2">
        <v>450000</v>
      </c>
      <c r="M515" s="2">
        <v>220500</v>
      </c>
      <c r="N515" s="2">
        <v>0</v>
      </c>
      <c r="O515" s="2">
        <v>9000</v>
      </c>
      <c r="P515" s="2">
        <v>0</v>
      </c>
      <c r="Q515" s="2">
        <v>0</v>
      </c>
      <c r="R515" s="2">
        <v>0</v>
      </c>
      <c r="S515" s="2">
        <v>220500</v>
      </c>
      <c r="T515" s="3">
        <v>0.49</v>
      </c>
      <c r="U515" s="1"/>
      <c r="V515" s="1" t="s">
        <v>421</v>
      </c>
      <c r="W515" s="1" t="s">
        <v>203</v>
      </c>
      <c r="X515" s="1" t="s">
        <v>225</v>
      </c>
      <c r="Y515" s="1">
        <v>34</v>
      </c>
      <c r="Z515" s="1" t="s">
        <v>422</v>
      </c>
      <c r="AA515" s="1" t="s">
        <v>975</v>
      </c>
      <c r="AB515" s="1">
        <v>3122288782</v>
      </c>
    </row>
    <row r="516" spans="1:28" ht="13.8">
      <c r="A516" s="331">
        <v>35581</v>
      </c>
      <c r="B516" s="331">
        <v>26590</v>
      </c>
      <c r="C516" s="115">
        <v>46067</v>
      </c>
      <c r="D516" s="1" t="s">
        <v>525</v>
      </c>
      <c r="E516" s="1" t="s">
        <v>526</v>
      </c>
      <c r="F516" s="1" t="s">
        <v>127</v>
      </c>
      <c r="G516" s="1" t="s">
        <v>391</v>
      </c>
      <c r="H516" s="1" t="s">
        <v>392</v>
      </c>
      <c r="I516" s="1" t="s">
        <v>1065</v>
      </c>
      <c r="J516" s="1" t="s">
        <v>210</v>
      </c>
      <c r="K516" s="1"/>
      <c r="L516" s="2">
        <v>500000</v>
      </c>
      <c r="M516" s="2">
        <v>208587.5</v>
      </c>
      <c r="N516" s="2">
        <v>50051.07</v>
      </c>
      <c r="O516" s="2">
        <v>10000</v>
      </c>
      <c r="P516" s="2">
        <v>0</v>
      </c>
      <c r="Q516" s="2">
        <v>22773.93</v>
      </c>
      <c r="R516" s="2">
        <v>0</v>
      </c>
      <c r="S516" s="2">
        <v>231361.43</v>
      </c>
      <c r="T516" s="3">
        <v>0.46272286000000001</v>
      </c>
      <c r="U516" s="1"/>
      <c r="V516" s="1" t="s">
        <v>2519</v>
      </c>
      <c r="W516" s="1" t="s">
        <v>202</v>
      </c>
      <c r="X516" s="1" t="s">
        <v>225</v>
      </c>
      <c r="Y516" s="1">
        <v>30</v>
      </c>
      <c r="Z516" s="1" t="s">
        <v>2520</v>
      </c>
      <c r="AA516" s="1" t="s">
        <v>975</v>
      </c>
      <c r="AB516" s="1">
        <v>3178002605</v>
      </c>
    </row>
    <row r="517" spans="1:28" ht="13.8">
      <c r="A517" s="331">
        <v>35578</v>
      </c>
      <c r="B517" s="331">
        <v>24953</v>
      </c>
      <c r="C517" s="115">
        <v>46067</v>
      </c>
      <c r="D517" s="1" t="s">
        <v>525</v>
      </c>
      <c r="E517" s="1" t="s">
        <v>526</v>
      </c>
      <c r="F517" s="1" t="s">
        <v>127</v>
      </c>
      <c r="G517" s="1">
        <v>890303</v>
      </c>
      <c r="H517" s="1" t="s">
        <v>281</v>
      </c>
      <c r="I517" s="1" t="s">
        <v>983</v>
      </c>
      <c r="J517" s="1" t="s">
        <v>210</v>
      </c>
      <c r="K517" s="1"/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3">
        <v>0</v>
      </c>
      <c r="U517" s="1"/>
      <c r="V517" s="1"/>
      <c r="W517" s="1" t="s">
        <v>63</v>
      </c>
      <c r="X517" s="1" t="s">
        <v>225</v>
      </c>
      <c r="Y517" s="1">
        <v>30</v>
      </c>
      <c r="Z517" s="1"/>
      <c r="AA517" s="1" t="s">
        <v>975</v>
      </c>
      <c r="AB517" s="1">
        <v>3178002605</v>
      </c>
    </row>
    <row r="518" spans="1:28" ht="13.8">
      <c r="A518" s="331">
        <v>35581</v>
      </c>
      <c r="B518" s="331">
        <v>26595</v>
      </c>
      <c r="C518" s="115">
        <v>46067</v>
      </c>
      <c r="D518" s="1" t="s">
        <v>525</v>
      </c>
      <c r="E518" s="1" t="s">
        <v>526</v>
      </c>
      <c r="F518" s="1" t="s">
        <v>127</v>
      </c>
      <c r="G518" s="1">
        <v>861411</v>
      </c>
      <c r="H518" s="1" t="s">
        <v>406</v>
      </c>
      <c r="I518" s="1" t="s">
        <v>1081</v>
      </c>
      <c r="J518" s="1" t="s">
        <v>210</v>
      </c>
      <c r="K518" s="1"/>
      <c r="L518" s="2">
        <v>0</v>
      </c>
      <c r="M518" s="2">
        <v>0</v>
      </c>
      <c r="N518" s="2">
        <v>8231.44</v>
      </c>
      <c r="O518" s="2">
        <v>0</v>
      </c>
      <c r="P518" s="2">
        <v>0</v>
      </c>
      <c r="Q518" s="2">
        <v>4358.5600000000004</v>
      </c>
      <c r="R518" s="2">
        <v>0</v>
      </c>
      <c r="S518" s="2">
        <v>-8231.44</v>
      </c>
      <c r="T518" s="3">
        <v>0</v>
      </c>
      <c r="U518" s="1"/>
      <c r="V518" s="1"/>
      <c r="W518" s="1" t="s">
        <v>63</v>
      </c>
      <c r="X518" s="1" t="s">
        <v>225</v>
      </c>
      <c r="Y518" s="1">
        <v>30</v>
      </c>
      <c r="Z518" s="1"/>
      <c r="AA518" s="1" t="s">
        <v>975</v>
      </c>
      <c r="AB518" s="1">
        <v>3178002605</v>
      </c>
    </row>
    <row r="519" spans="1:28" ht="13.8">
      <c r="A519" s="331">
        <v>36339</v>
      </c>
      <c r="B519" s="331">
        <v>26337</v>
      </c>
      <c r="C519" s="115">
        <v>46067</v>
      </c>
      <c r="D519" s="1" t="s">
        <v>2040</v>
      </c>
      <c r="E519" s="1" t="s">
        <v>2041</v>
      </c>
      <c r="F519" s="1" t="s">
        <v>127</v>
      </c>
      <c r="G519" s="1" t="s">
        <v>391</v>
      </c>
      <c r="H519" s="1" t="s">
        <v>392</v>
      </c>
      <c r="I519" s="1" t="s">
        <v>1065</v>
      </c>
      <c r="J519" s="1" t="s">
        <v>210</v>
      </c>
      <c r="K519" s="1"/>
      <c r="L519" s="2">
        <v>500000</v>
      </c>
      <c r="M519" s="2">
        <v>208587.5</v>
      </c>
      <c r="N519" s="2">
        <v>50051.07</v>
      </c>
      <c r="O519" s="2">
        <v>10000</v>
      </c>
      <c r="P519" s="2">
        <v>0</v>
      </c>
      <c r="Q519" s="2">
        <v>22773.93</v>
      </c>
      <c r="R519" s="2">
        <v>0</v>
      </c>
      <c r="S519" s="2">
        <v>231361.43</v>
      </c>
      <c r="T519" s="3">
        <v>0.46272286000000001</v>
      </c>
      <c r="U519" s="1"/>
      <c r="V519" s="1" t="s">
        <v>2521</v>
      </c>
      <c r="W519" s="1" t="s">
        <v>202</v>
      </c>
      <c r="X519" s="1" t="s">
        <v>213</v>
      </c>
      <c r="Y519" s="1">
        <v>27</v>
      </c>
      <c r="Z519" s="1" t="s">
        <v>2522</v>
      </c>
      <c r="AA519" s="1" t="s">
        <v>975</v>
      </c>
      <c r="AB519" s="1">
        <v>3233407718</v>
      </c>
    </row>
    <row r="520" spans="1:28" ht="13.8">
      <c r="A520" s="332">
        <v>35735</v>
      </c>
      <c r="B520" s="332">
        <v>25222</v>
      </c>
      <c r="C520" s="38">
        <v>46067</v>
      </c>
      <c r="D520" s="4" t="s">
        <v>599</v>
      </c>
      <c r="E520" s="4" t="s">
        <v>600</v>
      </c>
      <c r="F520" s="4" t="s">
        <v>127</v>
      </c>
      <c r="G520" s="4" t="s">
        <v>362</v>
      </c>
      <c r="H520" s="4" t="s">
        <v>363</v>
      </c>
      <c r="I520" s="4" t="s">
        <v>1062</v>
      </c>
      <c r="J520" s="4" t="s">
        <v>210</v>
      </c>
      <c r="K520" s="4"/>
      <c r="L520" s="5">
        <v>670000</v>
      </c>
      <c r="M520" s="5">
        <v>241600</v>
      </c>
      <c r="N520" s="5">
        <v>80270.34</v>
      </c>
      <c r="O520" s="5">
        <v>13400</v>
      </c>
      <c r="P520" s="5">
        <v>0</v>
      </c>
      <c r="Q520" s="5">
        <v>93129.66</v>
      </c>
      <c r="R520" s="5">
        <v>0</v>
      </c>
      <c r="S520" s="5">
        <v>334729.65999999997</v>
      </c>
      <c r="T520" s="6" t="s">
        <v>224</v>
      </c>
      <c r="U520" s="1"/>
      <c r="V520" s="1" t="s">
        <v>601</v>
      </c>
      <c r="W520" s="1" t="s">
        <v>203</v>
      </c>
      <c r="X520" s="1" t="s">
        <v>213</v>
      </c>
      <c r="Y520" s="1">
        <v>34</v>
      </c>
      <c r="Z520" s="1" t="s">
        <v>602</v>
      </c>
      <c r="AA520" s="1" t="s">
        <v>975</v>
      </c>
      <c r="AB520" s="1">
        <v>3143114962</v>
      </c>
    </row>
    <row r="521" spans="1:28" ht="13.8">
      <c r="A521" s="331">
        <v>36266</v>
      </c>
      <c r="B521" s="331">
        <v>26208</v>
      </c>
      <c r="C521" s="115">
        <v>46067</v>
      </c>
      <c r="D521" s="1" t="s">
        <v>1404</v>
      </c>
      <c r="E521" s="1" t="s">
        <v>1405</v>
      </c>
      <c r="F521" s="1" t="s">
        <v>3</v>
      </c>
      <c r="G521" s="1">
        <v>890242</v>
      </c>
      <c r="H521" s="1" t="s">
        <v>331</v>
      </c>
      <c r="I521" s="1" t="s">
        <v>972</v>
      </c>
      <c r="J521" s="1" t="s">
        <v>223</v>
      </c>
      <c r="K521" s="1"/>
      <c r="L521" s="2">
        <v>250000</v>
      </c>
      <c r="M521" s="2">
        <v>125000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125000</v>
      </c>
      <c r="T521" s="3">
        <v>0.5</v>
      </c>
      <c r="U521" s="1"/>
      <c r="V521" s="1" t="s">
        <v>2523</v>
      </c>
      <c r="W521" s="1" t="s">
        <v>202</v>
      </c>
      <c r="X521" s="1" t="s">
        <v>277</v>
      </c>
      <c r="Y521" s="1">
        <v>25</v>
      </c>
      <c r="Z521" s="1" t="s">
        <v>2524</v>
      </c>
      <c r="AA521" s="1" t="s">
        <v>975</v>
      </c>
      <c r="AB521" s="1">
        <v>3235169537</v>
      </c>
    </row>
    <row r="522" spans="1:28" ht="13.8">
      <c r="A522" s="331">
        <v>36303</v>
      </c>
      <c r="B522" s="331">
        <v>26273</v>
      </c>
      <c r="C522" s="115">
        <v>46067</v>
      </c>
      <c r="D522" s="1" t="s">
        <v>2017</v>
      </c>
      <c r="E522" s="1" t="s">
        <v>2018</v>
      </c>
      <c r="F522" s="1" t="s">
        <v>3</v>
      </c>
      <c r="G522" s="1">
        <v>890242</v>
      </c>
      <c r="H522" s="1" t="s">
        <v>331</v>
      </c>
      <c r="I522" s="1" t="s">
        <v>972</v>
      </c>
      <c r="J522" s="1" t="s">
        <v>223</v>
      </c>
      <c r="K522" s="1"/>
      <c r="L522" s="2">
        <v>250000</v>
      </c>
      <c r="M522" s="2">
        <v>122500</v>
      </c>
      <c r="N522" s="2">
        <v>0</v>
      </c>
      <c r="O522" s="2">
        <v>5000</v>
      </c>
      <c r="P522" s="2">
        <v>0</v>
      </c>
      <c r="Q522" s="2">
        <v>0</v>
      </c>
      <c r="R522" s="2">
        <v>0</v>
      </c>
      <c r="S522" s="2">
        <v>122500</v>
      </c>
      <c r="T522" s="3">
        <v>0.49</v>
      </c>
      <c r="U522" s="1"/>
      <c r="V522" s="1" t="s">
        <v>2525</v>
      </c>
      <c r="W522" s="1" t="s">
        <v>202</v>
      </c>
      <c r="X522" s="1" t="s">
        <v>529</v>
      </c>
      <c r="Y522" s="1">
        <v>19</v>
      </c>
      <c r="Z522" s="1" t="s">
        <v>2526</v>
      </c>
      <c r="AA522" s="1" t="s">
        <v>975</v>
      </c>
      <c r="AB522" s="1">
        <v>3018778836</v>
      </c>
    </row>
    <row r="523" spans="1:28" ht="13.8">
      <c r="A523" s="331">
        <v>36034</v>
      </c>
      <c r="B523" s="331">
        <v>26586</v>
      </c>
      <c r="C523" s="115">
        <v>46067</v>
      </c>
      <c r="D523" s="1" t="s">
        <v>830</v>
      </c>
      <c r="E523" s="1" t="s">
        <v>831</v>
      </c>
      <c r="F523" s="1" t="s">
        <v>5</v>
      </c>
      <c r="G523" s="1">
        <v>861414</v>
      </c>
      <c r="H523" s="1" t="s">
        <v>405</v>
      </c>
      <c r="I523" s="1" t="s">
        <v>1081</v>
      </c>
      <c r="J523" s="1" t="s">
        <v>210</v>
      </c>
      <c r="K523" s="1"/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3">
        <v>0</v>
      </c>
      <c r="U523" s="1"/>
      <c r="V523" s="1"/>
      <c r="W523" s="1" t="s">
        <v>63</v>
      </c>
      <c r="X523" s="1" t="s">
        <v>213</v>
      </c>
      <c r="Y523" s="1">
        <v>35</v>
      </c>
      <c r="Z523" s="1"/>
      <c r="AA523" s="1" t="s">
        <v>975</v>
      </c>
      <c r="AB523" s="1" t="s">
        <v>2527</v>
      </c>
    </row>
    <row r="524" spans="1:28" ht="13.8">
      <c r="A524" s="331">
        <v>33352</v>
      </c>
      <c r="B524" s="331">
        <v>23690</v>
      </c>
      <c r="C524" s="115">
        <v>46068</v>
      </c>
      <c r="D524" s="1" t="s">
        <v>335</v>
      </c>
      <c r="E524" s="1" t="s">
        <v>336</v>
      </c>
      <c r="F524" s="1" t="s">
        <v>4</v>
      </c>
      <c r="G524" s="1" t="s">
        <v>228</v>
      </c>
      <c r="H524" s="1" t="s">
        <v>229</v>
      </c>
      <c r="I524" s="1" t="s">
        <v>1209</v>
      </c>
      <c r="J524" s="1" t="s">
        <v>210</v>
      </c>
      <c r="K524" s="1" t="s">
        <v>1209</v>
      </c>
      <c r="L524" s="2">
        <v>300000</v>
      </c>
      <c r="M524" s="2">
        <v>147000</v>
      </c>
      <c r="N524" s="2">
        <v>0</v>
      </c>
      <c r="O524" s="2">
        <v>6000</v>
      </c>
      <c r="P524" s="2">
        <v>0</v>
      </c>
      <c r="Q524" s="2">
        <v>0</v>
      </c>
      <c r="R524" s="2">
        <v>0</v>
      </c>
      <c r="S524" s="2">
        <v>147000</v>
      </c>
      <c r="T524" s="3">
        <v>0.49</v>
      </c>
      <c r="U524" s="1"/>
      <c r="V524" s="1" t="s">
        <v>2528</v>
      </c>
      <c r="W524" s="1" t="s">
        <v>202</v>
      </c>
      <c r="X524" s="1" t="s">
        <v>277</v>
      </c>
      <c r="Y524" s="1">
        <v>44</v>
      </c>
      <c r="Z524" s="1" t="s">
        <v>2529</v>
      </c>
      <c r="AA524" s="1" t="s">
        <v>975</v>
      </c>
      <c r="AB524" s="1">
        <v>3002241576</v>
      </c>
    </row>
    <row r="525" spans="1:28" ht="13.8">
      <c r="A525" s="331">
        <v>33352</v>
      </c>
      <c r="B525" s="331">
        <v>23691</v>
      </c>
      <c r="C525" s="115">
        <v>46068</v>
      </c>
      <c r="D525" s="1" t="s">
        <v>335</v>
      </c>
      <c r="E525" s="1" t="s">
        <v>336</v>
      </c>
      <c r="F525" s="1" t="s">
        <v>4</v>
      </c>
      <c r="G525" s="1" t="s">
        <v>337</v>
      </c>
      <c r="H525" s="1" t="s">
        <v>338</v>
      </c>
      <c r="I525" s="1" t="s">
        <v>1096</v>
      </c>
      <c r="J525" s="1" t="s">
        <v>210</v>
      </c>
      <c r="K525" s="1" t="s">
        <v>1209</v>
      </c>
      <c r="L525" s="2">
        <v>300000</v>
      </c>
      <c r="M525" s="2">
        <v>147000</v>
      </c>
      <c r="N525" s="2">
        <v>0</v>
      </c>
      <c r="O525" s="2">
        <v>6000</v>
      </c>
      <c r="P525" s="2">
        <v>0</v>
      </c>
      <c r="Q525" s="2">
        <v>0</v>
      </c>
      <c r="R525" s="2">
        <v>0</v>
      </c>
      <c r="S525" s="2">
        <v>147000</v>
      </c>
      <c r="T525" s="3">
        <v>0.49</v>
      </c>
      <c r="U525" s="1"/>
      <c r="V525" s="1" t="s">
        <v>2528</v>
      </c>
      <c r="W525" s="1" t="s">
        <v>202</v>
      </c>
      <c r="X525" s="1" t="s">
        <v>277</v>
      </c>
      <c r="Y525" s="1">
        <v>44</v>
      </c>
      <c r="Z525" s="1" t="s">
        <v>2529</v>
      </c>
      <c r="AA525" s="1" t="s">
        <v>975</v>
      </c>
      <c r="AB525" s="1">
        <v>3002241576</v>
      </c>
    </row>
    <row r="526" spans="1:28" ht="13.8">
      <c r="A526" s="331">
        <v>33352</v>
      </c>
      <c r="B526" s="331">
        <v>26566</v>
      </c>
      <c r="C526" s="115">
        <v>46068</v>
      </c>
      <c r="D526" s="1" t="s">
        <v>335</v>
      </c>
      <c r="E526" s="1" t="s">
        <v>336</v>
      </c>
      <c r="F526" s="1" t="s">
        <v>4</v>
      </c>
      <c r="G526" s="1" t="s">
        <v>362</v>
      </c>
      <c r="H526" s="1" t="s">
        <v>363</v>
      </c>
      <c r="I526" s="1" t="s">
        <v>1062</v>
      </c>
      <c r="J526" s="1" t="s">
        <v>210</v>
      </c>
      <c r="K526" s="1"/>
      <c r="L526" s="2">
        <v>600000</v>
      </c>
      <c r="M526" s="2">
        <v>146941.5</v>
      </c>
      <c r="N526" s="2">
        <v>249999.19</v>
      </c>
      <c r="O526" s="2">
        <v>12000</v>
      </c>
      <c r="P526" s="2">
        <v>0</v>
      </c>
      <c r="Q526" s="2">
        <v>44117.81</v>
      </c>
      <c r="R526" s="2">
        <v>0</v>
      </c>
      <c r="S526" s="2">
        <v>191059.31</v>
      </c>
      <c r="T526" s="3">
        <v>0.31843218333333001</v>
      </c>
      <c r="U526" s="1"/>
      <c r="V526" s="1" t="s">
        <v>2530</v>
      </c>
      <c r="W526" s="1" t="s">
        <v>202</v>
      </c>
      <c r="X526" s="1" t="s">
        <v>277</v>
      </c>
      <c r="Y526" s="1">
        <v>44</v>
      </c>
      <c r="Z526" s="1" t="s">
        <v>2531</v>
      </c>
      <c r="AA526" s="1" t="s">
        <v>975</v>
      </c>
      <c r="AB526" s="1">
        <v>3002241576</v>
      </c>
    </row>
    <row r="527" spans="1:28" ht="13.8">
      <c r="A527" s="331">
        <v>36476</v>
      </c>
      <c r="B527" s="331">
        <v>26581</v>
      </c>
      <c r="C527" s="115">
        <v>46068</v>
      </c>
      <c r="D527" s="1" t="s">
        <v>956</v>
      </c>
      <c r="E527" s="1" t="s">
        <v>957</v>
      </c>
      <c r="F527" s="1" t="s">
        <v>4</v>
      </c>
      <c r="G527" s="1" t="s">
        <v>465</v>
      </c>
      <c r="H527" s="1" t="s">
        <v>466</v>
      </c>
      <c r="I527" s="1" t="s">
        <v>1125</v>
      </c>
      <c r="J527" s="1" t="s">
        <v>210</v>
      </c>
      <c r="K527" s="1" t="s">
        <v>1126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3">
        <v>0</v>
      </c>
      <c r="U527" s="1"/>
      <c r="V527" s="1"/>
      <c r="W527" s="1" t="s">
        <v>63</v>
      </c>
      <c r="X527" s="1" t="s">
        <v>225</v>
      </c>
      <c r="Y527" s="1">
        <v>38</v>
      </c>
      <c r="Z527" s="1"/>
      <c r="AA527" s="1" t="s">
        <v>975</v>
      </c>
      <c r="AB527" s="1">
        <v>3218036029</v>
      </c>
    </row>
    <row r="528" spans="1:28" ht="13.8">
      <c r="A528" s="331">
        <v>31722</v>
      </c>
      <c r="B528" s="331">
        <v>26574</v>
      </c>
      <c r="C528" s="115">
        <v>46068</v>
      </c>
      <c r="D528" s="1" t="s">
        <v>965</v>
      </c>
      <c r="E528" s="1" t="s">
        <v>3</v>
      </c>
      <c r="F528" s="1" t="s">
        <v>4</v>
      </c>
      <c r="G528" s="1">
        <v>861401</v>
      </c>
      <c r="H528" s="1" t="s">
        <v>307</v>
      </c>
      <c r="I528" s="1" t="s">
        <v>983</v>
      </c>
      <c r="J528" s="1" t="s">
        <v>210</v>
      </c>
      <c r="K528" s="1"/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3">
        <v>0</v>
      </c>
      <c r="U528" s="1"/>
      <c r="V528" s="1"/>
      <c r="W528" s="1" t="s">
        <v>63</v>
      </c>
      <c r="X528" s="1" t="s">
        <v>248</v>
      </c>
      <c r="Y528" s="1">
        <v>36</v>
      </c>
      <c r="Z528" s="1"/>
      <c r="AA528" s="1" t="s">
        <v>975</v>
      </c>
      <c r="AB528" s="1">
        <v>3008249135</v>
      </c>
    </row>
    <row r="529" spans="1:28" ht="13.8">
      <c r="A529" s="331">
        <v>33008</v>
      </c>
      <c r="B529" s="331">
        <v>24920</v>
      </c>
      <c r="C529" s="115">
        <v>46068</v>
      </c>
      <c r="D529" s="1" t="s">
        <v>513</v>
      </c>
      <c r="E529" s="1" t="s">
        <v>514</v>
      </c>
      <c r="F529" s="1" t="s">
        <v>4</v>
      </c>
      <c r="G529" s="1" t="s">
        <v>324</v>
      </c>
      <c r="H529" s="1" t="s">
        <v>325</v>
      </c>
      <c r="I529" s="1" t="s">
        <v>1097</v>
      </c>
      <c r="J529" s="1" t="s">
        <v>210</v>
      </c>
      <c r="K529" s="1" t="s">
        <v>1097</v>
      </c>
      <c r="L529" s="2">
        <v>650000</v>
      </c>
      <c r="M529" s="2">
        <v>318500</v>
      </c>
      <c r="N529" s="2">
        <v>0</v>
      </c>
      <c r="O529" s="2">
        <v>13000</v>
      </c>
      <c r="P529" s="2">
        <v>0</v>
      </c>
      <c r="Q529" s="2">
        <v>0</v>
      </c>
      <c r="R529" s="2">
        <v>0</v>
      </c>
      <c r="S529" s="2">
        <v>318500</v>
      </c>
      <c r="T529" s="3">
        <v>0.49</v>
      </c>
      <c r="U529" s="1"/>
      <c r="V529" s="1" t="s">
        <v>2532</v>
      </c>
      <c r="W529" s="1" t="s">
        <v>202</v>
      </c>
      <c r="X529" s="1" t="s">
        <v>213</v>
      </c>
      <c r="Y529" s="1">
        <v>26</v>
      </c>
      <c r="Z529" s="1" t="s">
        <v>2533</v>
      </c>
      <c r="AA529" s="1" t="s">
        <v>975</v>
      </c>
      <c r="AB529" s="1">
        <v>3007692042</v>
      </c>
    </row>
    <row r="530" spans="1:28" ht="13.8">
      <c r="A530" s="331">
        <v>30570</v>
      </c>
      <c r="B530" s="331">
        <v>26584</v>
      </c>
      <c r="C530" s="115">
        <v>46068</v>
      </c>
      <c r="D530" s="1" t="s">
        <v>830</v>
      </c>
      <c r="E530" s="1" t="s">
        <v>831</v>
      </c>
      <c r="F530" s="1" t="s">
        <v>4</v>
      </c>
      <c r="G530" s="1">
        <v>861411</v>
      </c>
      <c r="H530" s="1" t="s">
        <v>406</v>
      </c>
      <c r="I530" s="1" t="s">
        <v>1081</v>
      </c>
      <c r="J530" s="1" t="s">
        <v>210</v>
      </c>
      <c r="K530" s="1"/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3">
        <v>0</v>
      </c>
      <c r="U530" s="1"/>
      <c r="V530" s="1"/>
      <c r="W530" s="1" t="s">
        <v>63</v>
      </c>
      <c r="X530" s="1" t="s">
        <v>213</v>
      </c>
      <c r="Y530" s="1">
        <v>35</v>
      </c>
      <c r="Z530" s="1"/>
      <c r="AA530" s="1" t="s">
        <v>975</v>
      </c>
      <c r="AB530" s="1" t="s">
        <v>2527</v>
      </c>
    </row>
    <row r="531" spans="1:28" ht="13.8">
      <c r="A531" s="331">
        <v>29084</v>
      </c>
      <c r="B531" s="331">
        <v>24380</v>
      </c>
      <c r="C531" s="115">
        <v>46069</v>
      </c>
      <c r="D531" s="1" t="s">
        <v>403</v>
      </c>
      <c r="E531" s="1" t="s">
        <v>404</v>
      </c>
      <c r="F531" s="1" t="s">
        <v>107</v>
      </c>
      <c r="G531" s="1">
        <v>861411</v>
      </c>
      <c r="H531" s="1" t="s">
        <v>406</v>
      </c>
      <c r="I531" s="1" t="s">
        <v>1081</v>
      </c>
      <c r="J531" s="1" t="s">
        <v>210</v>
      </c>
      <c r="K531" s="1"/>
      <c r="L531" s="2">
        <v>1288000</v>
      </c>
      <c r="M531" s="2">
        <v>278600</v>
      </c>
      <c r="N531" s="2">
        <v>460960.64</v>
      </c>
      <c r="O531" s="2">
        <v>25760</v>
      </c>
      <c r="P531" s="2">
        <v>0</v>
      </c>
      <c r="Q531" s="2">
        <v>244079.35999999999</v>
      </c>
      <c r="R531" s="2">
        <v>0</v>
      </c>
      <c r="S531" s="2">
        <v>522679.36</v>
      </c>
      <c r="T531" s="3">
        <v>0.40580695652173998</v>
      </c>
      <c r="U531" s="1"/>
      <c r="V531" s="1" t="s">
        <v>2284</v>
      </c>
      <c r="W531" s="1" t="s">
        <v>202</v>
      </c>
      <c r="X531" s="1" t="s">
        <v>225</v>
      </c>
      <c r="Y531" s="1">
        <v>38</v>
      </c>
      <c r="Z531" s="1" t="s">
        <v>2285</v>
      </c>
      <c r="AA531" s="1" t="s">
        <v>975</v>
      </c>
      <c r="AB531" s="1" t="s">
        <v>2567</v>
      </c>
    </row>
    <row r="532" spans="1:28" ht="13.8">
      <c r="A532" s="331">
        <v>35745</v>
      </c>
      <c r="B532" s="331">
        <v>25251</v>
      </c>
      <c r="C532" s="115">
        <v>46069</v>
      </c>
      <c r="D532" s="1" t="s">
        <v>611</v>
      </c>
      <c r="E532" s="1" t="s">
        <v>612</v>
      </c>
      <c r="F532" s="1" t="s">
        <v>3</v>
      </c>
      <c r="G532" s="1">
        <v>890242</v>
      </c>
      <c r="H532" s="1" t="s">
        <v>331</v>
      </c>
      <c r="I532" s="1" t="s">
        <v>972</v>
      </c>
      <c r="J532" s="1" t="s">
        <v>223</v>
      </c>
      <c r="K532" s="1"/>
      <c r="L532" s="2">
        <v>250000</v>
      </c>
      <c r="M532" s="2">
        <v>125000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125000</v>
      </c>
      <c r="T532" s="3">
        <v>0.5</v>
      </c>
      <c r="U532" s="1"/>
      <c r="V532" s="1" t="s">
        <v>2294</v>
      </c>
      <c r="W532" s="1" t="s">
        <v>202</v>
      </c>
      <c r="X532" s="1" t="s">
        <v>213</v>
      </c>
      <c r="Y532" s="1">
        <v>36</v>
      </c>
      <c r="Z532" s="1" t="s">
        <v>2295</v>
      </c>
      <c r="AA532" s="1" t="s">
        <v>975</v>
      </c>
      <c r="AB532" s="1">
        <v>3192519892</v>
      </c>
    </row>
    <row r="533" spans="1:28" ht="13.8">
      <c r="A533" s="331">
        <v>35929</v>
      </c>
      <c r="B533" s="331">
        <v>25574</v>
      </c>
      <c r="C533" s="115">
        <v>46069</v>
      </c>
      <c r="D533" s="1" t="s">
        <v>2301</v>
      </c>
      <c r="E533" s="1" t="s">
        <v>2302</v>
      </c>
      <c r="F533" s="1" t="s">
        <v>126</v>
      </c>
      <c r="G533" s="1" t="s">
        <v>431</v>
      </c>
      <c r="H533" s="1" t="s">
        <v>432</v>
      </c>
      <c r="I533" s="1" t="s">
        <v>1047</v>
      </c>
      <c r="J533" s="1" t="s">
        <v>210</v>
      </c>
      <c r="K533" s="1" t="s">
        <v>1048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3">
        <v>0</v>
      </c>
      <c r="U533" s="1"/>
      <c r="V533" s="1"/>
      <c r="W533" s="1" t="s">
        <v>63</v>
      </c>
      <c r="X533" s="1" t="s">
        <v>225</v>
      </c>
      <c r="Y533" s="1">
        <v>27</v>
      </c>
      <c r="Z533" s="1"/>
      <c r="AA533" s="1" t="s">
        <v>975</v>
      </c>
      <c r="AB533" s="1">
        <v>3054759994</v>
      </c>
    </row>
    <row r="534" spans="1:28" ht="13.8">
      <c r="A534" s="331">
        <v>36483</v>
      </c>
      <c r="B534" s="331">
        <v>26606</v>
      </c>
      <c r="C534" s="115">
        <v>46069</v>
      </c>
      <c r="D534" s="1" t="s">
        <v>862</v>
      </c>
      <c r="E534" s="1" t="s">
        <v>863</v>
      </c>
      <c r="F534" s="1" t="s">
        <v>2</v>
      </c>
      <c r="G534" s="1">
        <v>890242</v>
      </c>
      <c r="H534" s="1" t="s">
        <v>331</v>
      </c>
      <c r="I534" s="1" t="s">
        <v>972</v>
      </c>
      <c r="J534" s="1" t="s">
        <v>223</v>
      </c>
      <c r="K534" s="1"/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3">
        <v>0</v>
      </c>
      <c r="U534" s="1"/>
      <c r="V534" s="1"/>
      <c r="W534" s="1" t="s">
        <v>63</v>
      </c>
      <c r="X534" s="1" t="s">
        <v>213</v>
      </c>
      <c r="Y534" s="1">
        <v>48</v>
      </c>
      <c r="Z534" s="1"/>
      <c r="AA534" s="1" t="s">
        <v>975</v>
      </c>
      <c r="AB534" s="1">
        <v>17876168691</v>
      </c>
    </row>
    <row r="535" spans="1:28" ht="13.8">
      <c r="A535" s="331">
        <v>35929</v>
      </c>
      <c r="B535" s="331">
        <v>25575</v>
      </c>
      <c r="C535" s="115">
        <v>46069</v>
      </c>
      <c r="D535" s="1" t="s">
        <v>2301</v>
      </c>
      <c r="E535" s="1" t="s">
        <v>2302</v>
      </c>
      <c r="F535" s="1" t="s">
        <v>126</v>
      </c>
      <c r="G535" s="1">
        <v>861411</v>
      </c>
      <c r="H535" s="1" t="s">
        <v>406</v>
      </c>
      <c r="I535" s="1" t="s">
        <v>1081</v>
      </c>
      <c r="J535" s="1" t="s">
        <v>210</v>
      </c>
      <c r="K535" s="1"/>
      <c r="L535" s="2">
        <v>0</v>
      </c>
      <c r="M535" s="2">
        <v>0</v>
      </c>
      <c r="N535" s="2">
        <v>208370.46</v>
      </c>
      <c r="O535" s="2">
        <v>0</v>
      </c>
      <c r="P535" s="2">
        <v>0</v>
      </c>
      <c r="Q535" s="2">
        <v>108967.54</v>
      </c>
      <c r="R535" s="2">
        <v>0</v>
      </c>
      <c r="S535" s="2">
        <v>-208370.46</v>
      </c>
      <c r="T535" s="3">
        <v>0</v>
      </c>
      <c r="U535" s="1"/>
      <c r="V535" s="1"/>
      <c r="W535" s="1" t="s">
        <v>63</v>
      </c>
      <c r="X535" s="1" t="s">
        <v>225</v>
      </c>
      <c r="Y535" s="1">
        <v>27</v>
      </c>
      <c r="Z535" s="1"/>
      <c r="AA535" s="1" t="s">
        <v>975</v>
      </c>
      <c r="AB535" s="1">
        <v>3054759994</v>
      </c>
    </row>
    <row r="536" spans="1:28" ht="13.8">
      <c r="A536" s="331">
        <v>35984</v>
      </c>
      <c r="B536" s="331">
        <v>26498</v>
      </c>
      <c r="C536" s="115">
        <v>46069</v>
      </c>
      <c r="D536" s="1" t="s">
        <v>1760</v>
      </c>
      <c r="E536" s="1" t="s">
        <v>1761</v>
      </c>
      <c r="F536" s="1" t="s">
        <v>126</v>
      </c>
      <c r="G536" s="1" t="s">
        <v>324</v>
      </c>
      <c r="H536" s="1" t="s">
        <v>325</v>
      </c>
      <c r="I536" s="1" t="s">
        <v>1097</v>
      </c>
      <c r="J536" s="1" t="s">
        <v>210</v>
      </c>
      <c r="K536" s="1" t="s">
        <v>1097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3">
        <v>0</v>
      </c>
      <c r="U536" s="1"/>
      <c r="V536" s="1"/>
      <c r="W536" s="1" t="s">
        <v>63</v>
      </c>
      <c r="X536" s="1" t="s">
        <v>225</v>
      </c>
      <c r="Y536" s="1">
        <v>31</v>
      </c>
      <c r="Z536" s="1"/>
      <c r="AA536" s="1" t="s">
        <v>975</v>
      </c>
      <c r="AB536" s="1">
        <v>3218347913</v>
      </c>
    </row>
    <row r="537" spans="1:28" ht="13.8">
      <c r="A537" s="331">
        <v>35984</v>
      </c>
      <c r="B537" s="331">
        <v>26499</v>
      </c>
      <c r="C537" s="115">
        <v>46069</v>
      </c>
      <c r="D537" s="1" t="s">
        <v>1760</v>
      </c>
      <c r="E537" s="1" t="s">
        <v>1761</v>
      </c>
      <c r="F537" s="1" t="s">
        <v>126</v>
      </c>
      <c r="G537" s="1" t="s">
        <v>255</v>
      </c>
      <c r="H537" s="1" t="s">
        <v>256</v>
      </c>
      <c r="I537" s="1" t="s">
        <v>256</v>
      </c>
      <c r="J537" s="1" t="s">
        <v>210</v>
      </c>
      <c r="K537" s="1" t="s">
        <v>1097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3">
        <v>0</v>
      </c>
      <c r="U537" s="1"/>
      <c r="V537" s="1"/>
      <c r="W537" s="1" t="s">
        <v>63</v>
      </c>
      <c r="X537" s="1" t="s">
        <v>225</v>
      </c>
      <c r="Y537" s="1">
        <v>31</v>
      </c>
      <c r="Z537" s="1"/>
      <c r="AA537" s="1" t="s">
        <v>975</v>
      </c>
      <c r="AB537" s="1">
        <v>3218347913</v>
      </c>
    </row>
    <row r="538" spans="1:28" ht="13.8">
      <c r="A538" s="331">
        <v>36485</v>
      </c>
      <c r="B538" s="331">
        <v>26608</v>
      </c>
      <c r="C538" s="115">
        <v>46069</v>
      </c>
      <c r="D538" s="1" t="s">
        <v>2355</v>
      </c>
      <c r="E538" s="1" t="s">
        <v>2356</v>
      </c>
      <c r="F538" s="1" t="s">
        <v>127</v>
      </c>
      <c r="G538" s="1">
        <v>890242</v>
      </c>
      <c r="H538" s="1" t="s">
        <v>331</v>
      </c>
      <c r="I538" s="1" t="s">
        <v>972</v>
      </c>
      <c r="J538" s="1" t="s">
        <v>223</v>
      </c>
      <c r="K538" s="1"/>
      <c r="L538" s="2">
        <v>250000</v>
      </c>
      <c r="M538" s="2">
        <v>122500</v>
      </c>
      <c r="N538" s="2">
        <v>0</v>
      </c>
      <c r="O538" s="2">
        <v>5000</v>
      </c>
      <c r="P538" s="2">
        <v>0</v>
      </c>
      <c r="Q538" s="2">
        <v>0</v>
      </c>
      <c r="R538" s="2">
        <v>0</v>
      </c>
      <c r="S538" s="2">
        <v>122500</v>
      </c>
      <c r="T538" s="3">
        <v>0.49</v>
      </c>
      <c r="U538" s="1"/>
      <c r="V538" s="1" t="s">
        <v>2357</v>
      </c>
      <c r="W538" s="1" t="s">
        <v>202</v>
      </c>
      <c r="X538" s="1" t="s">
        <v>213</v>
      </c>
      <c r="Y538" s="1">
        <v>36</v>
      </c>
      <c r="Z538" s="1" t="s">
        <v>2358</v>
      </c>
      <c r="AA538" s="1" t="s">
        <v>975</v>
      </c>
      <c r="AB538" s="1">
        <v>19252734804</v>
      </c>
    </row>
    <row r="539" spans="1:28" ht="13.8">
      <c r="A539" s="331">
        <v>36063</v>
      </c>
      <c r="B539" s="331">
        <v>25839</v>
      </c>
      <c r="C539" s="115">
        <v>46069</v>
      </c>
      <c r="D539" s="1" t="s">
        <v>862</v>
      </c>
      <c r="E539" s="1" t="s">
        <v>863</v>
      </c>
      <c r="F539" s="1" t="s">
        <v>2</v>
      </c>
      <c r="G539" s="1">
        <v>861401</v>
      </c>
      <c r="H539" s="1" t="s">
        <v>307</v>
      </c>
      <c r="I539" s="1" t="s">
        <v>983</v>
      </c>
      <c r="J539" s="1" t="s">
        <v>210</v>
      </c>
      <c r="K539" s="1"/>
      <c r="L539" s="2">
        <v>300000</v>
      </c>
      <c r="M539" s="2">
        <v>147000</v>
      </c>
      <c r="N539" s="2">
        <v>0</v>
      </c>
      <c r="O539" s="2">
        <v>6000</v>
      </c>
      <c r="P539" s="2">
        <v>0</v>
      </c>
      <c r="Q539" s="2">
        <v>0</v>
      </c>
      <c r="R539" s="2">
        <v>0</v>
      </c>
      <c r="S539" s="2">
        <v>147000</v>
      </c>
      <c r="T539" s="3">
        <v>0.49</v>
      </c>
      <c r="U539" s="1"/>
      <c r="V539" s="1" t="s">
        <v>2305</v>
      </c>
      <c r="W539" s="1" t="s">
        <v>202</v>
      </c>
      <c r="X539" s="1" t="s">
        <v>213</v>
      </c>
      <c r="Y539" s="1">
        <v>48</v>
      </c>
      <c r="Z539" s="1" t="s">
        <v>2306</v>
      </c>
      <c r="AA539" s="1" t="s">
        <v>975</v>
      </c>
      <c r="AB539" s="1">
        <v>17876168691</v>
      </c>
    </row>
    <row r="540" spans="1:28" ht="13.8">
      <c r="A540" s="331">
        <v>36063</v>
      </c>
      <c r="B540" s="331">
        <v>26609</v>
      </c>
      <c r="C540" s="115">
        <v>46069</v>
      </c>
      <c r="D540" s="1" t="s">
        <v>862</v>
      </c>
      <c r="E540" s="1" t="s">
        <v>863</v>
      </c>
      <c r="F540" s="1" t="s">
        <v>2</v>
      </c>
      <c r="G540" s="1" t="s">
        <v>366</v>
      </c>
      <c r="H540" s="1" t="s">
        <v>367</v>
      </c>
      <c r="I540" s="1" t="s">
        <v>1047</v>
      </c>
      <c r="J540" s="1" t="s">
        <v>210</v>
      </c>
      <c r="K540" s="1" t="s">
        <v>1048</v>
      </c>
      <c r="L540" s="2">
        <v>600000</v>
      </c>
      <c r="M540" s="2">
        <v>294000</v>
      </c>
      <c r="N540" s="2">
        <v>0</v>
      </c>
      <c r="O540" s="2">
        <v>12000</v>
      </c>
      <c r="P540" s="2">
        <v>0</v>
      </c>
      <c r="Q540" s="2">
        <v>0</v>
      </c>
      <c r="R540" s="2">
        <v>0</v>
      </c>
      <c r="S540" s="2">
        <v>294000</v>
      </c>
      <c r="T540" s="3">
        <v>0.49</v>
      </c>
      <c r="U540" s="1"/>
      <c r="V540" s="1" t="s">
        <v>2359</v>
      </c>
      <c r="W540" s="1" t="s">
        <v>202</v>
      </c>
      <c r="X540" s="1" t="s">
        <v>213</v>
      </c>
      <c r="Y540" s="1">
        <v>48</v>
      </c>
      <c r="Z540" s="1" t="s">
        <v>2360</v>
      </c>
      <c r="AA540" s="1" t="s">
        <v>975</v>
      </c>
      <c r="AB540" s="1">
        <v>17876168691</v>
      </c>
    </row>
    <row r="541" spans="1:28" ht="13.8">
      <c r="A541" s="331">
        <v>32768</v>
      </c>
      <c r="B541" s="331">
        <v>20635</v>
      </c>
      <c r="C541" s="115">
        <v>46069</v>
      </c>
      <c r="D541" s="1" t="s">
        <v>1280</v>
      </c>
      <c r="E541" s="1" t="s">
        <v>1281</v>
      </c>
      <c r="F541" s="1" t="s">
        <v>2</v>
      </c>
      <c r="G541" s="1">
        <v>861411</v>
      </c>
      <c r="H541" s="1" t="s">
        <v>406</v>
      </c>
      <c r="I541" s="1" t="s">
        <v>1081</v>
      </c>
      <c r="J541" s="1" t="s">
        <v>210</v>
      </c>
      <c r="K541" s="1"/>
      <c r="L541" s="2">
        <v>575000</v>
      </c>
      <c r="M541" s="2">
        <v>124375</v>
      </c>
      <c r="N541" s="2">
        <v>205786</v>
      </c>
      <c r="O541" s="2">
        <v>11500</v>
      </c>
      <c r="P541" s="2">
        <v>0</v>
      </c>
      <c r="Q541" s="2">
        <v>108964</v>
      </c>
      <c r="R541" s="2">
        <v>0</v>
      </c>
      <c r="S541" s="2">
        <v>233339</v>
      </c>
      <c r="T541" s="3">
        <v>0.40580695652173998</v>
      </c>
      <c r="U541" s="1"/>
      <c r="V541" s="1" t="s">
        <v>2278</v>
      </c>
      <c r="W541" s="1" t="s">
        <v>202</v>
      </c>
      <c r="X541" s="1" t="s">
        <v>213</v>
      </c>
      <c r="Y541" s="1">
        <v>61</v>
      </c>
      <c r="Z541" s="1" t="s">
        <v>2279</v>
      </c>
      <c r="AA541" s="1" t="s">
        <v>975</v>
      </c>
      <c r="AB541" s="1">
        <v>3104022640</v>
      </c>
    </row>
    <row r="542" spans="1:28" ht="13.8">
      <c r="A542" s="331">
        <v>35746</v>
      </c>
      <c r="B542" s="331">
        <v>25252</v>
      </c>
      <c r="C542" s="115">
        <v>46069</v>
      </c>
      <c r="D542" s="1" t="s">
        <v>613</v>
      </c>
      <c r="E542" s="1" t="s">
        <v>2296</v>
      </c>
      <c r="F542" s="1" t="s">
        <v>3</v>
      </c>
      <c r="G542" s="1">
        <v>890242</v>
      </c>
      <c r="H542" s="1" t="s">
        <v>331</v>
      </c>
      <c r="I542" s="1" t="s">
        <v>972</v>
      </c>
      <c r="J542" s="1" t="s">
        <v>223</v>
      </c>
      <c r="K542" s="1"/>
      <c r="L542" s="2">
        <v>250000</v>
      </c>
      <c r="M542" s="2">
        <v>122500</v>
      </c>
      <c r="N542" s="2">
        <v>0</v>
      </c>
      <c r="O542" s="2">
        <v>5000</v>
      </c>
      <c r="P542" s="2">
        <v>0</v>
      </c>
      <c r="Q542" s="2">
        <v>0</v>
      </c>
      <c r="R542" s="2">
        <v>0</v>
      </c>
      <c r="S542" s="2">
        <v>122500</v>
      </c>
      <c r="T542" s="3">
        <v>0.49</v>
      </c>
      <c r="U542" s="1"/>
      <c r="V542" s="1" t="s">
        <v>2297</v>
      </c>
      <c r="W542" s="1" t="s">
        <v>202</v>
      </c>
      <c r="X542" s="1" t="s">
        <v>213</v>
      </c>
      <c r="Y542" s="1">
        <v>33</v>
      </c>
      <c r="Z542" s="1" t="s">
        <v>2298</v>
      </c>
      <c r="AA542" s="1" t="s">
        <v>975</v>
      </c>
      <c r="AB542" s="1">
        <v>3506411225</v>
      </c>
    </row>
    <row r="543" spans="1:28" ht="13.8">
      <c r="A543" s="331">
        <v>35534</v>
      </c>
      <c r="B543" s="331">
        <v>24876</v>
      </c>
      <c r="C543" s="115">
        <v>46069</v>
      </c>
      <c r="D543" s="1" t="s">
        <v>501</v>
      </c>
      <c r="E543" s="1" t="s">
        <v>502</v>
      </c>
      <c r="F543" s="1" t="s">
        <v>127</v>
      </c>
      <c r="G543" s="1">
        <v>890303</v>
      </c>
      <c r="H543" s="1" t="s">
        <v>281</v>
      </c>
      <c r="I543" s="1" t="s">
        <v>983</v>
      </c>
      <c r="J543" s="1" t="s">
        <v>210</v>
      </c>
      <c r="K543" s="1"/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3">
        <v>0</v>
      </c>
      <c r="U543" s="1"/>
      <c r="V543" s="1"/>
      <c r="W543" s="1" t="s">
        <v>63</v>
      </c>
      <c r="X543" s="1" t="s">
        <v>213</v>
      </c>
      <c r="Y543" s="1">
        <v>46</v>
      </c>
      <c r="Z543" s="1"/>
      <c r="AA543" s="1" t="s">
        <v>1007</v>
      </c>
      <c r="AB543" s="1">
        <v>16494431580</v>
      </c>
    </row>
    <row r="544" spans="1:28" ht="13.8">
      <c r="A544" s="331">
        <v>36486</v>
      </c>
      <c r="B544" s="331">
        <v>26614</v>
      </c>
      <c r="C544" s="115">
        <v>46069</v>
      </c>
      <c r="D544" s="1" t="s">
        <v>611</v>
      </c>
      <c r="E544" s="1" t="s">
        <v>612</v>
      </c>
      <c r="F544" s="1" t="s">
        <v>3</v>
      </c>
      <c r="G544" s="1" t="s">
        <v>324</v>
      </c>
      <c r="H544" s="1" t="s">
        <v>325</v>
      </c>
      <c r="I544" s="1" t="s">
        <v>1097</v>
      </c>
      <c r="J544" s="1" t="s">
        <v>210</v>
      </c>
      <c r="K544" s="1" t="s">
        <v>1097</v>
      </c>
      <c r="L544" s="2">
        <v>650000</v>
      </c>
      <c r="M544" s="2">
        <v>325000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325000</v>
      </c>
      <c r="T544" s="3">
        <v>0.5</v>
      </c>
      <c r="U544" s="1"/>
      <c r="V544" s="1" t="s">
        <v>2363</v>
      </c>
      <c r="W544" s="1" t="s">
        <v>202</v>
      </c>
      <c r="X544" s="1" t="s">
        <v>213</v>
      </c>
      <c r="Y544" s="1">
        <v>36</v>
      </c>
      <c r="Z544" s="1" t="s">
        <v>2364</v>
      </c>
      <c r="AA544" s="1" t="s">
        <v>975</v>
      </c>
      <c r="AB544" s="1">
        <v>3192519892</v>
      </c>
    </row>
    <row r="545" spans="1:28" ht="13.8">
      <c r="A545" s="331">
        <v>32408</v>
      </c>
      <c r="B545" s="331">
        <v>26007</v>
      </c>
      <c r="C545" s="115">
        <v>46069</v>
      </c>
      <c r="D545" s="1" t="s">
        <v>2309</v>
      </c>
      <c r="E545" s="1" t="s">
        <v>2310</v>
      </c>
      <c r="F545" s="1" t="s">
        <v>2</v>
      </c>
      <c r="G545" s="1" t="s">
        <v>228</v>
      </c>
      <c r="H545" s="1" t="s">
        <v>229</v>
      </c>
      <c r="I545" s="1" t="s">
        <v>1209</v>
      </c>
      <c r="J545" s="1" t="s">
        <v>210</v>
      </c>
      <c r="K545" s="1" t="s">
        <v>1209</v>
      </c>
      <c r="L545" s="2">
        <v>365000</v>
      </c>
      <c r="M545" s="2">
        <v>135300</v>
      </c>
      <c r="N545" s="2">
        <v>74000</v>
      </c>
      <c r="O545" s="2">
        <v>7300</v>
      </c>
      <c r="P545" s="2">
        <v>0</v>
      </c>
      <c r="Q545" s="2">
        <v>13100</v>
      </c>
      <c r="R545" s="2">
        <v>0</v>
      </c>
      <c r="S545" s="2">
        <v>148400</v>
      </c>
      <c r="T545" s="3">
        <v>0.40657534246575</v>
      </c>
      <c r="U545" s="1"/>
      <c r="V545" s="1" t="s">
        <v>2311</v>
      </c>
      <c r="W545" s="1" t="s">
        <v>202</v>
      </c>
      <c r="X545" s="1" t="s">
        <v>319</v>
      </c>
      <c r="Y545" s="1">
        <v>47</v>
      </c>
      <c r="Z545" s="1" t="s">
        <v>2312</v>
      </c>
      <c r="AA545" s="1" t="s">
        <v>975</v>
      </c>
      <c r="AB545" s="1">
        <v>3133014614</v>
      </c>
    </row>
    <row r="546" spans="1:28" ht="13.8">
      <c r="A546" s="332">
        <v>32768</v>
      </c>
      <c r="B546" s="332">
        <v>26610</v>
      </c>
      <c r="C546" s="38">
        <v>46069</v>
      </c>
      <c r="D546" s="4" t="s">
        <v>1280</v>
      </c>
      <c r="E546" s="4" t="s">
        <v>1281</v>
      </c>
      <c r="F546" s="4" t="s">
        <v>2</v>
      </c>
      <c r="G546" s="4" t="s">
        <v>1996</v>
      </c>
      <c r="H546" s="4" t="s">
        <v>1997</v>
      </c>
      <c r="I546" s="4" t="s">
        <v>1062</v>
      </c>
      <c r="J546" s="4" t="s">
        <v>210</v>
      </c>
      <c r="K546" s="4"/>
      <c r="L546" s="5">
        <v>575000</v>
      </c>
      <c r="M546" s="5">
        <v>277828</v>
      </c>
      <c r="N546" s="5">
        <v>3406.09</v>
      </c>
      <c r="O546" s="5">
        <v>11500</v>
      </c>
      <c r="P546" s="5">
        <v>0</v>
      </c>
      <c r="Q546" s="5">
        <v>4437.91</v>
      </c>
      <c r="R546" s="5">
        <v>0</v>
      </c>
      <c r="S546" s="5">
        <v>282265.90999999997</v>
      </c>
      <c r="T546" s="6" t="s">
        <v>224</v>
      </c>
      <c r="U546" s="1"/>
      <c r="V546" s="1" t="s">
        <v>2361</v>
      </c>
      <c r="W546" s="1" t="s">
        <v>202</v>
      </c>
      <c r="X546" s="1" t="s">
        <v>213</v>
      </c>
      <c r="Y546" s="1">
        <v>61</v>
      </c>
      <c r="Z546" s="1" t="s">
        <v>2362</v>
      </c>
      <c r="AA546" s="1" t="s">
        <v>975</v>
      </c>
      <c r="AB546" s="1">
        <v>3104022640</v>
      </c>
    </row>
    <row r="547" spans="1:28" ht="13.8">
      <c r="A547" s="331">
        <v>32768</v>
      </c>
      <c r="B547" s="331">
        <v>26611</v>
      </c>
      <c r="C547" s="115">
        <v>46069</v>
      </c>
      <c r="D547" s="1" t="s">
        <v>1280</v>
      </c>
      <c r="E547" s="1" t="s">
        <v>1281</v>
      </c>
      <c r="F547" s="1" t="s">
        <v>2</v>
      </c>
      <c r="G547" s="1">
        <v>861414</v>
      </c>
      <c r="H547" s="1" t="s">
        <v>405</v>
      </c>
      <c r="I547" s="1" t="s">
        <v>1081</v>
      </c>
      <c r="J547" s="1" t="s">
        <v>210</v>
      </c>
      <c r="K547" s="1"/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3">
        <v>0</v>
      </c>
      <c r="U547" s="1"/>
      <c r="V547" s="1"/>
      <c r="W547" s="1" t="s">
        <v>63</v>
      </c>
      <c r="X547" s="1" t="s">
        <v>213</v>
      </c>
      <c r="Y547" s="1">
        <v>61</v>
      </c>
      <c r="Z547" s="1"/>
      <c r="AA547" s="1" t="s">
        <v>975</v>
      </c>
      <c r="AB547" s="1">
        <v>3104022640</v>
      </c>
    </row>
    <row r="548" spans="1:28" ht="13.8">
      <c r="A548" s="331">
        <v>32408</v>
      </c>
      <c r="B548" s="331">
        <v>26020</v>
      </c>
      <c r="C548" s="115">
        <v>46069</v>
      </c>
      <c r="D548" s="1" t="s">
        <v>2309</v>
      </c>
      <c r="E548" s="1" t="s">
        <v>2310</v>
      </c>
      <c r="F548" s="1" t="s">
        <v>2</v>
      </c>
      <c r="G548" s="1" t="s">
        <v>228</v>
      </c>
      <c r="H548" s="1" t="s">
        <v>229</v>
      </c>
      <c r="I548" s="1" t="s">
        <v>1209</v>
      </c>
      <c r="J548" s="1" t="s">
        <v>210</v>
      </c>
      <c r="K548" s="1" t="s">
        <v>1209</v>
      </c>
      <c r="L548" s="2">
        <v>335000</v>
      </c>
      <c r="M548" s="2">
        <v>164150</v>
      </c>
      <c r="N548" s="2">
        <v>0</v>
      </c>
      <c r="O548" s="2">
        <v>6700</v>
      </c>
      <c r="P548" s="2">
        <v>0</v>
      </c>
      <c r="Q548" s="2">
        <v>0</v>
      </c>
      <c r="R548" s="2">
        <v>0</v>
      </c>
      <c r="S548" s="2">
        <v>164150</v>
      </c>
      <c r="T548" s="3">
        <v>0.49</v>
      </c>
      <c r="U548" s="1"/>
      <c r="V548" s="1" t="s">
        <v>2313</v>
      </c>
      <c r="W548" s="1" t="s">
        <v>202</v>
      </c>
      <c r="X548" s="1" t="s">
        <v>319</v>
      </c>
      <c r="Y548" s="1">
        <v>47</v>
      </c>
      <c r="Z548" s="1" t="s">
        <v>2314</v>
      </c>
      <c r="AA548" s="1" t="s">
        <v>975</v>
      </c>
      <c r="AB548" s="1">
        <v>3133014614</v>
      </c>
    </row>
    <row r="549" spans="1:28" ht="13.8">
      <c r="A549" s="331">
        <v>35933</v>
      </c>
      <c r="B549" s="331">
        <v>25583</v>
      </c>
      <c r="C549" s="115">
        <v>46069</v>
      </c>
      <c r="D549" s="1" t="s">
        <v>742</v>
      </c>
      <c r="E549" s="1" t="s">
        <v>743</v>
      </c>
      <c r="F549" s="1" t="s">
        <v>127</v>
      </c>
      <c r="G549" s="1" t="s">
        <v>471</v>
      </c>
      <c r="H549" s="1" t="s">
        <v>472</v>
      </c>
      <c r="I549" s="1" t="s">
        <v>1209</v>
      </c>
      <c r="J549" s="1" t="s">
        <v>210</v>
      </c>
      <c r="K549" s="1" t="s">
        <v>1209</v>
      </c>
      <c r="L549" s="2">
        <v>700000</v>
      </c>
      <c r="M549" s="2">
        <v>343000</v>
      </c>
      <c r="N549" s="2">
        <v>0</v>
      </c>
      <c r="O549" s="2">
        <v>14000</v>
      </c>
      <c r="P549" s="2">
        <v>0</v>
      </c>
      <c r="Q549" s="2">
        <v>0</v>
      </c>
      <c r="R549" s="2">
        <v>0</v>
      </c>
      <c r="S549" s="2">
        <v>343000</v>
      </c>
      <c r="T549" s="3">
        <v>0.49</v>
      </c>
      <c r="U549" s="1"/>
      <c r="V549" s="1" t="s">
        <v>2303</v>
      </c>
      <c r="W549" s="1" t="s">
        <v>202</v>
      </c>
      <c r="X549" s="1" t="s">
        <v>672</v>
      </c>
      <c r="Y549" s="1">
        <v>28</v>
      </c>
      <c r="Z549" s="1" t="s">
        <v>2304</v>
      </c>
      <c r="AA549" s="1" t="s">
        <v>975</v>
      </c>
      <c r="AB549" s="1">
        <v>3057220014</v>
      </c>
    </row>
    <row r="550" spans="1:28" ht="13.8">
      <c r="A550" s="331">
        <v>35933</v>
      </c>
      <c r="B550" s="331">
        <v>25584</v>
      </c>
      <c r="C550" s="115">
        <v>46069</v>
      </c>
      <c r="D550" s="1" t="s">
        <v>742</v>
      </c>
      <c r="E550" s="1" t="s">
        <v>743</v>
      </c>
      <c r="F550" s="1" t="s">
        <v>127</v>
      </c>
      <c r="G550" s="1" t="s">
        <v>744</v>
      </c>
      <c r="H550" s="1" t="s">
        <v>745</v>
      </c>
      <c r="I550" s="1" t="s">
        <v>1062</v>
      </c>
      <c r="J550" s="1" t="s">
        <v>210</v>
      </c>
      <c r="K550" s="1"/>
      <c r="L550" s="2">
        <v>100000</v>
      </c>
      <c r="M550" s="2">
        <v>33312</v>
      </c>
      <c r="N550" s="2">
        <v>20145.580000000002</v>
      </c>
      <c r="O550" s="2">
        <v>2000</v>
      </c>
      <c r="P550" s="2">
        <v>0</v>
      </c>
      <c r="Q550" s="2">
        <v>11230.42</v>
      </c>
      <c r="R550" s="2">
        <v>0</v>
      </c>
      <c r="S550" s="2">
        <v>44542.42</v>
      </c>
      <c r="T550" s="3">
        <v>0.44542419999999999</v>
      </c>
      <c r="U550" s="1"/>
      <c r="V550" s="1" t="s">
        <v>2303</v>
      </c>
      <c r="W550" s="1" t="s">
        <v>202</v>
      </c>
      <c r="X550" s="1" t="s">
        <v>672</v>
      </c>
      <c r="Y550" s="1">
        <v>28</v>
      </c>
      <c r="Z550" s="1" t="s">
        <v>2304</v>
      </c>
      <c r="AA550" s="1" t="s">
        <v>975</v>
      </c>
      <c r="AB550" s="1">
        <v>3057220014</v>
      </c>
    </row>
    <row r="551" spans="1:28" ht="13.8">
      <c r="A551" s="331">
        <v>36426</v>
      </c>
      <c r="B551" s="331">
        <v>26486</v>
      </c>
      <c r="C551" s="115">
        <v>46069</v>
      </c>
      <c r="D551" s="1" t="s">
        <v>2159</v>
      </c>
      <c r="E551" s="1" t="s">
        <v>2317</v>
      </c>
      <c r="F551" s="1" t="s">
        <v>2</v>
      </c>
      <c r="G551" s="1">
        <v>890242</v>
      </c>
      <c r="H551" s="1" t="s">
        <v>331</v>
      </c>
      <c r="I551" s="1" t="s">
        <v>972</v>
      </c>
      <c r="J551" s="1" t="s">
        <v>223</v>
      </c>
      <c r="K551" s="1"/>
      <c r="L551" s="2">
        <v>250000</v>
      </c>
      <c r="M551" s="2">
        <v>125000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125000</v>
      </c>
      <c r="T551" s="3">
        <v>0.5</v>
      </c>
      <c r="U551" s="1"/>
      <c r="V551" s="1" t="s">
        <v>2318</v>
      </c>
      <c r="W551" s="1" t="s">
        <v>202</v>
      </c>
      <c r="X551" s="1" t="s">
        <v>277</v>
      </c>
      <c r="Y551" s="1">
        <v>42</v>
      </c>
      <c r="Z551" s="1" t="s">
        <v>2319</v>
      </c>
      <c r="AA551" s="1" t="s">
        <v>975</v>
      </c>
      <c r="AB551" s="1">
        <v>3009043165</v>
      </c>
    </row>
    <row r="552" spans="1:28" ht="13.8">
      <c r="A552" s="331">
        <v>21440</v>
      </c>
      <c r="B552" s="331">
        <v>24844</v>
      </c>
      <c r="C552" s="115">
        <v>46069</v>
      </c>
      <c r="D552" s="1" t="s">
        <v>492</v>
      </c>
      <c r="E552" s="1" t="s">
        <v>493</v>
      </c>
      <c r="F552" s="1" t="s">
        <v>4</v>
      </c>
      <c r="G552" s="1" t="s">
        <v>324</v>
      </c>
      <c r="H552" s="1" t="s">
        <v>325</v>
      </c>
      <c r="I552" s="1" t="s">
        <v>1097</v>
      </c>
      <c r="J552" s="1" t="s">
        <v>210</v>
      </c>
      <c r="K552" s="1" t="s">
        <v>1097</v>
      </c>
      <c r="L552" s="2">
        <v>200000</v>
      </c>
      <c r="M552" s="2">
        <v>98000</v>
      </c>
      <c r="N552" s="2">
        <v>0</v>
      </c>
      <c r="O552" s="2">
        <v>4000</v>
      </c>
      <c r="P552" s="2">
        <v>0</v>
      </c>
      <c r="Q552" s="2">
        <v>0</v>
      </c>
      <c r="R552" s="2">
        <v>0</v>
      </c>
      <c r="S552" s="2">
        <v>98000</v>
      </c>
      <c r="T552" s="3">
        <v>0.49</v>
      </c>
      <c r="U552" s="1"/>
      <c r="V552" s="1" t="s">
        <v>2568</v>
      </c>
      <c r="W552" s="1" t="s">
        <v>202</v>
      </c>
      <c r="X552" s="1" t="s">
        <v>225</v>
      </c>
      <c r="Y552" s="1">
        <v>67</v>
      </c>
      <c r="Z552" s="1" t="s">
        <v>2569</v>
      </c>
      <c r="AA552" s="1" t="s">
        <v>975</v>
      </c>
      <c r="AB552" s="1">
        <v>3105177556</v>
      </c>
    </row>
    <row r="553" spans="1:28" ht="13.8">
      <c r="A553" s="331">
        <v>35668</v>
      </c>
      <c r="B553" s="331">
        <v>25938</v>
      </c>
      <c r="C553" s="115">
        <v>46069</v>
      </c>
      <c r="D553" s="1" t="s">
        <v>521</v>
      </c>
      <c r="E553" s="1" t="s">
        <v>522</v>
      </c>
      <c r="F553" s="1" t="s">
        <v>4</v>
      </c>
      <c r="G553" s="1" t="s">
        <v>324</v>
      </c>
      <c r="H553" s="1" t="s">
        <v>325</v>
      </c>
      <c r="I553" s="1" t="s">
        <v>1097</v>
      </c>
      <c r="J553" s="1" t="s">
        <v>210</v>
      </c>
      <c r="K553" s="1" t="s">
        <v>1097</v>
      </c>
      <c r="L553" s="2">
        <v>650000</v>
      </c>
      <c r="M553" s="2">
        <v>318500</v>
      </c>
      <c r="N553" s="2">
        <v>0</v>
      </c>
      <c r="O553" s="2">
        <v>13000</v>
      </c>
      <c r="P553" s="2">
        <v>0</v>
      </c>
      <c r="Q553" s="2">
        <v>0</v>
      </c>
      <c r="R553" s="2">
        <v>0</v>
      </c>
      <c r="S553" s="2">
        <v>318500</v>
      </c>
      <c r="T553" s="3">
        <v>0.49</v>
      </c>
      <c r="U553" s="1"/>
      <c r="V553" s="1" t="s">
        <v>2570</v>
      </c>
      <c r="W553" s="1" t="s">
        <v>202</v>
      </c>
      <c r="X553" s="1" t="s">
        <v>213</v>
      </c>
      <c r="Y553" s="1">
        <v>32</v>
      </c>
      <c r="Z553" s="1" t="s">
        <v>2571</v>
      </c>
      <c r="AA553" s="1" t="s">
        <v>975</v>
      </c>
      <c r="AB553" s="1">
        <v>3215637931</v>
      </c>
    </row>
    <row r="554" spans="1:28" ht="13.8">
      <c r="A554" s="331">
        <v>30600</v>
      </c>
      <c r="B554" s="331">
        <v>18377</v>
      </c>
      <c r="C554" s="115">
        <v>46069</v>
      </c>
      <c r="D554" s="1" t="s">
        <v>235</v>
      </c>
      <c r="E554" s="1" t="s">
        <v>236</v>
      </c>
      <c r="F554" s="1" t="s">
        <v>4</v>
      </c>
      <c r="G554" s="1" t="s">
        <v>237</v>
      </c>
      <c r="H554" s="1" t="s">
        <v>238</v>
      </c>
      <c r="I554" s="1" t="s">
        <v>1209</v>
      </c>
      <c r="J554" s="1" t="s">
        <v>210</v>
      </c>
      <c r="K554" s="1" t="s">
        <v>1209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3">
        <v>0</v>
      </c>
      <c r="U554" s="1"/>
      <c r="V554" s="1"/>
      <c r="W554" s="1" t="s">
        <v>63</v>
      </c>
      <c r="X554" s="1" t="s">
        <v>225</v>
      </c>
      <c r="Y554" s="1">
        <v>39</v>
      </c>
      <c r="Z554" s="1"/>
      <c r="AA554" s="1" t="s">
        <v>975</v>
      </c>
      <c r="AB554" s="1">
        <v>3155615380</v>
      </c>
    </row>
    <row r="555" spans="1:28" ht="13.8">
      <c r="A555" s="331">
        <v>29527</v>
      </c>
      <c r="B555" s="331">
        <v>24701</v>
      </c>
      <c r="C555" s="115">
        <v>46069</v>
      </c>
      <c r="D555" s="1" t="s">
        <v>457</v>
      </c>
      <c r="E555" s="1" t="s">
        <v>458</v>
      </c>
      <c r="F555" s="1" t="s">
        <v>4</v>
      </c>
      <c r="G555" s="1" t="s">
        <v>459</v>
      </c>
      <c r="H555" s="1" t="s">
        <v>460</v>
      </c>
      <c r="I555" s="1" t="s">
        <v>1125</v>
      </c>
      <c r="J555" s="1" t="s">
        <v>210</v>
      </c>
      <c r="K555" s="1" t="s">
        <v>1126</v>
      </c>
      <c r="L555" s="2">
        <v>300000</v>
      </c>
      <c r="M555" s="2">
        <v>147000</v>
      </c>
      <c r="N555" s="2">
        <v>0</v>
      </c>
      <c r="O555" s="2">
        <v>6000</v>
      </c>
      <c r="P555" s="2">
        <v>0</v>
      </c>
      <c r="Q555" s="2">
        <v>0</v>
      </c>
      <c r="R555" s="2">
        <v>0</v>
      </c>
      <c r="S555" s="2">
        <v>147000</v>
      </c>
      <c r="T555" s="3">
        <v>0.49</v>
      </c>
      <c r="U555" s="1"/>
      <c r="V555" s="1" t="s">
        <v>2286</v>
      </c>
      <c r="W555" s="1" t="s">
        <v>202</v>
      </c>
      <c r="X555" s="1" t="s">
        <v>225</v>
      </c>
      <c r="Y555" s="1">
        <v>36</v>
      </c>
      <c r="Z555" s="1" t="s">
        <v>2287</v>
      </c>
      <c r="AA555" s="1" t="s">
        <v>975</v>
      </c>
      <c r="AB555" s="1">
        <v>3223061460</v>
      </c>
    </row>
    <row r="556" spans="1:28" ht="13.8">
      <c r="A556" s="331">
        <v>35981</v>
      </c>
      <c r="B556" s="331">
        <v>25683</v>
      </c>
      <c r="C556" s="115">
        <v>46069</v>
      </c>
      <c r="D556" s="1" t="s">
        <v>777</v>
      </c>
      <c r="E556" s="1" t="s">
        <v>778</v>
      </c>
      <c r="F556" s="1" t="s">
        <v>4</v>
      </c>
      <c r="G556" s="1">
        <v>890303</v>
      </c>
      <c r="H556" s="1" t="s">
        <v>221</v>
      </c>
      <c r="I556" s="1" t="s">
        <v>1012</v>
      </c>
      <c r="J556" s="1" t="s">
        <v>223</v>
      </c>
      <c r="K556" s="1"/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3">
        <v>0</v>
      </c>
      <c r="U556" s="1"/>
      <c r="V556" s="1"/>
      <c r="W556" s="1" t="s">
        <v>63</v>
      </c>
      <c r="X556" s="1" t="s">
        <v>277</v>
      </c>
      <c r="Y556" s="1">
        <v>22</v>
      </c>
      <c r="Z556" s="1"/>
      <c r="AA556" s="1" t="s">
        <v>975</v>
      </c>
      <c r="AB556" s="1">
        <v>3043483463</v>
      </c>
    </row>
    <row r="557" spans="1:28" ht="13.8">
      <c r="A557" s="331">
        <v>21196</v>
      </c>
      <c r="B557" s="331">
        <v>26634</v>
      </c>
      <c r="C557" s="115">
        <v>46069</v>
      </c>
      <c r="D557" s="1" t="s">
        <v>1104</v>
      </c>
      <c r="E557" s="1" t="s">
        <v>1105</v>
      </c>
      <c r="F557" s="1" t="s">
        <v>4</v>
      </c>
      <c r="G557" s="1">
        <v>861411</v>
      </c>
      <c r="H557" s="1" t="s">
        <v>406</v>
      </c>
      <c r="I557" s="1" t="s">
        <v>1081</v>
      </c>
      <c r="J557" s="1" t="s">
        <v>210</v>
      </c>
      <c r="K557" s="1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3">
        <v>0</v>
      </c>
      <c r="U557" s="1"/>
      <c r="V557" s="1"/>
      <c r="W557" s="1" t="s">
        <v>63</v>
      </c>
      <c r="X557" s="1" t="s">
        <v>213</v>
      </c>
      <c r="Y557" s="1">
        <v>52</v>
      </c>
      <c r="Z557" s="1"/>
      <c r="AA557" s="1" t="s">
        <v>975</v>
      </c>
      <c r="AB557" s="1">
        <v>3155617242</v>
      </c>
    </row>
    <row r="558" spans="1:28" ht="13.8">
      <c r="A558" s="331">
        <v>33404</v>
      </c>
      <c r="B558" s="331">
        <v>25256</v>
      </c>
      <c r="C558" s="115">
        <v>46069</v>
      </c>
      <c r="D558" s="1" t="s">
        <v>614</v>
      </c>
      <c r="E558" s="1" t="s">
        <v>615</v>
      </c>
      <c r="F558" s="1" t="s">
        <v>4</v>
      </c>
      <c r="G558" s="1" t="s">
        <v>431</v>
      </c>
      <c r="H558" s="1" t="s">
        <v>432</v>
      </c>
      <c r="I558" s="1" t="s">
        <v>1047</v>
      </c>
      <c r="J558" s="1" t="s">
        <v>210</v>
      </c>
      <c r="K558" s="1" t="s">
        <v>1048</v>
      </c>
      <c r="L558" s="2">
        <v>1000000</v>
      </c>
      <c r="M558" s="2">
        <v>500000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500000</v>
      </c>
      <c r="T558" s="3">
        <v>0.5</v>
      </c>
      <c r="U558" s="1"/>
      <c r="V558" s="1" t="s">
        <v>2299</v>
      </c>
      <c r="W558" s="1" t="s">
        <v>202</v>
      </c>
      <c r="X558" s="1" t="s">
        <v>277</v>
      </c>
      <c r="Y558" s="1">
        <v>66</v>
      </c>
      <c r="Z558" s="1" t="s">
        <v>2300</v>
      </c>
      <c r="AA558" s="1" t="s">
        <v>975</v>
      </c>
      <c r="AB558" s="1">
        <v>3113679981</v>
      </c>
    </row>
    <row r="559" spans="1:28" ht="13.8">
      <c r="A559" s="331">
        <v>36412</v>
      </c>
      <c r="B559" s="331">
        <v>26466</v>
      </c>
      <c r="C559" s="115">
        <v>46069</v>
      </c>
      <c r="D559" s="1" t="s">
        <v>2147</v>
      </c>
      <c r="E559" s="1" t="s">
        <v>2572</v>
      </c>
      <c r="F559" s="1" t="s">
        <v>3</v>
      </c>
      <c r="G559" s="1">
        <v>890242</v>
      </c>
      <c r="H559" s="1" t="s">
        <v>331</v>
      </c>
      <c r="I559" s="1" t="s">
        <v>972</v>
      </c>
      <c r="J559" s="1" t="s">
        <v>223</v>
      </c>
      <c r="K559" s="1"/>
      <c r="L559" s="2">
        <v>250000</v>
      </c>
      <c r="M559" s="2">
        <v>125000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125000</v>
      </c>
      <c r="T559" s="3">
        <v>0.5</v>
      </c>
      <c r="U559" s="1"/>
      <c r="V559" s="1" t="s">
        <v>2573</v>
      </c>
      <c r="W559" s="1" t="s">
        <v>202</v>
      </c>
      <c r="X559" s="1" t="s">
        <v>213</v>
      </c>
      <c r="Y559" s="1">
        <v>57</v>
      </c>
      <c r="Z559" s="1" t="s">
        <v>2574</v>
      </c>
      <c r="AA559" s="1" t="s">
        <v>975</v>
      </c>
      <c r="AB559" s="1">
        <v>3185218807</v>
      </c>
    </row>
    <row r="560" spans="1:28" ht="13.8">
      <c r="A560" s="331">
        <v>36304</v>
      </c>
      <c r="B560" s="331">
        <v>26277</v>
      </c>
      <c r="C560" s="115">
        <v>46069</v>
      </c>
      <c r="D560" s="1" t="s">
        <v>2021</v>
      </c>
      <c r="E560" s="1" t="s">
        <v>2575</v>
      </c>
      <c r="F560" s="1" t="s">
        <v>2</v>
      </c>
      <c r="G560" s="1">
        <v>890242</v>
      </c>
      <c r="H560" s="1" t="s">
        <v>331</v>
      </c>
      <c r="I560" s="1" t="s">
        <v>972</v>
      </c>
      <c r="J560" s="1" t="s">
        <v>223</v>
      </c>
      <c r="K560" s="1"/>
      <c r="L560" s="2">
        <v>250000</v>
      </c>
      <c r="M560" s="2">
        <v>122500</v>
      </c>
      <c r="N560" s="2">
        <v>0</v>
      </c>
      <c r="O560" s="2">
        <v>5000</v>
      </c>
      <c r="P560" s="2">
        <v>0</v>
      </c>
      <c r="Q560" s="2">
        <v>0</v>
      </c>
      <c r="R560" s="2">
        <v>0</v>
      </c>
      <c r="S560" s="2">
        <v>122500</v>
      </c>
      <c r="T560" s="3">
        <v>0.49</v>
      </c>
      <c r="U560" s="1"/>
      <c r="V560" s="1" t="s">
        <v>2576</v>
      </c>
      <c r="W560" s="1" t="s">
        <v>202</v>
      </c>
      <c r="X560" s="1" t="s">
        <v>248</v>
      </c>
      <c r="Y560" s="1">
        <v>45</v>
      </c>
      <c r="Z560" s="1" t="s">
        <v>2577</v>
      </c>
      <c r="AA560" s="1" t="s">
        <v>975</v>
      </c>
      <c r="AB560" s="1">
        <v>3502058439</v>
      </c>
    </row>
    <row r="561" spans="1:28" ht="13.8">
      <c r="A561" s="331">
        <v>36475</v>
      </c>
      <c r="B561" s="331">
        <v>26579</v>
      </c>
      <c r="C561" s="115">
        <v>46069</v>
      </c>
      <c r="D561" s="1" t="s">
        <v>2348</v>
      </c>
      <c r="E561" s="1" t="s">
        <v>2578</v>
      </c>
      <c r="F561" s="1" t="s">
        <v>3</v>
      </c>
      <c r="G561" s="1">
        <v>890242</v>
      </c>
      <c r="H561" s="1" t="s">
        <v>331</v>
      </c>
      <c r="I561" s="1" t="s">
        <v>972</v>
      </c>
      <c r="J561" s="1" t="s">
        <v>223</v>
      </c>
      <c r="K561" s="1"/>
      <c r="L561" s="2">
        <v>250000</v>
      </c>
      <c r="M561" s="2">
        <v>125000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125000</v>
      </c>
      <c r="T561" s="3">
        <v>0.5</v>
      </c>
      <c r="U561" s="1"/>
      <c r="V561" s="1" t="s">
        <v>2579</v>
      </c>
      <c r="W561" s="1" t="s">
        <v>202</v>
      </c>
      <c r="X561" s="1" t="s">
        <v>213</v>
      </c>
      <c r="Y561" s="1">
        <v>71</v>
      </c>
      <c r="Z561" s="1" t="s">
        <v>2580</v>
      </c>
      <c r="AA561" s="1" t="s">
        <v>975</v>
      </c>
      <c r="AB561" s="1">
        <v>3136912995</v>
      </c>
    </row>
    <row r="562" spans="1:28" ht="13.8">
      <c r="A562" s="331">
        <v>36507</v>
      </c>
      <c r="B562" s="331">
        <v>26651</v>
      </c>
      <c r="C562" s="115">
        <v>46069</v>
      </c>
      <c r="D562" s="1" t="s">
        <v>2147</v>
      </c>
      <c r="E562" s="1" t="s">
        <v>2572</v>
      </c>
      <c r="F562" s="1" t="s">
        <v>3</v>
      </c>
      <c r="G562" s="1">
        <v>861401</v>
      </c>
      <c r="H562" s="1" t="s">
        <v>307</v>
      </c>
      <c r="I562" s="1" t="s">
        <v>983</v>
      </c>
      <c r="J562" s="1" t="s">
        <v>210</v>
      </c>
      <c r="K562" s="1"/>
      <c r="L562" s="2">
        <v>300000</v>
      </c>
      <c r="M562" s="2">
        <v>150000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150000</v>
      </c>
      <c r="T562" s="3">
        <v>0.5</v>
      </c>
      <c r="U562" s="1"/>
      <c r="V562" s="1" t="s">
        <v>2581</v>
      </c>
      <c r="W562" s="1" t="s">
        <v>202</v>
      </c>
      <c r="X562" s="1" t="s">
        <v>213</v>
      </c>
      <c r="Y562" s="1">
        <v>57</v>
      </c>
      <c r="Z562" s="1" t="s">
        <v>2582</v>
      </c>
      <c r="AA562" s="1" t="s">
        <v>975</v>
      </c>
      <c r="AB562" s="1">
        <v>3185218807</v>
      </c>
    </row>
    <row r="563" spans="1:28" ht="13.8">
      <c r="A563" s="331">
        <v>34368</v>
      </c>
      <c r="B563" s="331">
        <v>24979</v>
      </c>
      <c r="C563" s="115">
        <v>46069</v>
      </c>
      <c r="D563" s="1" t="s">
        <v>782</v>
      </c>
      <c r="E563" s="1" t="s">
        <v>783</v>
      </c>
      <c r="F563" s="1" t="s">
        <v>3</v>
      </c>
      <c r="G563" s="1" t="s">
        <v>583</v>
      </c>
      <c r="H563" s="1" t="s">
        <v>584</v>
      </c>
      <c r="I563" s="1" t="s">
        <v>1065</v>
      </c>
      <c r="J563" s="1" t="s">
        <v>210</v>
      </c>
      <c r="K563" s="1"/>
      <c r="L563" s="2">
        <v>1000000</v>
      </c>
      <c r="M563" s="2">
        <v>348037.5</v>
      </c>
      <c r="N563" s="2">
        <v>228276.43</v>
      </c>
      <c r="O563" s="2">
        <v>20000</v>
      </c>
      <c r="P563" s="2">
        <v>0</v>
      </c>
      <c r="Q563" s="2">
        <v>55648.57</v>
      </c>
      <c r="R563" s="2">
        <v>0</v>
      </c>
      <c r="S563" s="2">
        <v>403686.07</v>
      </c>
      <c r="T563" s="3">
        <v>0.40368607000000001</v>
      </c>
      <c r="U563" s="1"/>
      <c r="V563" s="1" t="s">
        <v>2583</v>
      </c>
      <c r="W563" s="1" t="s">
        <v>202</v>
      </c>
      <c r="X563" s="1" t="s">
        <v>225</v>
      </c>
      <c r="Y563" s="1">
        <v>27</v>
      </c>
      <c r="Z563" s="1" t="s">
        <v>2584</v>
      </c>
      <c r="AA563" s="1" t="s">
        <v>975</v>
      </c>
      <c r="AB563" s="1">
        <v>3152107015</v>
      </c>
    </row>
    <row r="564" spans="1:28" ht="13.8">
      <c r="A564" s="331">
        <v>36366</v>
      </c>
      <c r="B564" s="331">
        <v>26394</v>
      </c>
      <c r="C564" s="115">
        <v>46069</v>
      </c>
      <c r="D564" s="1" t="s">
        <v>2103</v>
      </c>
      <c r="E564" s="1" t="s">
        <v>2104</v>
      </c>
      <c r="F564" s="1" t="s">
        <v>126</v>
      </c>
      <c r="G564" s="1">
        <v>890303</v>
      </c>
      <c r="H564" s="1" t="s">
        <v>221</v>
      </c>
      <c r="I564" s="1" t="s">
        <v>1012</v>
      </c>
      <c r="J564" s="1" t="s">
        <v>223</v>
      </c>
      <c r="K564" s="1"/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3">
        <v>0</v>
      </c>
      <c r="U564" s="1"/>
      <c r="V564" s="1"/>
      <c r="W564" s="1" t="s">
        <v>63</v>
      </c>
      <c r="X564" s="1" t="s">
        <v>277</v>
      </c>
      <c r="Y564" s="1">
        <v>34</v>
      </c>
      <c r="Z564" s="1"/>
      <c r="AA564" s="1" t="s">
        <v>975</v>
      </c>
      <c r="AB564" s="1">
        <v>3114221168</v>
      </c>
    </row>
    <row r="565" spans="1:28" ht="13.8">
      <c r="A565" s="331">
        <v>32912</v>
      </c>
      <c r="B565" s="331">
        <v>26356</v>
      </c>
      <c r="C565" s="115">
        <v>46069</v>
      </c>
      <c r="D565" s="1" t="s">
        <v>2054</v>
      </c>
      <c r="E565" s="1" t="s">
        <v>2055</v>
      </c>
      <c r="F565" s="1" t="s">
        <v>3</v>
      </c>
      <c r="G565" s="1" t="s">
        <v>931</v>
      </c>
      <c r="H565" s="1" t="s">
        <v>2056</v>
      </c>
      <c r="I565" s="1" t="s">
        <v>1065</v>
      </c>
      <c r="J565" s="1" t="s">
        <v>210</v>
      </c>
      <c r="K565" s="1" t="s">
        <v>1066</v>
      </c>
      <c r="L565" s="2">
        <v>700000</v>
      </c>
      <c r="M565" s="2">
        <v>346500</v>
      </c>
      <c r="N565" s="2">
        <v>0</v>
      </c>
      <c r="O565" s="2">
        <v>7000</v>
      </c>
      <c r="P565" s="2">
        <v>0</v>
      </c>
      <c r="Q565" s="2">
        <v>0</v>
      </c>
      <c r="R565" s="2">
        <v>0</v>
      </c>
      <c r="S565" s="2">
        <v>346500</v>
      </c>
      <c r="T565" s="3">
        <v>0.495</v>
      </c>
      <c r="U565" s="1"/>
      <c r="V565" s="1" t="s">
        <v>2585</v>
      </c>
      <c r="W565" s="1" t="s">
        <v>202</v>
      </c>
      <c r="X565" s="1" t="s">
        <v>213</v>
      </c>
      <c r="Y565" s="1">
        <v>48</v>
      </c>
      <c r="Z565" s="1" t="s">
        <v>2586</v>
      </c>
      <c r="AA565" s="1" t="s">
        <v>975</v>
      </c>
      <c r="AB565" s="1">
        <v>3157661261</v>
      </c>
    </row>
    <row r="566" spans="1:28" ht="13.8">
      <c r="A566" s="331">
        <v>36498</v>
      </c>
      <c r="B566" s="331">
        <v>26637</v>
      </c>
      <c r="C566" s="115">
        <v>46069</v>
      </c>
      <c r="D566" s="1" t="s">
        <v>613</v>
      </c>
      <c r="E566" s="1" t="s">
        <v>2296</v>
      </c>
      <c r="F566" s="1" t="s">
        <v>3</v>
      </c>
      <c r="G566" s="1" t="s">
        <v>362</v>
      </c>
      <c r="H566" s="1" t="s">
        <v>363</v>
      </c>
      <c r="I566" s="1" t="s">
        <v>1062</v>
      </c>
      <c r="J566" s="1" t="s">
        <v>210</v>
      </c>
      <c r="K566" s="1"/>
      <c r="L566" s="2">
        <v>3000000</v>
      </c>
      <c r="M566" s="2">
        <v>1089183</v>
      </c>
      <c r="N566" s="2">
        <v>580223.41</v>
      </c>
      <c r="O566" s="2">
        <v>60000</v>
      </c>
      <c r="P566" s="2">
        <v>0</v>
      </c>
      <c r="Q566" s="2">
        <v>181410.59</v>
      </c>
      <c r="R566" s="2">
        <v>0</v>
      </c>
      <c r="S566" s="2">
        <v>1270593.5900000001</v>
      </c>
      <c r="T566" s="3">
        <v>0.42353119666667</v>
      </c>
      <c r="U566" s="1"/>
      <c r="V566" s="1" t="s">
        <v>2383</v>
      </c>
      <c r="W566" s="1" t="s">
        <v>202</v>
      </c>
      <c r="X566" s="1" t="s">
        <v>213</v>
      </c>
      <c r="Y566" s="1">
        <v>33</v>
      </c>
      <c r="Z566" s="1" t="s">
        <v>2384</v>
      </c>
      <c r="AA566" s="1" t="s">
        <v>975</v>
      </c>
      <c r="AB566" s="1">
        <v>3506411225</v>
      </c>
    </row>
    <row r="567" spans="1:28" ht="13.8">
      <c r="A567" s="331">
        <v>36431</v>
      </c>
      <c r="B567" s="331">
        <v>26500</v>
      </c>
      <c r="C567" s="115">
        <v>46069</v>
      </c>
      <c r="D567" s="1" t="s">
        <v>2320</v>
      </c>
      <c r="E567" s="1" t="s">
        <v>2321</v>
      </c>
      <c r="F567" s="1" t="s">
        <v>3</v>
      </c>
      <c r="G567" s="1">
        <v>890242</v>
      </c>
      <c r="H567" s="1" t="s">
        <v>331</v>
      </c>
      <c r="I567" s="1" t="s">
        <v>972</v>
      </c>
      <c r="J567" s="1" t="s">
        <v>223</v>
      </c>
      <c r="K567" s="1"/>
      <c r="L567" s="2">
        <v>250000</v>
      </c>
      <c r="M567" s="2">
        <v>125000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125000</v>
      </c>
      <c r="T567" s="3">
        <v>0.5</v>
      </c>
      <c r="U567" s="1"/>
      <c r="V567" s="1" t="s">
        <v>2587</v>
      </c>
      <c r="W567" s="1" t="s">
        <v>202</v>
      </c>
      <c r="X567" s="1" t="s">
        <v>225</v>
      </c>
      <c r="Y567" s="1">
        <v>22</v>
      </c>
      <c r="Z567" s="1" t="s">
        <v>2588</v>
      </c>
      <c r="AA567" s="1" t="s">
        <v>975</v>
      </c>
      <c r="AB567" s="1">
        <v>3007397074</v>
      </c>
    </row>
    <row r="568" spans="1:28" ht="13.8">
      <c r="A568" s="331">
        <v>35988</v>
      </c>
      <c r="B568" s="331">
        <v>26661</v>
      </c>
      <c r="C568" s="115">
        <v>46069</v>
      </c>
      <c r="D568" s="1" t="s">
        <v>2103</v>
      </c>
      <c r="E568" s="1" t="s">
        <v>2104</v>
      </c>
      <c r="F568" s="1" t="s">
        <v>126</v>
      </c>
      <c r="G568" s="1">
        <v>861411</v>
      </c>
      <c r="H568" s="1" t="s">
        <v>406</v>
      </c>
      <c r="I568" s="1" t="s">
        <v>1081</v>
      </c>
      <c r="J568" s="1" t="s">
        <v>210</v>
      </c>
      <c r="K568" s="1"/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3">
        <v>0</v>
      </c>
      <c r="U568" s="1"/>
      <c r="V568" s="1"/>
      <c r="W568" s="1" t="s">
        <v>63</v>
      </c>
      <c r="X568" s="1" t="s">
        <v>277</v>
      </c>
      <c r="Y568" s="1">
        <v>34</v>
      </c>
      <c r="Z568" s="1"/>
      <c r="AA568" s="1" t="s">
        <v>975</v>
      </c>
      <c r="AB568" s="1">
        <v>3114221168</v>
      </c>
    </row>
    <row r="569" spans="1:28" ht="13.8">
      <c r="A569" s="331">
        <v>36301</v>
      </c>
      <c r="B569" s="331">
        <v>26266</v>
      </c>
      <c r="C569" s="115">
        <v>46069</v>
      </c>
      <c r="D569" s="1" t="s">
        <v>2015</v>
      </c>
      <c r="E569" s="1" t="s">
        <v>2016</v>
      </c>
      <c r="F569" s="1" t="s">
        <v>126</v>
      </c>
      <c r="G569" s="1">
        <v>890242</v>
      </c>
      <c r="H569" s="1" t="s">
        <v>331</v>
      </c>
      <c r="I569" s="1" t="s">
        <v>972</v>
      </c>
      <c r="J569" s="1" t="s">
        <v>223</v>
      </c>
      <c r="K569" s="1"/>
      <c r="L569" s="2">
        <v>250000</v>
      </c>
      <c r="M569" s="2">
        <v>122500</v>
      </c>
      <c r="N569" s="2">
        <v>0</v>
      </c>
      <c r="O569" s="2">
        <v>5000</v>
      </c>
      <c r="P569" s="2">
        <v>0</v>
      </c>
      <c r="Q569" s="2">
        <v>0</v>
      </c>
      <c r="R569" s="2">
        <v>0</v>
      </c>
      <c r="S569" s="2">
        <v>122500</v>
      </c>
      <c r="T569" s="3">
        <v>0.49</v>
      </c>
      <c r="U569" s="1"/>
      <c r="V569" s="1" t="s">
        <v>2589</v>
      </c>
      <c r="W569" s="1" t="s">
        <v>202</v>
      </c>
      <c r="X569" s="1" t="s">
        <v>277</v>
      </c>
      <c r="Y569" s="1">
        <v>23</v>
      </c>
      <c r="Z569" s="1" t="s">
        <v>2590</v>
      </c>
      <c r="AA569" s="1" t="s">
        <v>975</v>
      </c>
      <c r="AB569" s="1">
        <v>3137678149</v>
      </c>
    </row>
    <row r="570" spans="1:28" ht="13.8">
      <c r="A570" s="331">
        <v>36511</v>
      </c>
      <c r="B570" s="331">
        <v>26655</v>
      </c>
      <c r="C570" s="115">
        <v>46069</v>
      </c>
      <c r="D570" s="1" t="s">
        <v>2591</v>
      </c>
      <c r="E570" s="1" t="s">
        <v>2592</v>
      </c>
      <c r="F570" s="1" t="s">
        <v>4</v>
      </c>
      <c r="G570" s="1">
        <v>890242</v>
      </c>
      <c r="H570" s="1" t="s">
        <v>331</v>
      </c>
      <c r="I570" s="1" t="s">
        <v>972</v>
      </c>
      <c r="J570" s="1" t="s">
        <v>223</v>
      </c>
      <c r="K570" s="1"/>
      <c r="L570" s="2">
        <v>250000</v>
      </c>
      <c r="M570" s="2">
        <v>125000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125000</v>
      </c>
      <c r="T570" s="3">
        <v>0.5</v>
      </c>
      <c r="U570" s="1"/>
      <c r="V570" s="1" t="s">
        <v>2593</v>
      </c>
      <c r="W570" s="1" t="s">
        <v>202</v>
      </c>
      <c r="X570" s="1" t="s">
        <v>213</v>
      </c>
      <c r="Y570" s="1">
        <v>31</v>
      </c>
      <c r="Z570" s="1" t="s">
        <v>2594</v>
      </c>
      <c r="AA570" s="1" t="s">
        <v>975</v>
      </c>
      <c r="AB570" s="1">
        <v>3154362313</v>
      </c>
    </row>
    <row r="571" spans="1:28" ht="13.8">
      <c r="A571" s="331">
        <v>36413</v>
      </c>
      <c r="B571" s="331">
        <v>26467</v>
      </c>
      <c r="C571" s="115">
        <v>46069</v>
      </c>
      <c r="D571" s="1" t="s">
        <v>2148</v>
      </c>
      <c r="E571" s="1" t="s">
        <v>2149</v>
      </c>
      <c r="F571" s="1" t="s">
        <v>3</v>
      </c>
      <c r="G571" s="1">
        <v>890303</v>
      </c>
      <c r="H571" s="1" t="s">
        <v>221</v>
      </c>
      <c r="I571" s="1" t="s">
        <v>1012</v>
      </c>
      <c r="J571" s="1" t="s">
        <v>223</v>
      </c>
      <c r="K571" s="1"/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3">
        <v>0</v>
      </c>
      <c r="U571" s="1"/>
      <c r="V571" s="1"/>
      <c r="W571" s="1" t="s">
        <v>63</v>
      </c>
      <c r="X571" s="1" t="s">
        <v>225</v>
      </c>
      <c r="Y571" s="1">
        <v>63</v>
      </c>
      <c r="Z571" s="1"/>
      <c r="AA571" s="1" t="s">
        <v>975</v>
      </c>
      <c r="AB571" s="1">
        <v>3013715546</v>
      </c>
    </row>
    <row r="572" spans="1:28" ht="13.8">
      <c r="A572" s="331">
        <v>36433</v>
      </c>
      <c r="B572" s="331">
        <v>26509</v>
      </c>
      <c r="C572" s="115">
        <v>46069</v>
      </c>
      <c r="D572" s="1" t="s">
        <v>2322</v>
      </c>
      <c r="E572" s="1" t="s">
        <v>2323</v>
      </c>
      <c r="F572" s="1" t="s">
        <v>3</v>
      </c>
      <c r="G572" s="1">
        <v>890242</v>
      </c>
      <c r="H572" s="1" t="s">
        <v>331</v>
      </c>
      <c r="I572" s="1" t="s">
        <v>972</v>
      </c>
      <c r="J572" s="1" t="s">
        <v>223</v>
      </c>
      <c r="K572" s="1"/>
      <c r="L572" s="2">
        <v>250000</v>
      </c>
      <c r="M572" s="2">
        <v>122500</v>
      </c>
      <c r="N572" s="2">
        <v>0</v>
      </c>
      <c r="O572" s="2">
        <v>5000</v>
      </c>
      <c r="P572" s="2">
        <v>0</v>
      </c>
      <c r="Q572" s="2">
        <v>0</v>
      </c>
      <c r="R572" s="2">
        <v>0</v>
      </c>
      <c r="S572" s="2">
        <v>122500</v>
      </c>
      <c r="T572" s="3">
        <v>0.49</v>
      </c>
      <c r="U572" s="1"/>
      <c r="V572" s="1" t="s">
        <v>2595</v>
      </c>
      <c r="W572" s="1" t="s">
        <v>202</v>
      </c>
      <c r="X572" s="1" t="s">
        <v>225</v>
      </c>
      <c r="Y572" s="1">
        <v>27</v>
      </c>
      <c r="Z572" s="1" t="s">
        <v>2596</v>
      </c>
      <c r="AA572" s="1" t="s">
        <v>975</v>
      </c>
      <c r="AB572" s="1">
        <v>3503356443</v>
      </c>
    </row>
    <row r="573" spans="1:28" ht="13.8">
      <c r="A573" s="331">
        <v>36370</v>
      </c>
      <c r="B573" s="331">
        <v>26406</v>
      </c>
      <c r="C573" s="115">
        <v>46069</v>
      </c>
      <c r="D573" s="1" t="s">
        <v>2038</v>
      </c>
      <c r="E573" s="1" t="s">
        <v>2039</v>
      </c>
      <c r="F573" s="1" t="s">
        <v>126</v>
      </c>
      <c r="G573" s="1">
        <v>861426</v>
      </c>
      <c r="H573" s="1" t="s">
        <v>299</v>
      </c>
      <c r="I573" s="1" t="s">
        <v>1081</v>
      </c>
      <c r="J573" s="1" t="s">
        <v>210</v>
      </c>
      <c r="K573" s="1"/>
      <c r="L573" s="2">
        <v>1050000</v>
      </c>
      <c r="M573" s="2">
        <v>338300</v>
      </c>
      <c r="N573" s="2">
        <v>299505</v>
      </c>
      <c r="O573" s="2">
        <v>21000</v>
      </c>
      <c r="P573" s="2">
        <v>0</v>
      </c>
      <c r="Q573" s="2">
        <v>52895</v>
      </c>
      <c r="R573" s="2">
        <v>0</v>
      </c>
      <c r="S573" s="2">
        <v>391195</v>
      </c>
      <c r="T573" s="3">
        <v>0.37256666666666999</v>
      </c>
      <c r="U573" s="1"/>
      <c r="V573" s="1" t="s">
        <v>2597</v>
      </c>
      <c r="W573" s="1" t="s">
        <v>202</v>
      </c>
      <c r="X573" s="1" t="s">
        <v>277</v>
      </c>
      <c r="Y573" s="1">
        <v>20</v>
      </c>
      <c r="Z573" s="1" t="s">
        <v>2598</v>
      </c>
      <c r="AA573" s="1" t="s">
        <v>975</v>
      </c>
      <c r="AB573" s="1">
        <v>3176806163</v>
      </c>
    </row>
    <row r="574" spans="1:28" ht="13.8">
      <c r="A574" s="331">
        <v>33615</v>
      </c>
      <c r="B574" s="331">
        <v>26667</v>
      </c>
      <c r="C574" s="115">
        <v>46069</v>
      </c>
      <c r="D574" s="1" t="s">
        <v>2148</v>
      </c>
      <c r="E574" s="1" t="s">
        <v>2149</v>
      </c>
      <c r="F574" s="1" t="s">
        <v>3</v>
      </c>
      <c r="G574" s="1" t="s">
        <v>324</v>
      </c>
      <c r="H574" s="1" t="s">
        <v>325</v>
      </c>
      <c r="I574" s="1" t="s">
        <v>1097</v>
      </c>
      <c r="J574" s="1" t="s">
        <v>210</v>
      </c>
      <c r="K574" s="1" t="s">
        <v>1097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3">
        <v>0</v>
      </c>
      <c r="U574" s="1"/>
      <c r="V574" s="1"/>
      <c r="W574" s="1" t="s">
        <v>63</v>
      </c>
      <c r="X574" s="1" t="s">
        <v>225</v>
      </c>
      <c r="Y574" s="1">
        <v>63</v>
      </c>
      <c r="Z574" s="1"/>
      <c r="AA574" s="1" t="s">
        <v>975</v>
      </c>
      <c r="AB574" s="1">
        <v>3013715546</v>
      </c>
    </row>
    <row r="575" spans="1:28" ht="13.8">
      <c r="A575" s="331">
        <v>35575</v>
      </c>
      <c r="B575" s="331">
        <v>25016</v>
      </c>
      <c r="C575" s="115">
        <v>46069</v>
      </c>
      <c r="D575" s="1" t="s">
        <v>557</v>
      </c>
      <c r="E575" s="1" t="s">
        <v>558</v>
      </c>
      <c r="F575" s="1" t="s">
        <v>126</v>
      </c>
      <c r="G575" s="1" t="s">
        <v>207</v>
      </c>
      <c r="H575" s="1" t="s">
        <v>208</v>
      </c>
      <c r="I575" s="1" t="s">
        <v>1033</v>
      </c>
      <c r="J575" s="1" t="s">
        <v>210</v>
      </c>
      <c r="K575" s="1" t="s">
        <v>1033</v>
      </c>
      <c r="L575" s="2">
        <v>350000</v>
      </c>
      <c r="M575" s="2">
        <v>175000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175000</v>
      </c>
      <c r="T575" s="3">
        <v>0.5</v>
      </c>
      <c r="U575" s="1"/>
      <c r="V575" s="1" t="s">
        <v>2599</v>
      </c>
      <c r="W575" s="1" t="s">
        <v>202</v>
      </c>
      <c r="X575" s="1" t="s">
        <v>213</v>
      </c>
      <c r="Y575" s="1">
        <v>33</v>
      </c>
      <c r="Z575" s="1" t="s">
        <v>2600</v>
      </c>
      <c r="AA575" s="1" t="s">
        <v>975</v>
      </c>
      <c r="AB575" s="1">
        <v>3145195087</v>
      </c>
    </row>
    <row r="576" spans="1:28" ht="13.8">
      <c r="A576" s="331">
        <v>33615</v>
      </c>
      <c r="B576" s="331">
        <v>26668</v>
      </c>
      <c r="C576" s="115">
        <v>46069</v>
      </c>
      <c r="D576" s="1" t="s">
        <v>2148</v>
      </c>
      <c r="E576" s="1" t="s">
        <v>2149</v>
      </c>
      <c r="F576" s="1" t="s">
        <v>3</v>
      </c>
      <c r="G576" s="1" t="s">
        <v>228</v>
      </c>
      <c r="H576" s="1" t="s">
        <v>229</v>
      </c>
      <c r="I576" s="1" t="s">
        <v>1209</v>
      </c>
      <c r="J576" s="1" t="s">
        <v>210</v>
      </c>
      <c r="K576" s="1" t="s">
        <v>1209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3">
        <v>0</v>
      </c>
      <c r="U576" s="1"/>
      <c r="V576" s="1"/>
      <c r="W576" s="1" t="s">
        <v>63</v>
      </c>
      <c r="X576" s="1" t="s">
        <v>225</v>
      </c>
      <c r="Y576" s="1">
        <v>63</v>
      </c>
      <c r="Z576" s="1"/>
      <c r="AA576" s="1" t="s">
        <v>975</v>
      </c>
      <c r="AB576" s="1">
        <v>3013715546</v>
      </c>
    </row>
    <row r="577" spans="1:28" ht="13.8">
      <c r="A577" s="331">
        <v>33615</v>
      </c>
      <c r="B577" s="331">
        <v>26669</v>
      </c>
      <c r="C577" s="115">
        <v>46069</v>
      </c>
      <c r="D577" s="1" t="s">
        <v>2148</v>
      </c>
      <c r="E577" s="1" t="s">
        <v>2149</v>
      </c>
      <c r="F577" s="1" t="s">
        <v>3</v>
      </c>
      <c r="G577" s="1" t="s">
        <v>1308</v>
      </c>
      <c r="H577" s="1" t="s">
        <v>1309</v>
      </c>
      <c r="I577" s="1" t="s">
        <v>1062</v>
      </c>
      <c r="J577" s="1" t="s">
        <v>210</v>
      </c>
      <c r="K577" s="1"/>
      <c r="L577" s="2">
        <v>0</v>
      </c>
      <c r="M577" s="2">
        <v>0</v>
      </c>
      <c r="N577" s="2">
        <v>3810</v>
      </c>
      <c r="O577" s="2">
        <v>0</v>
      </c>
      <c r="P577" s="2">
        <v>0</v>
      </c>
      <c r="Q577" s="2">
        <v>4034</v>
      </c>
      <c r="R577" s="2">
        <v>0</v>
      </c>
      <c r="S577" s="2">
        <v>-3810</v>
      </c>
      <c r="T577" s="3">
        <v>0</v>
      </c>
      <c r="U577" s="1"/>
      <c r="V577" s="1"/>
      <c r="W577" s="1" t="s">
        <v>63</v>
      </c>
      <c r="X577" s="1" t="s">
        <v>225</v>
      </c>
      <c r="Y577" s="1">
        <v>63</v>
      </c>
      <c r="Z577" s="1"/>
      <c r="AA577" s="1" t="s">
        <v>975</v>
      </c>
      <c r="AB577" s="1">
        <v>3013715546</v>
      </c>
    </row>
    <row r="578" spans="1:28" ht="13.8">
      <c r="A578" s="331">
        <v>35575</v>
      </c>
      <c r="B578" s="331">
        <v>25017</v>
      </c>
      <c r="C578" s="115">
        <v>46069</v>
      </c>
      <c r="D578" s="1" t="s">
        <v>557</v>
      </c>
      <c r="E578" s="1" t="s">
        <v>558</v>
      </c>
      <c r="F578" s="1" t="s">
        <v>126</v>
      </c>
      <c r="G578" s="1" t="s">
        <v>228</v>
      </c>
      <c r="H578" s="1" t="s">
        <v>229</v>
      </c>
      <c r="I578" s="1" t="s">
        <v>1209</v>
      </c>
      <c r="J578" s="1" t="s">
        <v>210</v>
      </c>
      <c r="K578" s="1" t="s">
        <v>1033</v>
      </c>
      <c r="L578" s="2">
        <v>350000</v>
      </c>
      <c r="M578" s="2">
        <v>175000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175000</v>
      </c>
      <c r="T578" s="3">
        <v>0.5</v>
      </c>
      <c r="U578" s="1"/>
      <c r="V578" s="1" t="s">
        <v>2599</v>
      </c>
      <c r="W578" s="1" t="s">
        <v>202</v>
      </c>
      <c r="X578" s="1" t="s">
        <v>213</v>
      </c>
      <c r="Y578" s="1">
        <v>33</v>
      </c>
      <c r="Z578" s="1" t="s">
        <v>2600</v>
      </c>
      <c r="AA578" s="1" t="s">
        <v>975</v>
      </c>
      <c r="AB578" s="1">
        <v>3145195087</v>
      </c>
    </row>
    <row r="579" spans="1:28" ht="13.8">
      <c r="A579" s="331">
        <v>22035</v>
      </c>
      <c r="B579" s="331">
        <v>26626</v>
      </c>
      <c r="C579" s="115">
        <v>46069</v>
      </c>
      <c r="D579" s="1" t="s">
        <v>2371</v>
      </c>
      <c r="E579" s="1" t="s">
        <v>2372</v>
      </c>
      <c r="F579" s="1" t="s">
        <v>2</v>
      </c>
      <c r="G579" s="1">
        <v>861411</v>
      </c>
      <c r="H579" s="1" t="s">
        <v>406</v>
      </c>
      <c r="I579" s="1" t="s">
        <v>1081</v>
      </c>
      <c r="J579" s="1" t="s">
        <v>210</v>
      </c>
      <c r="K579" s="1"/>
      <c r="L579" s="2">
        <v>1100000</v>
      </c>
      <c r="M579" s="2">
        <v>381625</v>
      </c>
      <c r="N579" s="2">
        <v>205786</v>
      </c>
      <c r="O579" s="2">
        <v>22000</v>
      </c>
      <c r="P579" s="2">
        <v>0</v>
      </c>
      <c r="Q579" s="2">
        <v>108964</v>
      </c>
      <c r="R579" s="2">
        <v>0</v>
      </c>
      <c r="S579" s="2">
        <v>490589</v>
      </c>
      <c r="T579" s="3">
        <v>0.44599</v>
      </c>
      <c r="U579" s="1"/>
      <c r="V579" s="1" t="s">
        <v>2373</v>
      </c>
      <c r="W579" s="1" t="s">
        <v>202</v>
      </c>
      <c r="X579" s="1" t="s">
        <v>225</v>
      </c>
      <c r="Y579" s="1">
        <v>42</v>
      </c>
      <c r="Z579" s="1" t="s">
        <v>2374</v>
      </c>
      <c r="AA579" s="1" t="s">
        <v>975</v>
      </c>
      <c r="AB579" s="1">
        <v>14152256820</v>
      </c>
    </row>
    <row r="580" spans="1:28" ht="13.8">
      <c r="A580" s="331">
        <v>36508</v>
      </c>
      <c r="B580" s="331">
        <v>26652</v>
      </c>
      <c r="C580" s="115">
        <v>46069</v>
      </c>
      <c r="D580" s="1" t="s">
        <v>2021</v>
      </c>
      <c r="E580" s="1" t="s">
        <v>2575</v>
      </c>
      <c r="F580" s="1" t="s">
        <v>2</v>
      </c>
      <c r="G580" s="1" t="s">
        <v>326</v>
      </c>
      <c r="H580" s="1" t="s">
        <v>327</v>
      </c>
      <c r="I580" s="1" t="s">
        <v>1047</v>
      </c>
      <c r="J580" s="1" t="s">
        <v>210</v>
      </c>
      <c r="K580" s="1" t="s">
        <v>1048</v>
      </c>
      <c r="L580" s="2">
        <v>950000</v>
      </c>
      <c r="M580" s="2">
        <v>475000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475000</v>
      </c>
      <c r="T580" s="3">
        <v>0.5</v>
      </c>
      <c r="U580" s="1"/>
      <c r="V580" s="1" t="s">
        <v>2601</v>
      </c>
      <c r="W580" s="1" t="s">
        <v>202</v>
      </c>
      <c r="X580" s="1" t="s">
        <v>248</v>
      </c>
      <c r="Y580" s="1">
        <v>45</v>
      </c>
      <c r="Z580" s="1" t="s">
        <v>2602</v>
      </c>
      <c r="AA580" s="1" t="s">
        <v>975</v>
      </c>
      <c r="AB580" s="1">
        <v>3502058439</v>
      </c>
    </row>
    <row r="581" spans="1:28" ht="13.8">
      <c r="A581" s="331">
        <v>22035</v>
      </c>
      <c r="B581" s="331">
        <v>26627</v>
      </c>
      <c r="C581" s="115">
        <v>46069</v>
      </c>
      <c r="D581" s="1" t="s">
        <v>2371</v>
      </c>
      <c r="E581" s="1" t="s">
        <v>2372</v>
      </c>
      <c r="F581" s="1" t="s">
        <v>2</v>
      </c>
      <c r="G581" s="1" t="s">
        <v>295</v>
      </c>
      <c r="H581" s="1" t="s">
        <v>296</v>
      </c>
      <c r="I581" s="1" t="s">
        <v>1047</v>
      </c>
      <c r="J581" s="1" t="s">
        <v>210</v>
      </c>
      <c r="K581" s="1" t="s">
        <v>1048</v>
      </c>
      <c r="L581" s="2">
        <v>1600000</v>
      </c>
      <c r="M581" s="2">
        <v>696900</v>
      </c>
      <c r="N581" s="2">
        <v>148000</v>
      </c>
      <c r="O581" s="2">
        <v>32000</v>
      </c>
      <c r="P581" s="2">
        <v>0</v>
      </c>
      <c r="Q581" s="2">
        <v>26200</v>
      </c>
      <c r="R581" s="2">
        <v>0</v>
      </c>
      <c r="S581" s="2">
        <v>723100</v>
      </c>
      <c r="T581" s="3">
        <v>0.45193749999999999</v>
      </c>
      <c r="U581" s="1"/>
      <c r="V581" s="1" t="s">
        <v>2375</v>
      </c>
      <c r="W581" s="1" t="s">
        <v>202</v>
      </c>
      <c r="X581" s="1" t="s">
        <v>225</v>
      </c>
      <c r="Y581" s="1">
        <v>42</v>
      </c>
      <c r="Z581" s="1" t="s">
        <v>2376</v>
      </c>
      <c r="AA581" s="1" t="s">
        <v>975</v>
      </c>
      <c r="AB581" s="1">
        <v>14152256820</v>
      </c>
    </row>
    <row r="582" spans="1:28" ht="13.8">
      <c r="A582" s="331">
        <v>27672</v>
      </c>
      <c r="B582" s="331">
        <v>25744</v>
      </c>
      <c r="C582" s="115">
        <v>46069</v>
      </c>
      <c r="D582" s="1" t="s">
        <v>802</v>
      </c>
      <c r="E582" s="1" t="s">
        <v>803</v>
      </c>
      <c r="F582" s="1" t="s">
        <v>3</v>
      </c>
      <c r="G582" s="1" t="s">
        <v>465</v>
      </c>
      <c r="H582" s="1" t="s">
        <v>466</v>
      </c>
      <c r="I582" s="1" t="s">
        <v>1125</v>
      </c>
      <c r="J582" s="1" t="s">
        <v>210</v>
      </c>
      <c r="K582" s="1" t="s">
        <v>1126</v>
      </c>
      <c r="L582" s="2">
        <v>500000</v>
      </c>
      <c r="M582" s="2">
        <v>245000</v>
      </c>
      <c r="N582" s="2">
        <v>0</v>
      </c>
      <c r="O582" s="2">
        <v>10000</v>
      </c>
      <c r="P582" s="2">
        <v>0</v>
      </c>
      <c r="Q582" s="2">
        <v>0</v>
      </c>
      <c r="R582" s="2">
        <v>0</v>
      </c>
      <c r="S582" s="2">
        <v>245000</v>
      </c>
      <c r="T582" s="3">
        <v>0.49</v>
      </c>
      <c r="U582" s="1"/>
      <c r="V582" s="1" t="s">
        <v>2603</v>
      </c>
      <c r="W582" s="1" t="s">
        <v>202</v>
      </c>
      <c r="X582" s="1" t="s">
        <v>213</v>
      </c>
      <c r="Y582" s="1">
        <v>43</v>
      </c>
      <c r="Z582" s="1" t="s">
        <v>2604</v>
      </c>
      <c r="AA582" s="1" t="s">
        <v>975</v>
      </c>
      <c r="AB582" s="1">
        <v>15098205688</v>
      </c>
    </row>
    <row r="583" spans="1:28" ht="13.8">
      <c r="A583" s="331">
        <v>36425</v>
      </c>
      <c r="B583" s="331">
        <v>26485</v>
      </c>
      <c r="C583" s="115">
        <v>46069</v>
      </c>
      <c r="D583" s="1" t="s">
        <v>1994</v>
      </c>
      <c r="E583" s="1" t="s">
        <v>1995</v>
      </c>
      <c r="F583" s="1" t="s">
        <v>3</v>
      </c>
      <c r="G583" s="1" t="s">
        <v>326</v>
      </c>
      <c r="H583" s="1" t="s">
        <v>327</v>
      </c>
      <c r="I583" s="1" t="s">
        <v>1047</v>
      </c>
      <c r="J583" s="1" t="s">
        <v>210</v>
      </c>
      <c r="K583" s="1" t="s">
        <v>1048</v>
      </c>
      <c r="L583" s="2">
        <v>1200000</v>
      </c>
      <c r="M583" s="2">
        <v>600000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600000</v>
      </c>
      <c r="T583" s="3">
        <v>0.5</v>
      </c>
      <c r="U583" s="1"/>
      <c r="V583" s="1" t="s">
        <v>2605</v>
      </c>
      <c r="W583" s="1" t="s">
        <v>202</v>
      </c>
      <c r="X583" s="1" t="s">
        <v>213</v>
      </c>
      <c r="Y583" s="1">
        <v>49</v>
      </c>
      <c r="Z583" s="1" t="s">
        <v>2606</v>
      </c>
      <c r="AA583" s="1" t="s">
        <v>1028</v>
      </c>
      <c r="AB583" s="1">
        <v>3017086842</v>
      </c>
    </row>
    <row r="584" spans="1:28" ht="13.8">
      <c r="A584" s="331">
        <v>29113</v>
      </c>
      <c r="B584" s="331">
        <v>25958</v>
      </c>
      <c r="C584" s="115">
        <v>46069</v>
      </c>
      <c r="D584" s="1" t="s">
        <v>1295</v>
      </c>
      <c r="E584" s="1" t="s">
        <v>1296</v>
      </c>
      <c r="F584" s="1" t="s">
        <v>4</v>
      </c>
      <c r="G584" s="1">
        <v>861411</v>
      </c>
      <c r="H584" s="1" t="s">
        <v>406</v>
      </c>
      <c r="I584" s="1" t="s">
        <v>1081</v>
      </c>
      <c r="J584" s="1" t="s">
        <v>210</v>
      </c>
      <c r="K584" s="1"/>
      <c r="L584" s="2">
        <v>1150000</v>
      </c>
      <c r="M584" s="2">
        <v>406125</v>
      </c>
      <c r="N584" s="2">
        <v>205786</v>
      </c>
      <c r="O584" s="2">
        <v>23000</v>
      </c>
      <c r="P584" s="2">
        <v>0</v>
      </c>
      <c r="Q584" s="2">
        <v>108964</v>
      </c>
      <c r="R584" s="2">
        <v>0</v>
      </c>
      <c r="S584" s="2">
        <v>515089</v>
      </c>
      <c r="T584" s="3">
        <v>0.44790347826087001</v>
      </c>
      <c r="U584" s="1"/>
      <c r="V584" s="1" t="s">
        <v>2307</v>
      </c>
      <c r="W584" s="1" t="s">
        <v>202</v>
      </c>
      <c r="X584" s="1" t="s">
        <v>225</v>
      </c>
      <c r="Y584" s="1">
        <v>32</v>
      </c>
      <c r="Z584" s="1" t="s">
        <v>2308</v>
      </c>
      <c r="AA584" s="1" t="s">
        <v>975</v>
      </c>
      <c r="AB584" s="1">
        <v>3147096829</v>
      </c>
    </row>
    <row r="585" spans="1:28" ht="13.8">
      <c r="A585" s="331">
        <v>35491</v>
      </c>
      <c r="B585" s="331">
        <v>24809</v>
      </c>
      <c r="C585" s="115">
        <v>46069</v>
      </c>
      <c r="D585" s="1" t="s">
        <v>479</v>
      </c>
      <c r="E585" s="1" t="s">
        <v>480</v>
      </c>
      <c r="F585" s="1" t="s">
        <v>4</v>
      </c>
      <c r="G585" s="1">
        <v>890302</v>
      </c>
      <c r="H585" s="1" t="s">
        <v>244</v>
      </c>
      <c r="I585" s="1" t="s">
        <v>1012</v>
      </c>
      <c r="J585" s="1" t="s">
        <v>223</v>
      </c>
      <c r="K585" s="1"/>
      <c r="L585" s="2">
        <v>180000</v>
      </c>
      <c r="M585" s="2">
        <v>88200</v>
      </c>
      <c r="N585" s="2">
        <v>0</v>
      </c>
      <c r="O585" s="2">
        <v>3600</v>
      </c>
      <c r="P585" s="2">
        <v>0</v>
      </c>
      <c r="Q585" s="2">
        <v>0</v>
      </c>
      <c r="R585" s="2">
        <v>0</v>
      </c>
      <c r="S585" s="2">
        <v>88200</v>
      </c>
      <c r="T585" s="3">
        <v>0.49</v>
      </c>
      <c r="U585" s="1"/>
      <c r="V585" s="1" t="s">
        <v>2607</v>
      </c>
      <c r="W585" s="1" t="s">
        <v>202</v>
      </c>
      <c r="X585" s="1" t="s">
        <v>213</v>
      </c>
      <c r="Y585" s="1">
        <v>13</v>
      </c>
      <c r="Z585" s="1" t="s">
        <v>2608</v>
      </c>
      <c r="AA585" s="1" t="s">
        <v>975</v>
      </c>
      <c r="AB585" s="1">
        <v>3205349216</v>
      </c>
    </row>
    <row r="586" spans="1:28" ht="13.8">
      <c r="A586" s="331">
        <v>36057</v>
      </c>
      <c r="B586" s="331">
        <v>25827</v>
      </c>
      <c r="C586" s="115">
        <v>46069</v>
      </c>
      <c r="D586" s="1" t="s">
        <v>853</v>
      </c>
      <c r="E586" s="1" t="s">
        <v>854</v>
      </c>
      <c r="F586" s="1" t="s">
        <v>4</v>
      </c>
      <c r="G586" s="1">
        <v>890303</v>
      </c>
      <c r="H586" s="1" t="s">
        <v>281</v>
      </c>
      <c r="I586" s="1" t="s">
        <v>983</v>
      </c>
      <c r="J586" s="1" t="s">
        <v>210</v>
      </c>
      <c r="K586" s="1"/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3">
        <v>0</v>
      </c>
      <c r="U586" s="1"/>
      <c r="V586" s="1"/>
      <c r="W586" s="1" t="s">
        <v>63</v>
      </c>
      <c r="X586" s="1" t="s">
        <v>855</v>
      </c>
      <c r="Y586" s="1">
        <v>48</v>
      </c>
      <c r="Z586" s="1"/>
      <c r="AA586" s="1" t="s">
        <v>975</v>
      </c>
      <c r="AB586" s="1">
        <v>3182964679</v>
      </c>
    </row>
    <row r="587" spans="1:28" ht="13.8">
      <c r="A587" s="331">
        <v>36534</v>
      </c>
      <c r="B587" s="331">
        <v>26697</v>
      </c>
      <c r="C587" s="115">
        <v>46069</v>
      </c>
      <c r="D587" s="1" t="s">
        <v>495</v>
      </c>
      <c r="E587" s="1" t="s">
        <v>2609</v>
      </c>
      <c r="F587" s="1" t="s">
        <v>5</v>
      </c>
      <c r="G587" s="1" t="s">
        <v>362</v>
      </c>
      <c r="H587" s="1" t="s">
        <v>363</v>
      </c>
      <c r="I587" s="1" t="s">
        <v>1062</v>
      </c>
      <c r="J587" s="1" t="s">
        <v>210</v>
      </c>
      <c r="K587" s="1"/>
      <c r="L587" s="2">
        <v>600000</v>
      </c>
      <c r="M587" s="2">
        <v>146941.5</v>
      </c>
      <c r="N587" s="2">
        <v>249999.19</v>
      </c>
      <c r="O587" s="2">
        <v>12000</v>
      </c>
      <c r="P587" s="2">
        <v>0</v>
      </c>
      <c r="Q587" s="2">
        <v>44117.81</v>
      </c>
      <c r="R587" s="2">
        <v>0</v>
      </c>
      <c r="S587" s="2">
        <v>191059.31</v>
      </c>
      <c r="T587" s="3">
        <v>0.31843218333333001</v>
      </c>
      <c r="U587" s="1"/>
      <c r="V587" s="1" t="s">
        <v>2610</v>
      </c>
      <c r="W587" s="1" t="s">
        <v>202</v>
      </c>
      <c r="X587" s="1" t="s">
        <v>498</v>
      </c>
      <c r="Y587" s="1">
        <v>64</v>
      </c>
      <c r="Z587" s="1" t="s">
        <v>2611</v>
      </c>
      <c r="AA587" s="1" t="s">
        <v>975</v>
      </c>
      <c r="AB587" s="1">
        <v>17866704335</v>
      </c>
    </row>
    <row r="588" spans="1:28" ht="13.8">
      <c r="A588" s="331">
        <v>35564</v>
      </c>
      <c r="B588" s="331">
        <v>24933</v>
      </c>
      <c r="C588" s="115">
        <v>46070</v>
      </c>
      <c r="D588" s="1" t="s">
        <v>519</v>
      </c>
      <c r="E588" s="1" t="s">
        <v>520</v>
      </c>
      <c r="F588" s="1" t="s">
        <v>127</v>
      </c>
      <c r="G588" s="1">
        <v>890302</v>
      </c>
      <c r="H588" s="1" t="s">
        <v>244</v>
      </c>
      <c r="I588" s="1" t="s">
        <v>1012</v>
      </c>
      <c r="J588" s="1" t="s">
        <v>223</v>
      </c>
      <c r="K588" s="1"/>
      <c r="L588" s="2">
        <v>0</v>
      </c>
      <c r="M588" s="2">
        <v>0</v>
      </c>
      <c r="N588" s="2">
        <v>10749.26</v>
      </c>
      <c r="O588" s="2">
        <v>0</v>
      </c>
      <c r="P588" s="2">
        <v>0</v>
      </c>
      <c r="Q588" s="2">
        <v>5490.74</v>
      </c>
      <c r="R588" s="2">
        <v>0</v>
      </c>
      <c r="S588" s="2">
        <v>-10749.26</v>
      </c>
      <c r="T588" s="3">
        <v>0</v>
      </c>
      <c r="U588" s="1"/>
      <c r="V588" s="1"/>
      <c r="W588" s="1" t="s">
        <v>63</v>
      </c>
      <c r="X588" s="1" t="s">
        <v>213</v>
      </c>
      <c r="Y588" s="1">
        <v>34</v>
      </c>
      <c r="Z588" s="1"/>
      <c r="AA588" s="1" t="s">
        <v>975</v>
      </c>
      <c r="AB588" s="1">
        <v>3043534790</v>
      </c>
    </row>
    <row r="589" spans="1:28" ht="13.8">
      <c r="A589" s="331">
        <v>35494</v>
      </c>
      <c r="B589" s="331">
        <v>24813</v>
      </c>
      <c r="C589" s="115">
        <v>46070</v>
      </c>
      <c r="D589" s="1" t="s">
        <v>481</v>
      </c>
      <c r="E589" s="1" t="s">
        <v>482</v>
      </c>
      <c r="F589" s="1" t="s">
        <v>127</v>
      </c>
      <c r="G589" s="1">
        <v>890302</v>
      </c>
      <c r="H589" s="1" t="s">
        <v>244</v>
      </c>
      <c r="I589" s="1" t="s">
        <v>1012</v>
      </c>
      <c r="J589" s="1" t="s">
        <v>223</v>
      </c>
      <c r="K589" s="1"/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3">
        <v>0</v>
      </c>
      <c r="U589" s="1"/>
      <c r="V589" s="1"/>
      <c r="W589" s="1" t="s">
        <v>63</v>
      </c>
      <c r="X589" s="1" t="s">
        <v>248</v>
      </c>
      <c r="Y589" s="1">
        <v>33</v>
      </c>
      <c r="Z589" s="1"/>
      <c r="AA589" s="1" t="s">
        <v>975</v>
      </c>
      <c r="AB589" s="1">
        <v>3147920627</v>
      </c>
    </row>
    <row r="590" spans="1:28" ht="13.8">
      <c r="A590" s="331">
        <v>36535</v>
      </c>
      <c r="B590" s="331">
        <v>26699</v>
      </c>
      <c r="C590" s="115">
        <v>46070</v>
      </c>
      <c r="D590" s="1" t="s">
        <v>481</v>
      </c>
      <c r="E590" s="1" t="s">
        <v>482</v>
      </c>
      <c r="F590" s="1" t="s">
        <v>127</v>
      </c>
      <c r="G590" s="1">
        <v>860101</v>
      </c>
      <c r="H590" s="1" t="s">
        <v>982</v>
      </c>
      <c r="I590" s="1" t="s">
        <v>983</v>
      </c>
      <c r="J590" s="1" t="s">
        <v>210</v>
      </c>
      <c r="K590" s="1"/>
      <c r="L590" s="2">
        <v>650000</v>
      </c>
      <c r="M590" s="2">
        <v>212824</v>
      </c>
      <c r="N590" s="2">
        <v>23895.62</v>
      </c>
      <c r="O590" s="2">
        <v>13000</v>
      </c>
      <c r="P590" s="2">
        <v>180000</v>
      </c>
      <c r="Q590" s="2">
        <v>7456.38</v>
      </c>
      <c r="R590" s="2">
        <v>0</v>
      </c>
      <c r="S590" s="2">
        <v>220280.38</v>
      </c>
      <c r="T590" s="3">
        <v>0.33889289230768999</v>
      </c>
      <c r="U590" s="1"/>
      <c r="V590" s="1" t="s">
        <v>2612</v>
      </c>
      <c r="W590" s="1" t="s">
        <v>202</v>
      </c>
      <c r="X590" s="1" t="s">
        <v>248</v>
      </c>
      <c r="Y590" s="1">
        <v>33</v>
      </c>
      <c r="Z590" s="1" t="s">
        <v>2613</v>
      </c>
      <c r="AA590" s="1" t="s">
        <v>975</v>
      </c>
      <c r="AB590" s="1">
        <v>3147920627</v>
      </c>
    </row>
    <row r="591" spans="1:28" ht="13.8">
      <c r="A591" s="331">
        <v>36501</v>
      </c>
      <c r="B591" s="331">
        <v>26643</v>
      </c>
      <c r="C591" s="115">
        <v>46070</v>
      </c>
      <c r="D591" s="1" t="s">
        <v>2614</v>
      </c>
      <c r="E591" s="1" t="s">
        <v>2615</v>
      </c>
      <c r="F591" s="1" t="s">
        <v>126</v>
      </c>
      <c r="G591" s="1">
        <v>863101</v>
      </c>
      <c r="H591" s="1" t="s">
        <v>378</v>
      </c>
      <c r="I591" s="1" t="s">
        <v>983</v>
      </c>
      <c r="J591" s="1" t="s">
        <v>210</v>
      </c>
      <c r="K591" s="1"/>
      <c r="L591" s="2">
        <v>332500</v>
      </c>
      <c r="M591" s="2">
        <v>166250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166250</v>
      </c>
      <c r="T591" s="3">
        <v>0.5</v>
      </c>
      <c r="U591" s="1"/>
      <c r="V591" s="1" t="s">
        <v>2616</v>
      </c>
      <c r="W591" s="1" t="s">
        <v>202</v>
      </c>
      <c r="X591" s="1" t="s">
        <v>248</v>
      </c>
      <c r="Y591" s="1">
        <v>31</v>
      </c>
      <c r="Z591" s="1" t="s">
        <v>2617</v>
      </c>
      <c r="AA591" s="1" t="s">
        <v>975</v>
      </c>
      <c r="AB591" s="1">
        <v>3207435940</v>
      </c>
    </row>
    <row r="592" spans="1:28" ht="13.8">
      <c r="A592" s="331">
        <v>36537</v>
      </c>
      <c r="B592" s="331">
        <v>26701</v>
      </c>
      <c r="C592" s="115">
        <v>46070</v>
      </c>
      <c r="D592" s="1" t="s">
        <v>2618</v>
      </c>
      <c r="E592" s="1" t="s">
        <v>2619</v>
      </c>
      <c r="F592" s="1" t="s">
        <v>2</v>
      </c>
      <c r="G592" s="1">
        <v>863101</v>
      </c>
      <c r="H592" s="1" t="s">
        <v>378</v>
      </c>
      <c r="I592" s="1" t="s">
        <v>983</v>
      </c>
      <c r="J592" s="1" t="s">
        <v>210</v>
      </c>
      <c r="K592" s="1"/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3">
        <v>0</v>
      </c>
      <c r="U592" s="1"/>
      <c r="V592" s="1"/>
      <c r="W592" s="1" t="s">
        <v>63</v>
      </c>
      <c r="X592" s="1" t="s">
        <v>225</v>
      </c>
      <c r="Y592" s="1">
        <v>69</v>
      </c>
      <c r="Z592" s="1"/>
      <c r="AA592" s="1" t="s">
        <v>1007</v>
      </c>
      <c r="AB592" s="1" t="s">
        <v>2620</v>
      </c>
    </row>
    <row r="593" spans="1:28" ht="13.8">
      <c r="A593" s="331">
        <v>25978</v>
      </c>
      <c r="B593" s="331">
        <v>25152</v>
      </c>
      <c r="C593" s="115">
        <v>46070</v>
      </c>
      <c r="D593" s="1" t="s">
        <v>589</v>
      </c>
      <c r="E593" s="1" t="s">
        <v>590</v>
      </c>
      <c r="F593" s="1" t="s">
        <v>5</v>
      </c>
      <c r="G593" s="1">
        <v>861411</v>
      </c>
      <c r="H593" s="1" t="s">
        <v>406</v>
      </c>
      <c r="I593" s="1" t="s">
        <v>1081</v>
      </c>
      <c r="J593" s="1" t="s">
        <v>210</v>
      </c>
      <c r="K593" s="1"/>
      <c r="L593" s="2">
        <v>805000</v>
      </c>
      <c r="M593" s="2">
        <v>284287.5</v>
      </c>
      <c r="N593" s="2">
        <v>144050.20000000001</v>
      </c>
      <c r="O593" s="2">
        <v>16100</v>
      </c>
      <c r="P593" s="2">
        <v>0</v>
      </c>
      <c r="Q593" s="2">
        <v>76274.8</v>
      </c>
      <c r="R593" s="2">
        <v>0</v>
      </c>
      <c r="S593" s="2">
        <v>360562.3</v>
      </c>
      <c r="T593" s="3">
        <v>0.44790347826087001</v>
      </c>
      <c r="U593" s="1"/>
      <c r="V593" s="1" t="s">
        <v>2621</v>
      </c>
      <c r="W593" s="1" t="s">
        <v>202</v>
      </c>
      <c r="X593" s="1" t="s">
        <v>204</v>
      </c>
      <c r="Y593" s="1">
        <v>29</v>
      </c>
      <c r="Z593" s="1" t="s">
        <v>2622</v>
      </c>
      <c r="AA593" s="1" t="s">
        <v>975</v>
      </c>
      <c r="AB593" s="1">
        <v>49015257424900</v>
      </c>
    </row>
    <row r="594" spans="1:28" ht="13.8">
      <c r="A594" s="331">
        <v>36495</v>
      </c>
      <c r="B594" s="331">
        <v>26703</v>
      </c>
      <c r="C594" s="115">
        <v>46070</v>
      </c>
      <c r="D594" s="1" t="s">
        <v>2381</v>
      </c>
      <c r="E594" s="1" t="s">
        <v>2382</v>
      </c>
      <c r="F594" s="1" t="s">
        <v>2</v>
      </c>
      <c r="G594" s="1">
        <v>863101</v>
      </c>
      <c r="H594" s="1" t="s">
        <v>378</v>
      </c>
      <c r="I594" s="1" t="s">
        <v>983</v>
      </c>
      <c r="J594" s="1" t="s">
        <v>210</v>
      </c>
      <c r="K594" s="1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3">
        <v>0</v>
      </c>
      <c r="U594" s="1"/>
      <c r="V594" s="1"/>
      <c r="W594" s="1" t="s">
        <v>63</v>
      </c>
      <c r="X594" s="1" t="s">
        <v>277</v>
      </c>
      <c r="Y594" s="1">
        <v>66</v>
      </c>
      <c r="Z594" s="1"/>
      <c r="AA594" s="1" t="s">
        <v>975</v>
      </c>
      <c r="AB594" s="1" t="s">
        <v>2620</v>
      </c>
    </row>
    <row r="595" spans="1:28" ht="13.8">
      <c r="A595" s="331">
        <v>36495</v>
      </c>
      <c r="B595" s="331">
        <v>26630</v>
      </c>
      <c r="C595" s="115">
        <v>46070</v>
      </c>
      <c r="D595" s="1" t="s">
        <v>2381</v>
      </c>
      <c r="E595" s="1" t="s">
        <v>2382</v>
      </c>
      <c r="F595" s="1" t="s">
        <v>2</v>
      </c>
      <c r="G595" s="1">
        <v>868114</v>
      </c>
      <c r="H595" s="1" t="s">
        <v>312</v>
      </c>
      <c r="I595" s="1" t="s">
        <v>983</v>
      </c>
      <c r="J595" s="1" t="s">
        <v>210</v>
      </c>
      <c r="K595" s="1"/>
      <c r="L595" s="2">
        <v>1500000</v>
      </c>
      <c r="M595" s="2">
        <v>729450</v>
      </c>
      <c r="N595" s="2">
        <v>9189</v>
      </c>
      <c r="O595" s="2">
        <v>30000</v>
      </c>
      <c r="P595" s="2">
        <v>0</v>
      </c>
      <c r="Q595" s="2">
        <v>1911</v>
      </c>
      <c r="R595" s="2">
        <v>0</v>
      </c>
      <c r="S595" s="2">
        <v>731361</v>
      </c>
      <c r="T595" s="3">
        <v>0.48757400000000001</v>
      </c>
      <c r="U595" s="1"/>
      <c r="V595" s="1" t="s">
        <v>2623</v>
      </c>
      <c r="W595" s="1" t="s">
        <v>202</v>
      </c>
      <c r="X595" s="1" t="s">
        <v>277</v>
      </c>
      <c r="Y595" s="1">
        <v>66</v>
      </c>
      <c r="Z595" s="1" t="s">
        <v>2624</v>
      </c>
      <c r="AA595" s="1" t="s">
        <v>975</v>
      </c>
      <c r="AB595" s="1" t="s">
        <v>2620</v>
      </c>
    </row>
    <row r="596" spans="1:28" ht="13.8">
      <c r="A596" s="331">
        <v>36495</v>
      </c>
      <c r="B596" s="331">
        <v>26702</v>
      </c>
      <c r="C596" s="115">
        <v>46070</v>
      </c>
      <c r="D596" s="1" t="s">
        <v>2381</v>
      </c>
      <c r="E596" s="1" t="s">
        <v>2382</v>
      </c>
      <c r="F596" s="1" t="s">
        <v>2</v>
      </c>
      <c r="G596" s="1">
        <v>868104</v>
      </c>
      <c r="H596" s="1" t="s">
        <v>2625</v>
      </c>
      <c r="I596" s="1" t="s">
        <v>983</v>
      </c>
      <c r="J596" s="1" t="s">
        <v>210</v>
      </c>
      <c r="K596" s="1"/>
      <c r="L596" s="2">
        <v>900000</v>
      </c>
      <c r="M596" s="2">
        <v>435450</v>
      </c>
      <c r="N596" s="2">
        <v>9189</v>
      </c>
      <c r="O596" s="2">
        <v>18000</v>
      </c>
      <c r="P596" s="2">
        <v>0</v>
      </c>
      <c r="Q596" s="2">
        <v>1911</v>
      </c>
      <c r="R596" s="2">
        <v>0</v>
      </c>
      <c r="S596" s="2">
        <v>437361</v>
      </c>
      <c r="T596" s="3">
        <v>0.48595666666666998</v>
      </c>
      <c r="U596" s="1"/>
      <c r="V596" s="1" t="s">
        <v>2626</v>
      </c>
      <c r="W596" s="1" t="s">
        <v>202</v>
      </c>
      <c r="X596" s="1" t="s">
        <v>277</v>
      </c>
      <c r="Y596" s="1">
        <v>66</v>
      </c>
      <c r="Z596" s="1" t="s">
        <v>2627</v>
      </c>
      <c r="AA596" s="1" t="s">
        <v>975</v>
      </c>
      <c r="AB596" s="1" t="s">
        <v>2620</v>
      </c>
    </row>
    <row r="597" spans="1:28" ht="13.8">
      <c r="A597" s="331">
        <v>33449</v>
      </c>
      <c r="B597" s="331">
        <v>26386</v>
      </c>
      <c r="C597" s="115">
        <v>46070</v>
      </c>
      <c r="D597" s="1" t="s">
        <v>1434</v>
      </c>
      <c r="E597" s="1" t="s">
        <v>1435</v>
      </c>
      <c r="F597" s="1" t="s">
        <v>127</v>
      </c>
      <c r="G597" s="1" t="s">
        <v>228</v>
      </c>
      <c r="H597" s="1" t="s">
        <v>229</v>
      </c>
      <c r="I597" s="1" t="s">
        <v>1209</v>
      </c>
      <c r="J597" s="1" t="s">
        <v>210</v>
      </c>
      <c r="K597" s="1" t="s">
        <v>1209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3">
        <v>0</v>
      </c>
      <c r="U597" s="1"/>
      <c r="V597" s="1"/>
      <c r="W597" s="1" t="s">
        <v>63</v>
      </c>
      <c r="X597" s="1" t="s">
        <v>225</v>
      </c>
      <c r="Y597" s="1">
        <v>67</v>
      </c>
      <c r="Z597" s="1"/>
      <c r="AA597" s="1" t="s">
        <v>975</v>
      </c>
      <c r="AB597" s="1">
        <v>3148121576</v>
      </c>
    </row>
    <row r="598" spans="1:28" ht="13.8">
      <c r="A598" s="331">
        <v>33292</v>
      </c>
      <c r="B598" s="331">
        <v>26387</v>
      </c>
      <c r="C598" s="115">
        <v>46070</v>
      </c>
      <c r="D598" s="1" t="s">
        <v>1436</v>
      </c>
      <c r="E598" s="1" t="s">
        <v>1437</v>
      </c>
      <c r="F598" s="1" t="s">
        <v>127</v>
      </c>
      <c r="G598" s="1">
        <v>868115</v>
      </c>
      <c r="H598" s="1" t="s">
        <v>838</v>
      </c>
      <c r="I598" s="1" t="s">
        <v>983</v>
      </c>
      <c r="J598" s="1" t="s">
        <v>210</v>
      </c>
      <c r="K598" s="1"/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3">
        <v>0</v>
      </c>
      <c r="U598" s="1"/>
      <c r="V598" s="1"/>
      <c r="W598" s="1" t="s">
        <v>63</v>
      </c>
      <c r="X598" s="1" t="s">
        <v>225</v>
      </c>
      <c r="Y598" s="1">
        <v>67</v>
      </c>
      <c r="Z598" s="1"/>
      <c r="AA598" s="1" t="s">
        <v>975</v>
      </c>
      <c r="AB598" s="1">
        <v>3148121602</v>
      </c>
    </row>
    <row r="599" spans="1:28" ht="13.8">
      <c r="A599" s="331">
        <v>36254</v>
      </c>
      <c r="B599" s="331">
        <v>26188</v>
      </c>
      <c r="C599" s="115">
        <v>46070</v>
      </c>
      <c r="D599" s="1" t="s">
        <v>1395</v>
      </c>
      <c r="E599" s="1" t="s">
        <v>2628</v>
      </c>
      <c r="F599" s="1" t="s">
        <v>127</v>
      </c>
      <c r="G599" s="1">
        <v>861411</v>
      </c>
      <c r="H599" s="1" t="s">
        <v>406</v>
      </c>
      <c r="I599" s="1" t="s">
        <v>1081</v>
      </c>
      <c r="J599" s="1" t="s">
        <v>210</v>
      </c>
      <c r="K599" s="1"/>
      <c r="L599" s="2">
        <v>864000</v>
      </c>
      <c r="M599" s="2">
        <v>272280</v>
      </c>
      <c r="N599" s="2">
        <v>197554.56</v>
      </c>
      <c r="O599" s="2">
        <v>17280</v>
      </c>
      <c r="P599" s="2">
        <v>0</v>
      </c>
      <c r="Q599" s="2">
        <v>104605.44</v>
      </c>
      <c r="R599" s="2">
        <v>0</v>
      </c>
      <c r="S599" s="2">
        <v>376885.44</v>
      </c>
      <c r="T599" s="3">
        <v>0.43620999999999999</v>
      </c>
      <c r="U599" s="1"/>
      <c r="V599" s="1" t="s">
        <v>2629</v>
      </c>
      <c r="W599" s="1" t="s">
        <v>202</v>
      </c>
      <c r="X599" s="1" t="s">
        <v>225</v>
      </c>
      <c r="Y599" s="1">
        <v>30</v>
      </c>
      <c r="Z599" s="1" t="s">
        <v>2630</v>
      </c>
      <c r="AA599" s="1" t="s">
        <v>975</v>
      </c>
      <c r="AB599" s="1">
        <v>14375186563</v>
      </c>
    </row>
    <row r="600" spans="1:28" ht="13.8">
      <c r="A600" s="331">
        <v>36254</v>
      </c>
      <c r="B600" s="331">
        <v>26719</v>
      </c>
      <c r="C600" s="115">
        <v>46070</v>
      </c>
      <c r="D600" s="1" t="s">
        <v>1395</v>
      </c>
      <c r="E600" s="1" t="s">
        <v>2628</v>
      </c>
      <c r="F600" s="1" t="s">
        <v>127</v>
      </c>
      <c r="G600" s="1">
        <v>861426</v>
      </c>
      <c r="H600" s="1" t="s">
        <v>299</v>
      </c>
      <c r="I600" s="1" t="s">
        <v>1081</v>
      </c>
      <c r="J600" s="1" t="s">
        <v>210</v>
      </c>
      <c r="K600" s="1"/>
      <c r="L600" s="2">
        <v>1300000</v>
      </c>
      <c r="M600" s="2">
        <v>460800</v>
      </c>
      <c r="N600" s="2">
        <v>299505</v>
      </c>
      <c r="O600" s="2">
        <v>26000</v>
      </c>
      <c r="P600" s="2">
        <v>0</v>
      </c>
      <c r="Q600" s="2">
        <v>52895</v>
      </c>
      <c r="R600" s="2">
        <v>0</v>
      </c>
      <c r="S600" s="2">
        <v>513695</v>
      </c>
      <c r="T600" s="3">
        <v>0.39515</v>
      </c>
      <c r="U600" s="1"/>
      <c r="V600" s="1" t="s">
        <v>2631</v>
      </c>
      <c r="W600" s="1" t="s">
        <v>202</v>
      </c>
      <c r="X600" s="1" t="s">
        <v>225</v>
      </c>
      <c r="Y600" s="1">
        <v>30</v>
      </c>
      <c r="Z600" s="1" t="s">
        <v>2632</v>
      </c>
      <c r="AA600" s="1" t="s">
        <v>975</v>
      </c>
      <c r="AB600" s="1">
        <v>14375186563</v>
      </c>
    </row>
    <row r="601" spans="1:28" ht="13.8">
      <c r="A601" s="331">
        <v>36493</v>
      </c>
      <c r="B601" s="331">
        <v>26623</v>
      </c>
      <c r="C601" s="115">
        <v>46070</v>
      </c>
      <c r="D601" s="1" t="s">
        <v>2369</v>
      </c>
      <c r="E601" s="1" t="s">
        <v>2370</v>
      </c>
      <c r="F601" s="1" t="s">
        <v>126</v>
      </c>
      <c r="G601" s="1" t="s">
        <v>451</v>
      </c>
      <c r="H601" s="1" t="s">
        <v>452</v>
      </c>
      <c r="I601" s="1" t="s">
        <v>2566</v>
      </c>
      <c r="J601" s="1" t="s">
        <v>210</v>
      </c>
      <c r="K601" s="1" t="s">
        <v>1048</v>
      </c>
      <c r="L601" s="2">
        <v>450000</v>
      </c>
      <c r="M601" s="2">
        <v>225000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225000</v>
      </c>
      <c r="T601" s="3">
        <v>0.5</v>
      </c>
      <c r="U601" s="1"/>
      <c r="V601" s="1" t="s">
        <v>2633</v>
      </c>
      <c r="W601" s="1" t="s">
        <v>202</v>
      </c>
      <c r="X601" s="1" t="s">
        <v>213</v>
      </c>
      <c r="Y601" s="1">
        <v>44</v>
      </c>
      <c r="Z601" s="1" t="s">
        <v>2634</v>
      </c>
      <c r="AA601" s="1" t="s">
        <v>975</v>
      </c>
      <c r="AB601" s="1">
        <v>3113275741</v>
      </c>
    </row>
    <row r="602" spans="1:28" ht="13.8">
      <c r="A602" s="331">
        <v>36444</v>
      </c>
      <c r="B602" s="331">
        <v>26524</v>
      </c>
      <c r="C602" s="115">
        <v>46070</v>
      </c>
      <c r="D602" s="1" t="s">
        <v>2333</v>
      </c>
      <c r="E602" s="1" t="s">
        <v>2334</v>
      </c>
      <c r="F602" s="1" t="s">
        <v>126</v>
      </c>
      <c r="G602" s="1">
        <v>890242</v>
      </c>
      <c r="H602" s="1" t="s">
        <v>331</v>
      </c>
      <c r="I602" s="1" t="s">
        <v>972</v>
      </c>
      <c r="J602" s="1" t="s">
        <v>223</v>
      </c>
      <c r="K602" s="1"/>
      <c r="L602" s="2">
        <v>250000</v>
      </c>
      <c r="M602" s="2">
        <v>125000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125000</v>
      </c>
      <c r="T602" s="3">
        <v>0.5</v>
      </c>
      <c r="U602" s="1"/>
      <c r="V602" s="1" t="s">
        <v>2635</v>
      </c>
      <c r="W602" s="1" t="s">
        <v>202</v>
      </c>
      <c r="X602" s="1" t="s">
        <v>225</v>
      </c>
      <c r="Y602" s="1">
        <v>24</v>
      </c>
      <c r="Z602" s="1" t="s">
        <v>2636</v>
      </c>
      <c r="AA602" s="1" t="s">
        <v>975</v>
      </c>
      <c r="AB602" s="1">
        <v>3007670389</v>
      </c>
    </row>
    <row r="603" spans="1:28" ht="13.8">
      <c r="A603" s="331">
        <v>36448</v>
      </c>
      <c r="B603" s="331">
        <v>26533</v>
      </c>
      <c r="C603" s="115">
        <v>46070</v>
      </c>
      <c r="D603" s="1" t="s">
        <v>2339</v>
      </c>
      <c r="E603" s="1" t="s">
        <v>2637</v>
      </c>
      <c r="F603" s="1" t="s">
        <v>126</v>
      </c>
      <c r="G603" s="1">
        <v>890242</v>
      </c>
      <c r="H603" s="1" t="s">
        <v>331</v>
      </c>
      <c r="I603" s="1" t="s">
        <v>972</v>
      </c>
      <c r="J603" s="1" t="s">
        <v>223</v>
      </c>
      <c r="K603" s="1"/>
      <c r="L603" s="2">
        <v>250000</v>
      </c>
      <c r="M603" s="2">
        <v>122500</v>
      </c>
      <c r="N603" s="2">
        <v>0</v>
      </c>
      <c r="O603" s="2">
        <v>5000</v>
      </c>
      <c r="P603" s="2">
        <v>0</v>
      </c>
      <c r="Q603" s="2">
        <v>0</v>
      </c>
      <c r="R603" s="2">
        <v>0</v>
      </c>
      <c r="S603" s="2">
        <v>122500</v>
      </c>
      <c r="T603" s="3">
        <v>0.49</v>
      </c>
      <c r="U603" s="1"/>
      <c r="V603" s="1" t="s">
        <v>2638</v>
      </c>
      <c r="W603" s="1" t="s">
        <v>202</v>
      </c>
      <c r="X603" s="1" t="s">
        <v>277</v>
      </c>
      <c r="Y603" s="1">
        <v>28</v>
      </c>
      <c r="Z603" s="1" t="s">
        <v>2639</v>
      </c>
      <c r="AA603" s="1" t="s">
        <v>975</v>
      </c>
      <c r="AB603" s="1">
        <v>3192102203</v>
      </c>
    </row>
    <row r="604" spans="1:28" ht="13.8">
      <c r="A604" s="331">
        <v>36549</v>
      </c>
      <c r="B604" s="331">
        <v>26723</v>
      </c>
      <c r="C604" s="115">
        <v>46070</v>
      </c>
      <c r="D604" s="1" t="s">
        <v>2640</v>
      </c>
      <c r="E604" s="1" t="s">
        <v>2641</v>
      </c>
      <c r="F604" s="1" t="s">
        <v>3</v>
      </c>
      <c r="G604" s="1">
        <v>890242</v>
      </c>
      <c r="H604" s="1" t="s">
        <v>331</v>
      </c>
      <c r="I604" s="1" t="s">
        <v>972</v>
      </c>
      <c r="J604" s="1" t="s">
        <v>223</v>
      </c>
      <c r="K604" s="1"/>
      <c r="L604" s="2">
        <v>250000</v>
      </c>
      <c r="M604" s="2">
        <v>122500</v>
      </c>
      <c r="N604" s="2">
        <v>0</v>
      </c>
      <c r="O604" s="2">
        <v>5000</v>
      </c>
      <c r="P604" s="2">
        <v>0</v>
      </c>
      <c r="Q604" s="2">
        <v>0</v>
      </c>
      <c r="R604" s="2">
        <v>0</v>
      </c>
      <c r="S604" s="2">
        <v>122500</v>
      </c>
      <c r="T604" s="3">
        <v>0.49</v>
      </c>
      <c r="U604" s="1"/>
      <c r="V604" s="1" t="s">
        <v>2642</v>
      </c>
      <c r="W604" s="1" t="s">
        <v>202</v>
      </c>
      <c r="X604" s="1" t="s">
        <v>213</v>
      </c>
      <c r="Y604" s="1">
        <v>62</v>
      </c>
      <c r="Z604" s="1" t="s">
        <v>2643</v>
      </c>
      <c r="AA604" s="1" t="s">
        <v>975</v>
      </c>
      <c r="AB604" s="1">
        <v>4075759907</v>
      </c>
    </row>
    <row r="605" spans="1:28" ht="13.8">
      <c r="A605" s="331">
        <v>34006</v>
      </c>
      <c r="B605" s="331">
        <v>26348</v>
      </c>
      <c r="C605" s="115">
        <v>46070</v>
      </c>
      <c r="D605" s="1" t="s">
        <v>941</v>
      </c>
      <c r="E605" s="1" t="s">
        <v>942</v>
      </c>
      <c r="F605" s="1" t="s">
        <v>2</v>
      </c>
      <c r="G605" s="1" t="s">
        <v>362</v>
      </c>
      <c r="H605" s="1" t="s">
        <v>363</v>
      </c>
      <c r="I605" s="1" t="s">
        <v>1062</v>
      </c>
      <c r="J605" s="1" t="s">
        <v>210</v>
      </c>
      <c r="K605" s="1"/>
      <c r="L605" s="2">
        <v>0</v>
      </c>
      <c r="M605" s="2">
        <v>0</v>
      </c>
      <c r="N605" s="2">
        <v>80270.34</v>
      </c>
      <c r="O605" s="2">
        <v>0</v>
      </c>
      <c r="P605" s="2">
        <v>0</v>
      </c>
      <c r="Q605" s="2">
        <v>93129.66</v>
      </c>
      <c r="R605" s="2">
        <v>0</v>
      </c>
      <c r="S605" s="2">
        <v>-80270.34</v>
      </c>
      <c r="T605" s="3">
        <v>0</v>
      </c>
      <c r="U605" s="1"/>
      <c r="V605" s="1"/>
      <c r="W605" s="1" t="s">
        <v>63</v>
      </c>
      <c r="X605" s="1" t="s">
        <v>225</v>
      </c>
      <c r="Y605" s="1">
        <v>29</v>
      </c>
      <c r="Z605" s="1"/>
      <c r="AA605" s="1" t="s">
        <v>975</v>
      </c>
      <c r="AB605" s="1">
        <v>3185228404</v>
      </c>
    </row>
    <row r="606" spans="1:28" ht="13.8">
      <c r="A606" s="331">
        <v>36390</v>
      </c>
      <c r="B606" s="331">
        <v>26432</v>
      </c>
      <c r="C606" s="115">
        <v>46070</v>
      </c>
      <c r="D606" s="1" t="s">
        <v>2129</v>
      </c>
      <c r="E606" s="1" t="s">
        <v>2130</v>
      </c>
      <c r="F606" s="1" t="s">
        <v>2</v>
      </c>
      <c r="G606" s="1">
        <v>890242</v>
      </c>
      <c r="H606" s="1" t="s">
        <v>331</v>
      </c>
      <c r="I606" s="1" t="s">
        <v>972</v>
      </c>
      <c r="J606" s="1" t="s">
        <v>223</v>
      </c>
      <c r="K606" s="1"/>
      <c r="L606" s="2">
        <v>250000</v>
      </c>
      <c r="M606" s="2">
        <v>125000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125000</v>
      </c>
      <c r="T606" s="3">
        <v>0.5</v>
      </c>
      <c r="U606" s="1"/>
      <c r="V606" s="1" t="s">
        <v>2644</v>
      </c>
      <c r="W606" s="1" t="s">
        <v>202</v>
      </c>
      <c r="X606" s="1" t="s">
        <v>529</v>
      </c>
      <c r="Y606" s="1">
        <v>37</v>
      </c>
      <c r="Z606" s="1" t="s">
        <v>2645</v>
      </c>
      <c r="AA606" s="1" t="s">
        <v>975</v>
      </c>
      <c r="AB606" s="1">
        <v>3152953490</v>
      </c>
    </row>
    <row r="607" spans="1:28" ht="13.8">
      <c r="A607" s="331">
        <v>36552</v>
      </c>
      <c r="B607" s="331">
        <v>26730</v>
      </c>
      <c r="C607" s="115">
        <v>46070</v>
      </c>
      <c r="D607" s="1" t="s">
        <v>2129</v>
      </c>
      <c r="E607" s="1" t="s">
        <v>2130</v>
      </c>
      <c r="F607" s="1" t="s">
        <v>2</v>
      </c>
      <c r="G607" s="1">
        <v>861401</v>
      </c>
      <c r="H607" s="1" t="s">
        <v>307</v>
      </c>
      <c r="I607" s="1" t="s">
        <v>983</v>
      </c>
      <c r="J607" s="1" t="s">
        <v>210</v>
      </c>
      <c r="K607" s="1"/>
      <c r="L607" s="2">
        <v>300000</v>
      </c>
      <c r="M607" s="2">
        <v>148000</v>
      </c>
      <c r="N607" s="2">
        <v>0</v>
      </c>
      <c r="O607" s="2">
        <v>4000</v>
      </c>
      <c r="P607" s="2">
        <v>0</v>
      </c>
      <c r="Q607" s="2">
        <v>0</v>
      </c>
      <c r="R607" s="2">
        <v>0</v>
      </c>
      <c r="S607" s="2">
        <v>148000</v>
      </c>
      <c r="T607" s="3">
        <v>0.49333333333333002</v>
      </c>
      <c r="U607" s="1"/>
      <c r="V607" s="1" t="s">
        <v>2646</v>
      </c>
      <c r="W607" s="1" t="s">
        <v>202</v>
      </c>
      <c r="X607" s="1" t="s">
        <v>529</v>
      </c>
      <c r="Y607" s="1">
        <v>37</v>
      </c>
      <c r="Z607" s="1" t="s">
        <v>2647</v>
      </c>
      <c r="AA607" s="1" t="s">
        <v>975</v>
      </c>
      <c r="AB607" s="1">
        <v>3152953490</v>
      </c>
    </row>
    <row r="608" spans="1:28" ht="13.8">
      <c r="A608" s="331">
        <v>23794</v>
      </c>
      <c r="B608" s="331">
        <v>25140</v>
      </c>
      <c r="C608" s="115">
        <v>46070</v>
      </c>
      <c r="D608" s="1" t="s">
        <v>581</v>
      </c>
      <c r="E608" s="1" t="s">
        <v>582</v>
      </c>
      <c r="F608" s="1" t="s">
        <v>3</v>
      </c>
      <c r="G608" s="1" t="s">
        <v>583</v>
      </c>
      <c r="H608" s="1" t="s">
        <v>584</v>
      </c>
      <c r="I608" s="1" t="s">
        <v>1065</v>
      </c>
      <c r="J608" s="1" t="s">
        <v>210</v>
      </c>
      <c r="K608" s="1"/>
      <c r="L608" s="2">
        <v>0</v>
      </c>
      <c r="M608" s="2">
        <v>0</v>
      </c>
      <c r="N608" s="2">
        <v>178225.36</v>
      </c>
      <c r="O608" s="2">
        <v>0</v>
      </c>
      <c r="P608" s="2">
        <v>0</v>
      </c>
      <c r="Q608" s="2">
        <v>32874.639999999999</v>
      </c>
      <c r="R608" s="2">
        <v>0</v>
      </c>
      <c r="S608" s="2">
        <v>-178225.36</v>
      </c>
      <c r="T608" s="3">
        <v>0</v>
      </c>
      <c r="U608" s="1"/>
      <c r="V608" s="1"/>
      <c r="W608" s="1" t="s">
        <v>63</v>
      </c>
      <c r="X608" s="1" t="s">
        <v>225</v>
      </c>
      <c r="Y608" s="1">
        <v>36</v>
      </c>
      <c r="Z608" s="1"/>
      <c r="AA608" s="1" t="s">
        <v>975</v>
      </c>
      <c r="AB608" s="1">
        <v>3167430922</v>
      </c>
    </row>
    <row r="609" spans="1:28" ht="13.8">
      <c r="A609" s="331">
        <v>25748</v>
      </c>
      <c r="B609" s="331">
        <v>26725</v>
      </c>
      <c r="C609" s="115">
        <v>46070</v>
      </c>
      <c r="D609" s="1" t="s">
        <v>2069</v>
      </c>
      <c r="E609" s="1" t="s">
        <v>2222</v>
      </c>
      <c r="F609" s="1" t="s">
        <v>3</v>
      </c>
      <c r="G609" s="1" t="s">
        <v>625</v>
      </c>
      <c r="H609" s="1" t="s">
        <v>626</v>
      </c>
      <c r="I609" s="1" t="s">
        <v>1058</v>
      </c>
      <c r="J609" s="1" t="s">
        <v>210</v>
      </c>
      <c r="K609" s="1" t="s">
        <v>1058</v>
      </c>
      <c r="L609" s="2">
        <v>1000000</v>
      </c>
      <c r="M609" s="2">
        <v>483666</v>
      </c>
      <c r="N609" s="2">
        <v>7883.02</v>
      </c>
      <c r="O609" s="2">
        <v>20000</v>
      </c>
      <c r="P609" s="2">
        <v>0</v>
      </c>
      <c r="Q609" s="2">
        <v>4784.9799999999996</v>
      </c>
      <c r="R609" s="2">
        <v>0</v>
      </c>
      <c r="S609" s="2">
        <v>488450.98</v>
      </c>
      <c r="T609" s="3">
        <v>0.48845097999999998</v>
      </c>
      <c r="U609" s="1"/>
      <c r="V609" s="1" t="s">
        <v>2648</v>
      </c>
      <c r="W609" s="1" t="s">
        <v>202</v>
      </c>
      <c r="X609" s="1" t="s">
        <v>277</v>
      </c>
      <c r="Y609" s="1">
        <v>59</v>
      </c>
      <c r="Z609" s="1" t="s">
        <v>2649</v>
      </c>
      <c r="AA609" s="1" t="s">
        <v>975</v>
      </c>
      <c r="AB609" s="1">
        <v>16479724187</v>
      </c>
    </row>
    <row r="610" spans="1:28" ht="13.8">
      <c r="A610" s="331">
        <v>36559</v>
      </c>
      <c r="B610" s="331">
        <v>26739</v>
      </c>
      <c r="C610" s="115">
        <v>46070</v>
      </c>
      <c r="D610" s="1" t="s">
        <v>2324</v>
      </c>
      <c r="E610" s="1" t="s">
        <v>2650</v>
      </c>
      <c r="F610" s="1" t="s">
        <v>126</v>
      </c>
      <c r="G610" s="1">
        <v>863101</v>
      </c>
      <c r="H610" s="1" t="s">
        <v>378</v>
      </c>
      <c r="I610" s="1" t="s">
        <v>983</v>
      </c>
      <c r="J610" s="1" t="s">
        <v>210</v>
      </c>
      <c r="K610" s="1"/>
      <c r="L610" s="2">
        <v>300000</v>
      </c>
      <c r="M610" s="2">
        <v>147000</v>
      </c>
      <c r="N610" s="2">
        <v>0</v>
      </c>
      <c r="O610" s="2">
        <v>6000</v>
      </c>
      <c r="P610" s="2">
        <v>0</v>
      </c>
      <c r="Q610" s="2">
        <v>0</v>
      </c>
      <c r="R610" s="2">
        <v>0</v>
      </c>
      <c r="S610" s="2">
        <v>147000</v>
      </c>
      <c r="T610" s="3">
        <v>0.49</v>
      </c>
      <c r="U610" s="1"/>
      <c r="V610" s="1" t="s">
        <v>2651</v>
      </c>
      <c r="W610" s="1" t="s">
        <v>202</v>
      </c>
      <c r="X610" s="1" t="s">
        <v>213</v>
      </c>
      <c r="Y610" s="1">
        <v>40</v>
      </c>
      <c r="Z610" s="1" t="s">
        <v>2652</v>
      </c>
      <c r="AA610" s="1" t="s">
        <v>1007</v>
      </c>
      <c r="AB610" s="1">
        <v>3137647922</v>
      </c>
    </row>
    <row r="611" spans="1:28" ht="13.8">
      <c r="A611" s="331">
        <v>36459</v>
      </c>
      <c r="B611" s="331">
        <v>26551</v>
      </c>
      <c r="C611" s="115">
        <v>46070</v>
      </c>
      <c r="D611" s="1" t="s">
        <v>2344</v>
      </c>
      <c r="E611" s="1" t="s">
        <v>2345</v>
      </c>
      <c r="F611" s="1" t="s">
        <v>2</v>
      </c>
      <c r="G611" s="1">
        <v>890242</v>
      </c>
      <c r="H611" s="1" t="s">
        <v>331</v>
      </c>
      <c r="I611" s="1" t="s">
        <v>972</v>
      </c>
      <c r="J611" s="1" t="s">
        <v>223</v>
      </c>
      <c r="K611" s="1"/>
      <c r="L611" s="2">
        <v>250000</v>
      </c>
      <c r="M611" s="2">
        <v>122500</v>
      </c>
      <c r="N611" s="2">
        <v>0</v>
      </c>
      <c r="O611" s="2">
        <v>5000</v>
      </c>
      <c r="P611" s="2">
        <v>0</v>
      </c>
      <c r="Q611" s="2">
        <v>0</v>
      </c>
      <c r="R611" s="2">
        <v>0</v>
      </c>
      <c r="S611" s="2">
        <v>122500</v>
      </c>
      <c r="T611" s="3">
        <v>0.49</v>
      </c>
      <c r="U611" s="1"/>
      <c r="V611" s="1" t="s">
        <v>2653</v>
      </c>
      <c r="W611" s="1" t="s">
        <v>202</v>
      </c>
      <c r="X611" s="1" t="s">
        <v>213</v>
      </c>
      <c r="Y611" s="1">
        <v>38</v>
      </c>
      <c r="Z611" s="1" t="s">
        <v>2654</v>
      </c>
      <c r="AA611" s="1" t="s">
        <v>975</v>
      </c>
      <c r="AB611" s="1">
        <v>3145204957</v>
      </c>
    </row>
    <row r="612" spans="1:28" ht="13.8">
      <c r="A612" s="331">
        <v>36400</v>
      </c>
      <c r="B612" s="331">
        <v>26449</v>
      </c>
      <c r="C612" s="115">
        <v>46070</v>
      </c>
      <c r="D612" s="1" t="s">
        <v>2141</v>
      </c>
      <c r="E612" s="1" t="s">
        <v>2142</v>
      </c>
      <c r="F612" s="1" t="s">
        <v>126</v>
      </c>
      <c r="G612" s="1">
        <v>890242</v>
      </c>
      <c r="H612" s="1" t="s">
        <v>331</v>
      </c>
      <c r="I612" s="1" t="s">
        <v>972</v>
      </c>
      <c r="J612" s="1" t="s">
        <v>223</v>
      </c>
      <c r="K612" s="1"/>
      <c r="L612" s="2">
        <v>250000</v>
      </c>
      <c r="M612" s="2">
        <v>125000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125000</v>
      </c>
      <c r="T612" s="3">
        <v>0.5</v>
      </c>
      <c r="U612" s="1"/>
      <c r="V612" s="1" t="s">
        <v>2655</v>
      </c>
      <c r="W612" s="1" t="s">
        <v>202</v>
      </c>
      <c r="X612" s="1" t="s">
        <v>213</v>
      </c>
      <c r="Y612" s="1">
        <v>23</v>
      </c>
      <c r="Z612" s="1" t="s">
        <v>2656</v>
      </c>
      <c r="AA612" s="1" t="s">
        <v>975</v>
      </c>
      <c r="AB612" s="1">
        <v>3043560401</v>
      </c>
    </row>
    <row r="613" spans="1:28" ht="13.8">
      <c r="A613" s="331">
        <v>36292</v>
      </c>
      <c r="B613" s="331">
        <v>26253</v>
      </c>
      <c r="C613" s="115">
        <v>46070</v>
      </c>
      <c r="D613" s="1" t="s">
        <v>2008</v>
      </c>
      <c r="E613" s="1" t="s">
        <v>2009</v>
      </c>
      <c r="F613" s="1" t="s">
        <v>3</v>
      </c>
      <c r="G613" s="1">
        <v>890242</v>
      </c>
      <c r="H613" s="1" t="s">
        <v>331</v>
      </c>
      <c r="I613" s="1" t="s">
        <v>972</v>
      </c>
      <c r="J613" s="1" t="s">
        <v>223</v>
      </c>
      <c r="K613" s="1"/>
      <c r="L613" s="2">
        <v>250000</v>
      </c>
      <c r="M613" s="2">
        <v>122500</v>
      </c>
      <c r="N613" s="2">
        <v>0</v>
      </c>
      <c r="O613" s="2">
        <v>5000</v>
      </c>
      <c r="P613" s="2">
        <v>0</v>
      </c>
      <c r="Q613" s="2">
        <v>0</v>
      </c>
      <c r="R613" s="2">
        <v>0</v>
      </c>
      <c r="S613" s="2">
        <v>122500</v>
      </c>
      <c r="T613" s="3">
        <v>0.49</v>
      </c>
      <c r="U613" s="1"/>
      <c r="V613" s="1" t="s">
        <v>2657</v>
      </c>
      <c r="W613" s="1" t="s">
        <v>202</v>
      </c>
      <c r="X613" s="1" t="s">
        <v>213</v>
      </c>
      <c r="Y613" s="1">
        <v>26</v>
      </c>
      <c r="Z613" s="1" t="s">
        <v>2658</v>
      </c>
      <c r="AA613" s="1" t="s">
        <v>975</v>
      </c>
      <c r="AB613" s="1">
        <v>3104103931</v>
      </c>
    </row>
    <row r="614" spans="1:28" ht="13.8">
      <c r="A614" s="331">
        <v>36399</v>
      </c>
      <c r="B614" s="331">
        <v>26447</v>
      </c>
      <c r="C614" s="115">
        <v>46070</v>
      </c>
      <c r="D614" s="1" t="s">
        <v>2139</v>
      </c>
      <c r="E614" s="1" t="s">
        <v>2140</v>
      </c>
      <c r="F614" s="1" t="s">
        <v>126</v>
      </c>
      <c r="G614" s="1">
        <v>890242</v>
      </c>
      <c r="H614" s="1" t="s">
        <v>331</v>
      </c>
      <c r="I614" s="1" t="s">
        <v>972</v>
      </c>
      <c r="J614" s="1" t="s">
        <v>223</v>
      </c>
      <c r="K614" s="1"/>
      <c r="L614" s="2">
        <v>250000</v>
      </c>
      <c r="M614" s="2">
        <v>125000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125000</v>
      </c>
      <c r="T614" s="3">
        <v>0.5</v>
      </c>
      <c r="U614" s="1"/>
      <c r="V614" s="1" t="s">
        <v>2659</v>
      </c>
      <c r="W614" s="1" t="s">
        <v>202</v>
      </c>
      <c r="X614" s="1" t="s">
        <v>277</v>
      </c>
      <c r="Y614" s="1">
        <v>17</v>
      </c>
      <c r="Z614" s="1" t="s">
        <v>2660</v>
      </c>
      <c r="AA614" s="1" t="s">
        <v>975</v>
      </c>
      <c r="AB614" s="1">
        <v>3218660695</v>
      </c>
    </row>
    <row r="615" spans="1:28" ht="13.8">
      <c r="A615" s="331">
        <v>36140</v>
      </c>
      <c r="B615" s="331">
        <v>25954</v>
      </c>
      <c r="C615" s="115">
        <v>46070</v>
      </c>
      <c r="D615" s="1" t="s">
        <v>966</v>
      </c>
      <c r="E615" s="1" t="s">
        <v>967</v>
      </c>
      <c r="F615" s="1" t="s">
        <v>5</v>
      </c>
      <c r="G615" s="1">
        <v>890303</v>
      </c>
      <c r="H615" s="1" t="s">
        <v>221</v>
      </c>
      <c r="I615" s="1" t="s">
        <v>1012</v>
      </c>
      <c r="J615" s="1" t="s">
        <v>223</v>
      </c>
      <c r="K615" s="1"/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3">
        <v>0</v>
      </c>
      <c r="U615" s="1"/>
      <c r="V615" s="1"/>
      <c r="W615" s="1" t="s">
        <v>63</v>
      </c>
      <c r="X615" s="1" t="s">
        <v>225</v>
      </c>
      <c r="Y615" s="1">
        <v>54</v>
      </c>
      <c r="Z615" s="1"/>
      <c r="AA615" s="1" t="s">
        <v>975</v>
      </c>
      <c r="AB615" s="1">
        <v>3136159166</v>
      </c>
    </row>
    <row r="616" spans="1:28" ht="13.8">
      <c r="A616" s="331">
        <v>35899</v>
      </c>
      <c r="B616" s="331">
        <v>26750</v>
      </c>
      <c r="C616" s="115">
        <v>46070</v>
      </c>
      <c r="D616" s="1" t="s">
        <v>966</v>
      </c>
      <c r="E616" s="1" t="s">
        <v>967</v>
      </c>
      <c r="F616" s="1" t="s">
        <v>5</v>
      </c>
      <c r="G616" s="1">
        <v>861411</v>
      </c>
      <c r="H616" s="1" t="s">
        <v>406</v>
      </c>
      <c r="I616" s="1" t="s">
        <v>1081</v>
      </c>
      <c r="J616" s="1" t="s">
        <v>210</v>
      </c>
      <c r="K616" s="1"/>
      <c r="L616" s="2">
        <v>1062000</v>
      </c>
      <c r="M616" s="2">
        <v>334677.5</v>
      </c>
      <c r="N616" s="2">
        <v>242827.48</v>
      </c>
      <c r="O616" s="2">
        <v>21240</v>
      </c>
      <c r="P616" s="2">
        <v>0</v>
      </c>
      <c r="Q616" s="2">
        <v>128577.52</v>
      </c>
      <c r="R616" s="2">
        <v>0</v>
      </c>
      <c r="S616" s="2">
        <v>463255.02</v>
      </c>
      <c r="T616" s="3">
        <v>0.43620999999999999</v>
      </c>
      <c r="U616" s="1"/>
      <c r="V616" s="1" t="s">
        <v>2661</v>
      </c>
      <c r="W616" s="1" t="s">
        <v>202</v>
      </c>
      <c r="X616" s="1" t="s">
        <v>225</v>
      </c>
      <c r="Y616" s="1">
        <v>54</v>
      </c>
      <c r="Z616" s="1" t="s">
        <v>2662</v>
      </c>
      <c r="AA616" s="1" t="s">
        <v>975</v>
      </c>
      <c r="AB616" s="1">
        <v>3136159166</v>
      </c>
    </row>
    <row r="617" spans="1:28" ht="13.8">
      <c r="A617" s="331">
        <v>36215</v>
      </c>
      <c r="B617" s="331">
        <v>26092</v>
      </c>
      <c r="C617" s="115">
        <v>46070</v>
      </c>
      <c r="D617" s="1" t="s">
        <v>1353</v>
      </c>
      <c r="E617" s="1" t="s">
        <v>1354</v>
      </c>
      <c r="F617" s="1" t="s">
        <v>3</v>
      </c>
      <c r="G617" s="1">
        <v>890242</v>
      </c>
      <c r="H617" s="1" t="s">
        <v>331</v>
      </c>
      <c r="I617" s="1" t="s">
        <v>972</v>
      </c>
      <c r="J617" s="1" t="s">
        <v>223</v>
      </c>
      <c r="K617" s="1"/>
      <c r="L617" s="2">
        <v>250000</v>
      </c>
      <c r="M617" s="2">
        <v>122500</v>
      </c>
      <c r="N617" s="2">
        <v>0</v>
      </c>
      <c r="O617" s="2">
        <v>5000</v>
      </c>
      <c r="P617" s="2">
        <v>0</v>
      </c>
      <c r="Q617" s="2">
        <v>0</v>
      </c>
      <c r="R617" s="2">
        <v>0</v>
      </c>
      <c r="S617" s="2">
        <v>122500</v>
      </c>
      <c r="T617" s="3">
        <v>0.49</v>
      </c>
      <c r="U617" s="1"/>
      <c r="V617" s="1" t="s">
        <v>2663</v>
      </c>
      <c r="W617" s="1" t="s">
        <v>202</v>
      </c>
      <c r="X617" s="1" t="s">
        <v>225</v>
      </c>
      <c r="Y617" s="1">
        <v>28</v>
      </c>
      <c r="Z617" s="1" t="s">
        <v>2664</v>
      </c>
      <c r="AA617" s="1" t="s">
        <v>975</v>
      </c>
      <c r="AB617" s="1">
        <v>3127220454</v>
      </c>
    </row>
    <row r="618" spans="1:28" ht="13.8">
      <c r="A618" s="331">
        <v>33476</v>
      </c>
      <c r="B618" s="331">
        <v>24685</v>
      </c>
      <c r="C618" s="115">
        <v>46070</v>
      </c>
      <c r="D618" s="1" t="s">
        <v>455</v>
      </c>
      <c r="E618" s="1" t="s">
        <v>456</v>
      </c>
      <c r="F618" s="1" t="s">
        <v>126</v>
      </c>
      <c r="G618" s="1" t="s">
        <v>391</v>
      </c>
      <c r="H618" s="1" t="s">
        <v>392</v>
      </c>
      <c r="I618" s="1" t="s">
        <v>1065</v>
      </c>
      <c r="J618" s="1" t="s">
        <v>210</v>
      </c>
      <c r="K618" s="1"/>
      <c r="L618" s="2">
        <v>400000</v>
      </c>
      <c r="M618" s="2">
        <v>163587.5</v>
      </c>
      <c r="N618" s="2">
        <v>50051.07</v>
      </c>
      <c r="O618" s="2">
        <v>0</v>
      </c>
      <c r="P618" s="2">
        <v>0</v>
      </c>
      <c r="Q618" s="2">
        <v>22773.93</v>
      </c>
      <c r="R618" s="2">
        <v>0</v>
      </c>
      <c r="S618" s="2">
        <v>186361.43</v>
      </c>
      <c r="T618" s="3">
        <v>0.46590357500000001</v>
      </c>
      <c r="U618" s="1"/>
      <c r="V618" s="1" t="s">
        <v>2665</v>
      </c>
      <c r="W618" s="1" t="s">
        <v>202</v>
      </c>
      <c r="X618" s="1" t="s">
        <v>225</v>
      </c>
      <c r="Y618" s="1">
        <v>28</v>
      </c>
      <c r="Z618" s="1" t="s">
        <v>2666</v>
      </c>
      <c r="AA618" s="1" t="s">
        <v>975</v>
      </c>
      <c r="AB618" s="1">
        <v>3053493265</v>
      </c>
    </row>
    <row r="619" spans="1:28" ht="13.8">
      <c r="A619" s="331">
        <v>36528</v>
      </c>
      <c r="B619" s="331">
        <v>26690</v>
      </c>
      <c r="C619" s="115">
        <v>46070</v>
      </c>
      <c r="D619" s="1" t="s">
        <v>2667</v>
      </c>
      <c r="E619" s="1" t="s">
        <v>2668</v>
      </c>
      <c r="F619" s="1" t="s">
        <v>3</v>
      </c>
      <c r="G619" s="1" t="s">
        <v>301</v>
      </c>
      <c r="H619" s="1" t="s">
        <v>302</v>
      </c>
      <c r="I619" s="1" t="s">
        <v>1058</v>
      </c>
      <c r="J619" s="1" t="s">
        <v>210</v>
      </c>
      <c r="K619" s="1" t="s">
        <v>1058</v>
      </c>
      <c r="L619" s="2">
        <v>1995000</v>
      </c>
      <c r="M619" s="2">
        <v>922470</v>
      </c>
      <c r="N619" s="2">
        <v>92824.81</v>
      </c>
      <c r="O619" s="2">
        <v>39900</v>
      </c>
      <c r="P619" s="2">
        <v>0</v>
      </c>
      <c r="Q619" s="2">
        <v>17335.189999999999</v>
      </c>
      <c r="R619" s="2">
        <v>0</v>
      </c>
      <c r="S619" s="2">
        <v>939805.19</v>
      </c>
      <c r="T619" s="3">
        <v>0.47108029573935001</v>
      </c>
      <c r="U619" s="1"/>
      <c r="V619" s="1" t="s">
        <v>2669</v>
      </c>
      <c r="W619" s="1" t="s">
        <v>202</v>
      </c>
      <c r="X619" s="1" t="s">
        <v>248</v>
      </c>
      <c r="Y619" s="1">
        <v>37</v>
      </c>
      <c r="Z619" s="1" t="s">
        <v>2670</v>
      </c>
      <c r="AA619" s="1" t="s">
        <v>975</v>
      </c>
      <c r="AB619" s="1">
        <v>3013372303</v>
      </c>
    </row>
    <row r="620" spans="1:28" ht="13.8">
      <c r="A620" s="331">
        <v>25748</v>
      </c>
      <c r="B620" s="331">
        <v>26726</v>
      </c>
      <c r="C620" s="115">
        <v>46070</v>
      </c>
      <c r="D620" s="1" t="s">
        <v>2069</v>
      </c>
      <c r="E620" s="1" t="s">
        <v>2222</v>
      </c>
      <c r="F620" s="1" t="s">
        <v>3</v>
      </c>
      <c r="G620" s="1">
        <v>861411</v>
      </c>
      <c r="H620" s="1" t="s">
        <v>406</v>
      </c>
      <c r="I620" s="1" t="s">
        <v>1081</v>
      </c>
      <c r="J620" s="1" t="s">
        <v>210</v>
      </c>
      <c r="K620" s="1"/>
      <c r="L620" s="2">
        <v>1400000</v>
      </c>
      <c r="M620" s="2">
        <v>465675</v>
      </c>
      <c r="N620" s="2">
        <v>288100.40000000002</v>
      </c>
      <c r="O620" s="2">
        <v>28000</v>
      </c>
      <c r="P620" s="2">
        <v>0</v>
      </c>
      <c r="Q620" s="2">
        <v>152549.6</v>
      </c>
      <c r="R620" s="2">
        <v>0</v>
      </c>
      <c r="S620" s="2">
        <v>618224.6</v>
      </c>
      <c r="T620" s="3">
        <v>0.44158900000000001</v>
      </c>
      <c r="U620" s="1"/>
      <c r="V620" s="1" t="s">
        <v>2671</v>
      </c>
      <c r="W620" s="1" t="s">
        <v>202</v>
      </c>
      <c r="X620" s="1" t="s">
        <v>277</v>
      </c>
      <c r="Y620" s="1">
        <v>59</v>
      </c>
      <c r="Z620" s="1" t="s">
        <v>2672</v>
      </c>
      <c r="AA620" s="1" t="s">
        <v>975</v>
      </c>
      <c r="AB620" s="1">
        <v>16479724187</v>
      </c>
    </row>
    <row r="621" spans="1:28" ht="13.8">
      <c r="A621" s="331">
        <v>31570</v>
      </c>
      <c r="B621" s="331">
        <v>26585</v>
      </c>
      <c r="C621" s="115">
        <v>46070</v>
      </c>
      <c r="D621" s="1" t="s">
        <v>2351</v>
      </c>
      <c r="E621" s="1" t="s">
        <v>2352</v>
      </c>
      <c r="F621" s="1" t="s">
        <v>3</v>
      </c>
      <c r="G621" s="1" t="s">
        <v>289</v>
      </c>
      <c r="H621" s="1" t="s">
        <v>290</v>
      </c>
      <c r="I621" s="1" t="s">
        <v>1065</v>
      </c>
      <c r="J621" s="1" t="s">
        <v>210</v>
      </c>
      <c r="K621" s="1"/>
      <c r="L621" s="2">
        <v>500000</v>
      </c>
      <c r="M621" s="2">
        <v>220725</v>
      </c>
      <c r="N621" s="2">
        <v>33367.379999999997</v>
      </c>
      <c r="O621" s="2">
        <v>10000</v>
      </c>
      <c r="P621" s="2">
        <v>0</v>
      </c>
      <c r="Q621" s="2">
        <v>15182.62</v>
      </c>
      <c r="R621" s="2">
        <v>0</v>
      </c>
      <c r="S621" s="2">
        <v>235907.62</v>
      </c>
      <c r="T621" s="3">
        <v>0.47181524000000002</v>
      </c>
      <c r="U621" s="1"/>
      <c r="V621" s="1" t="s">
        <v>2673</v>
      </c>
      <c r="W621" s="1" t="s">
        <v>202</v>
      </c>
      <c r="X621" s="1" t="s">
        <v>225</v>
      </c>
      <c r="Y621" s="1">
        <v>35</v>
      </c>
      <c r="Z621" s="1" t="s">
        <v>2674</v>
      </c>
      <c r="AA621" s="1" t="s">
        <v>975</v>
      </c>
      <c r="AB621" s="1">
        <v>3007926726</v>
      </c>
    </row>
    <row r="622" spans="1:28" ht="13.8">
      <c r="A622" s="331">
        <v>36557</v>
      </c>
      <c r="B622" s="331">
        <v>26736</v>
      </c>
      <c r="C622" s="115">
        <v>46070</v>
      </c>
      <c r="D622" s="1" t="s">
        <v>2640</v>
      </c>
      <c r="E622" s="1" t="s">
        <v>2641</v>
      </c>
      <c r="F622" s="1" t="s">
        <v>3</v>
      </c>
      <c r="G622" s="1" t="s">
        <v>326</v>
      </c>
      <c r="H622" s="1" t="s">
        <v>327</v>
      </c>
      <c r="I622" s="1" t="s">
        <v>1047</v>
      </c>
      <c r="J622" s="1" t="s">
        <v>210</v>
      </c>
      <c r="K622" s="1" t="s">
        <v>1048</v>
      </c>
      <c r="L622" s="2">
        <v>1200000</v>
      </c>
      <c r="M622" s="2">
        <v>588000</v>
      </c>
      <c r="N622" s="2">
        <v>0</v>
      </c>
      <c r="O622" s="2">
        <v>24000</v>
      </c>
      <c r="P622" s="2">
        <v>0</v>
      </c>
      <c r="Q622" s="2">
        <v>0</v>
      </c>
      <c r="R622" s="2">
        <v>0</v>
      </c>
      <c r="S622" s="2">
        <v>588000</v>
      </c>
      <c r="T622" s="3">
        <v>0.49</v>
      </c>
      <c r="U622" s="1"/>
      <c r="V622" s="1" t="s">
        <v>2675</v>
      </c>
      <c r="W622" s="1" t="s">
        <v>202</v>
      </c>
      <c r="X622" s="1" t="s">
        <v>213</v>
      </c>
      <c r="Y622" s="1">
        <v>62</v>
      </c>
      <c r="Z622" s="1" t="s">
        <v>2676</v>
      </c>
      <c r="AA622" s="1" t="s">
        <v>975</v>
      </c>
      <c r="AB622" s="1">
        <v>4075759907</v>
      </c>
    </row>
    <row r="623" spans="1:28" ht="13.8">
      <c r="A623" s="331">
        <v>36557</v>
      </c>
      <c r="B623" s="331">
        <v>26737</v>
      </c>
      <c r="C623" s="115">
        <v>46070</v>
      </c>
      <c r="D623" s="1" t="s">
        <v>2640</v>
      </c>
      <c r="E623" s="1" t="s">
        <v>2641</v>
      </c>
      <c r="F623" s="1" t="s">
        <v>3</v>
      </c>
      <c r="G623" s="1" t="s">
        <v>431</v>
      </c>
      <c r="H623" s="1" t="s">
        <v>432</v>
      </c>
      <c r="I623" s="1" t="s">
        <v>1047</v>
      </c>
      <c r="J623" s="1" t="s">
        <v>210</v>
      </c>
      <c r="K623" s="1" t="s">
        <v>1048</v>
      </c>
      <c r="L623" s="2">
        <v>800000</v>
      </c>
      <c r="M623" s="2">
        <v>392000</v>
      </c>
      <c r="N623" s="2">
        <v>0</v>
      </c>
      <c r="O623" s="2">
        <v>16000</v>
      </c>
      <c r="P623" s="2">
        <v>0</v>
      </c>
      <c r="Q623" s="2">
        <v>0</v>
      </c>
      <c r="R623" s="2">
        <v>0</v>
      </c>
      <c r="S623" s="2">
        <v>392000</v>
      </c>
      <c r="T623" s="3">
        <v>0.49</v>
      </c>
      <c r="U623" s="1"/>
      <c r="V623" s="1" t="s">
        <v>2675</v>
      </c>
      <c r="W623" s="1" t="s">
        <v>202</v>
      </c>
      <c r="X623" s="1" t="s">
        <v>213</v>
      </c>
      <c r="Y623" s="1">
        <v>62</v>
      </c>
      <c r="Z623" s="1" t="s">
        <v>2676</v>
      </c>
      <c r="AA623" s="1" t="s">
        <v>975</v>
      </c>
      <c r="AB623" s="1">
        <v>4075759907</v>
      </c>
    </row>
    <row r="624" spans="1:28" ht="13.8">
      <c r="A624" s="331">
        <v>35525</v>
      </c>
      <c r="B624" s="331">
        <v>24859</v>
      </c>
      <c r="C624" s="115">
        <v>46070</v>
      </c>
      <c r="D624" s="1" t="s">
        <v>495</v>
      </c>
      <c r="E624" s="1" t="s">
        <v>2609</v>
      </c>
      <c r="F624" s="1" t="s">
        <v>4</v>
      </c>
      <c r="G624" s="1" t="s">
        <v>496</v>
      </c>
      <c r="H624" s="1" t="s">
        <v>497</v>
      </c>
      <c r="I624" s="1" t="s">
        <v>983</v>
      </c>
      <c r="J624" s="1" t="s">
        <v>210</v>
      </c>
      <c r="K624" s="1" t="s">
        <v>1048</v>
      </c>
      <c r="L624" s="2">
        <v>600000</v>
      </c>
      <c r="M624" s="2">
        <v>300000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300000</v>
      </c>
      <c r="T624" s="3">
        <v>0.5</v>
      </c>
      <c r="U624" s="1"/>
      <c r="V624" s="1" t="s">
        <v>2677</v>
      </c>
      <c r="W624" s="1" t="s">
        <v>202</v>
      </c>
      <c r="X624" s="1" t="s">
        <v>498</v>
      </c>
      <c r="Y624" s="1">
        <v>64</v>
      </c>
      <c r="Z624" s="1" t="s">
        <v>2678</v>
      </c>
      <c r="AA624" s="1" t="s">
        <v>975</v>
      </c>
      <c r="AB624" s="1">
        <v>17866704335</v>
      </c>
    </row>
    <row r="625" spans="1:28" ht="13.8">
      <c r="A625" s="331">
        <v>35525</v>
      </c>
      <c r="B625" s="331">
        <v>24860</v>
      </c>
      <c r="C625" s="115">
        <v>46070</v>
      </c>
      <c r="D625" s="1" t="s">
        <v>495</v>
      </c>
      <c r="E625" s="1" t="s">
        <v>2609</v>
      </c>
      <c r="F625" s="1" t="s">
        <v>4</v>
      </c>
      <c r="G625" s="1" t="s">
        <v>496</v>
      </c>
      <c r="H625" s="1" t="s">
        <v>497</v>
      </c>
      <c r="I625" s="1" t="s">
        <v>983</v>
      </c>
      <c r="J625" s="1" t="s">
        <v>210</v>
      </c>
      <c r="K625" s="1" t="s">
        <v>1048</v>
      </c>
      <c r="L625" s="2">
        <v>650000</v>
      </c>
      <c r="M625" s="2">
        <v>325000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325000</v>
      </c>
      <c r="T625" s="3">
        <v>0.5</v>
      </c>
      <c r="U625" s="1"/>
      <c r="V625" s="1" t="s">
        <v>2677</v>
      </c>
      <c r="W625" s="1" t="s">
        <v>202</v>
      </c>
      <c r="X625" s="1" t="s">
        <v>498</v>
      </c>
      <c r="Y625" s="1">
        <v>64</v>
      </c>
      <c r="Z625" s="1" t="s">
        <v>2678</v>
      </c>
      <c r="AA625" s="1" t="s">
        <v>975</v>
      </c>
      <c r="AB625" s="1">
        <v>17866704335</v>
      </c>
    </row>
    <row r="626" spans="1:28" ht="13.8">
      <c r="A626" s="331">
        <v>26515</v>
      </c>
      <c r="B626" s="331">
        <v>26663</v>
      </c>
      <c r="C626" s="115">
        <v>46070</v>
      </c>
      <c r="D626" s="1" t="s">
        <v>2131</v>
      </c>
      <c r="E626" s="1" t="s">
        <v>2132</v>
      </c>
      <c r="F626" s="1" t="s">
        <v>4</v>
      </c>
      <c r="G626" s="1" t="s">
        <v>255</v>
      </c>
      <c r="H626" s="1" t="s">
        <v>256</v>
      </c>
      <c r="I626" s="1" t="s">
        <v>256</v>
      </c>
      <c r="J626" s="1" t="s">
        <v>210</v>
      </c>
      <c r="K626" s="1" t="s">
        <v>1066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3">
        <v>0</v>
      </c>
      <c r="U626" s="1"/>
      <c r="V626" s="1"/>
      <c r="W626" s="1" t="s">
        <v>63</v>
      </c>
      <c r="X626" s="1" t="s">
        <v>225</v>
      </c>
      <c r="Y626" s="1">
        <v>52</v>
      </c>
      <c r="Z626" s="1"/>
      <c r="AA626" s="1" t="s">
        <v>975</v>
      </c>
      <c r="AB626" s="1">
        <v>3176470234</v>
      </c>
    </row>
    <row r="627" spans="1:28" ht="13.8">
      <c r="A627" s="331">
        <v>26515</v>
      </c>
      <c r="B627" s="331">
        <v>26673</v>
      </c>
      <c r="C627" s="115">
        <v>46070</v>
      </c>
      <c r="D627" s="1" t="s">
        <v>2131</v>
      </c>
      <c r="E627" s="1" t="s">
        <v>2132</v>
      </c>
      <c r="F627" s="1" t="s">
        <v>4</v>
      </c>
      <c r="G627" s="1" t="s">
        <v>255</v>
      </c>
      <c r="H627" s="1" t="s">
        <v>256</v>
      </c>
      <c r="I627" s="1" t="s">
        <v>256</v>
      </c>
      <c r="J627" s="1" t="s">
        <v>210</v>
      </c>
      <c r="K627" s="1" t="s">
        <v>1066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3">
        <v>0</v>
      </c>
      <c r="U627" s="1"/>
      <c r="V627" s="1"/>
      <c r="W627" s="1" t="s">
        <v>63</v>
      </c>
      <c r="X627" s="1" t="s">
        <v>225</v>
      </c>
      <c r="Y627" s="1">
        <v>52</v>
      </c>
      <c r="Z627" s="1"/>
      <c r="AA627" s="1" t="s">
        <v>975</v>
      </c>
      <c r="AB627" s="1">
        <v>3176470234</v>
      </c>
    </row>
    <row r="628" spans="1:28" ht="13.8">
      <c r="A628" s="331">
        <v>36542</v>
      </c>
      <c r="B628" s="331">
        <v>26710</v>
      </c>
      <c r="C628" s="115">
        <v>46070</v>
      </c>
      <c r="D628" s="1" t="s">
        <v>2115</v>
      </c>
      <c r="E628" s="1" t="s">
        <v>2116</v>
      </c>
      <c r="F628" s="1" t="s">
        <v>4</v>
      </c>
      <c r="G628" s="1" t="s">
        <v>431</v>
      </c>
      <c r="H628" s="1" t="s">
        <v>432</v>
      </c>
      <c r="I628" s="1" t="s">
        <v>1047</v>
      </c>
      <c r="J628" s="1" t="s">
        <v>210</v>
      </c>
      <c r="K628" s="1" t="s">
        <v>1048</v>
      </c>
      <c r="L628" s="2">
        <v>920000</v>
      </c>
      <c r="M628" s="2">
        <v>450800</v>
      </c>
      <c r="N628" s="2">
        <v>0</v>
      </c>
      <c r="O628" s="2">
        <v>18400</v>
      </c>
      <c r="P628" s="2">
        <v>0</v>
      </c>
      <c r="Q628" s="2">
        <v>0</v>
      </c>
      <c r="R628" s="2">
        <v>0</v>
      </c>
      <c r="S628" s="2">
        <v>450800</v>
      </c>
      <c r="T628" s="3">
        <v>0.49</v>
      </c>
      <c r="U628" s="1"/>
      <c r="V628" s="1" t="s">
        <v>2679</v>
      </c>
      <c r="W628" s="1" t="s">
        <v>202</v>
      </c>
      <c r="X628" s="1" t="s">
        <v>225</v>
      </c>
      <c r="Y628" s="1">
        <v>35</v>
      </c>
      <c r="Z628" s="1" t="s">
        <v>2680</v>
      </c>
      <c r="AA628" s="1" t="s">
        <v>975</v>
      </c>
      <c r="AB628" s="1">
        <v>491624393108</v>
      </c>
    </row>
    <row r="629" spans="1:28" ht="13.8">
      <c r="A629" s="331">
        <v>36542</v>
      </c>
      <c r="B629" s="331">
        <v>26711</v>
      </c>
      <c r="C629" s="115">
        <v>46070</v>
      </c>
      <c r="D629" s="1" t="s">
        <v>2115</v>
      </c>
      <c r="E629" s="1" t="s">
        <v>2116</v>
      </c>
      <c r="F629" s="1" t="s">
        <v>4</v>
      </c>
      <c r="G629" s="1">
        <v>861426</v>
      </c>
      <c r="H629" s="1" t="s">
        <v>299</v>
      </c>
      <c r="I629" s="1" t="s">
        <v>1081</v>
      </c>
      <c r="J629" s="1" t="s">
        <v>210</v>
      </c>
      <c r="K629" s="1"/>
      <c r="L629" s="2">
        <v>920000</v>
      </c>
      <c r="M629" s="2">
        <v>98400</v>
      </c>
      <c r="N629" s="2">
        <v>599010</v>
      </c>
      <c r="O629" s="2">
        <v>18400</v>
      </c>
      <c r="P629" s="2">
        <v>0</v>
      </c>
      <c r="Q629" s="2">
        <v>105790</v>
      </c>
      <c r="R629" s="2">
        <v>0</v>
      </c>
      <c r="S629" s="2">
        <v>204190</v>
      </c>
      <c r="T629" s="3">
        <v>0.22194565217390999</v>
      </c>
      <c r="U629" s="1"/>
      <c r="V629" s="1" t="s">
        <v>2679</v>
      </c>
      <c r="W629" s="1" t="s">
        <v>202</v>
      </c>
      <c r="X629" s="1" t="s">
        <v>225</v>
      </c>
      <c r="Y629" s="1">
        <v>35</v>
      </c>
      <c r="Z629" s="1" t="s">
        <v>2680</v>
      </c>
      <c r="AA629" s="1" t="s">
        <v>975</v>
      </c>
      <c r="AB629" s="1">
        <v>491624393108</v>
      </c>
    </row>
    <row r="630" spans="1:28" ht="13.8">
      <c r="A630" s="331">
        <v>36542</v>
      </c>
      <c r="B630" s="331">
        <v>26712</v>
      </c>
      <c r="C630" s="115">
        <v>46070</v>
      </c>
      <c r="D630" s="1" t="s">
        <v>2115</v>
      </c>
      <c r="E630" s="1" t="s">
        <v>2116</v>
      </c>
      <c r="F630" s="1" t="s">
        <v>4</v>
      </c>
      <c r="G630" s="1">
        <v>861411</v>
      </c>
      <c r="H630" s="1" t="s">
        <v>406</v>
      </c>
      <c r="I630" s="1" t="s">
        <v>1081</v>
      </c>
      <c r="J630" s="1" t="s">
        <v>210</v>
      </c>
      <c r="K630" s="1"/>
      <c r="L630" s="2">
        <v>920000</v>
      </c>
      <c r="M630" s="2">
        <v>293425</v>
      </c>
      <c r="N630" s="2">
        <v>205786</v>
      </c>
      <c r="O630" s="2">
        <v>18400</v>
      </c>
      <c r="P630" s="2">
        <v>0</v>
      </c>
      <c r="Q630" s="2">
        <v>108964</v>
      </c>
      <c r="R630" s="2">
        <v>0</v>
      </c>
      <c r="S630" s="2">
        <v>402389</v>
      </c>
      <c r="T630" s="3">
        <v>0.43737934782609</v>
      </c>
      <c r="U630" s="1"/>
      <c r="V630" s="1" t="s">
        <v>2681</v>
      </c>
      <c r="W630" s="1" t="s">
        <v>202</v>
      </c>
      <c r="X630" s="1" t="s">
        <v>225</v>
      </c>
      <c r="Y630" s="1">
        <v>35</v>
      </c>
      <c r="Z630" s="1" t="s">
        <v>2682</v>
      </c>
      <c r="AA630" s="1" t="s">
        <v>975</v>
      </c>
      <c r="AB630" s="1">
        <v>491624393108</v>
      </c>
    </row>
    <row r="631" spans="1:28" ht="13.8">
      <c r="A631" s="331">
        <v>33848</v>
      </c>
      <c r="B631" s="331">
        <v>26716</v>
      </c>
      <c r="C631" s="115">
        <v>46070</v>
      </c>
      <c r="D631" s="1" t="s">
        <v>1944</v>
      </c>
      <c r="E631" s="1" t="s">
        <v>1945</v>
      </c>
      <c r="F631" s="1" t="s">
        <v>4</v>
      </c>
      <c r="G631" s="1" t="s">
        <v>461</v>
      </c>
      <c r="H631" s="1" t="s">
        <v>462</v>
      </c>
      <c r="I631" s="1" t="s">
        <v>1058</v>
      </c>
      <c r="J631" s="1" t="s">
        <v>210</v>
      </c>
      <c r="K631" s="1" t="s">
        <v>1058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3">
        <v>0</v>
      </c>
      <c r="U631" s="1"/>
      <c r="V631" s="1"/>
      <c r="W631" s="1" t="s">
        <v>63</v>
      </c>
      <c r="X631" s="1" t="s">
        <v>213</v>
      </c>
      <c r="Y631" s="1">
        <v>23</v>
      </c>
      <c r="Z631" s="1"/>
      <c r="AA631" s="1" t="s">
        <v>975</v>
      </c>
      <c r="AB631" s="1">
        <v>3013368754</v>
      </c>
    </row>
    <row r="632" spans="1:28" ht="13.8">
      <c r="A632" s="331">
        <v>35748</v>
      </c>
      <c r="B632" s="331">
        <v>26744</v>
      </c>
      <c r="C632" s="115">
        <v>46070</v>
      </c>
      <c r="D632" s="1" t="s">
        <v>966</v>
      </c>
      <c r="E632" s="1" t="s">
        <v>967</v>
      </c>
      <c r="F632" s="1" t="s">
        <v>4</v>
      </c>
      <c r="G632" s="1" t="s">
        <v>324</v>
      </c>
      <c r="H632" s="1" t="s">
        <v>325</v>
      </c>
      <c r="I632" s="1" t="s">
        <v>1097</v>
      </c>
      <c r="J632" s="1" t="s">
        <v>210</v>
      </c>
      <c r="K632" s="1" t="s">
        <v>1097</v>
      </c>
      <c r="L632" s="2">
        <v>50000</v>
      </c>
      <c r="M632" s="2">
        <v>24500</v>
      </c>
      <c r="N632" s="2">
        <v>0</v>
      </c>
      <c r="O632" s="2">
        <v>1000</v>
      </c>
      <c r="P632" s="2">
        <v>0</v>
      </c>
      <c r="Q632" s="2">
        <v>0</v>
      </c>
      <c r="R632" s="2">
        <v>0</v>
      </c>
      <c r="S632" s="2">
        <v>24500</v>
      </c>
      <c r="T632" s="3">
        <v>0.49</v>
      </c>
      <c r="U632" s="1"/>
      <c r="V632" s="1" t="s">
        <v>2683</v>
      </c>
      <c r="W632" s="1" t="s">
        <v>202</v>
      </c>
      <c r="X632" s="1" t="s">
        <v>225</v>
      </c>
      <c r="Y632" s="1">
        <v>54</v>
      </c>
      <c r="Z632" s="1" t="s">
        <v>2684</v>
      </c>
      <c r="AA632" s="1" t="s">
        <v>975</v>
      </c>
      <c r="AB632" s="1">
        <v>3136159166</v>
      </c>
    </row>
    <row r="633" spans="1:28" ht="13.8">
      <c r="A633" s="331">
        <v>33848</v>
      </c>
      <c r="B633" s="331">
        <v>26717</v>
      </c>
      <c r="C633" s="115">
        <v>46070</v>
      </c>
      <c r="D633" s="1" t="s">
        <v>1944</v>
      </c>
      <c r="E633" s="1" t="s">
        <v>1945</v>
      </c>
      <c r="F633" s="1" t="s">
        <v>4</v>
      </c>
      <c r="G633" s="1">
        <v>861401</v>
      </c>
      <c r="H633" s="1" t="s">
        <v>307</v>
      </c>
      <c r="I633" s="1" t="s">
        <v>983</v>
      </c>
      <c r="J633" s="1" t="s">
        <v>210</v>
      </c>
      <c r="K633" s="1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3">
        <v>0</v>
      </c>
      <c r="U633" s="1"/>
      <c r="V633" s="1"/>
      <c r="W633" s="1" t="s">
        <v>63</v>
      </c>
      <c r="X633" s="1" t="s">
        <v>213</v>
      </c>
      <c r="Y633" s="1">
        <v>23</v>
      </c>
      <c r="Z633" s="1"/>
      <c r="AA633" s="1" t="s">
        <v>975</v>
      </c>
      <c r="AB633" s="1">
        <v>3013368754</v>
      </c>
    </row>
    <row r="634" spans="1:28" ht="13.8">
      <c r="A634" s="331">
        <v>35748</v>
      </c>
      <c r="B634" s="331">
        <v>26745</v>
      </c>
      <c r="C634" s="115">
        <v>46070</v>
      </c>
      <c r="D634" s="1" t="s">
        <v>966</v>
      </c>
      <c r="E634" s="1" t="s">
        <v>967</v>
      </c>
      <c r="F634" s="1" t="s">
        <v>4</v>
      </c>
      <c r="G634" s="1" t="s">
        <v>228</v>
      </c>
      <c r="H634" s="1" t="s">
        <v>229</v>
      </c>
      <c r="I634" s="1" t="s">
        <v>1209</v>
      </c>
      <c r="J634" s="1" t="s">
        <v>210</v>
      </c>
      <c r="K634" s="1" t="s">
        <v>1209</v>
      </c>
      <c r="L634" s="2">
        <v>50000</v>
      </c>
      <c r="M634" s="2">
        <v>24500</v>
      </c>
      <c r="N634" s="2">
        <v>0</v>
      </c>
      <c r="O634" s="2">
        <v>1000</v>
      </c>
      <c r="P634" s="2">
        <v>0</v>
      </c>
      <c r="Q634" s="2">
        <v>0</v>
      </c>
      <c r="R634" s="2">
        <v>0</v>
      </c>
      <c r="S634" s="2">
        <v>24500</v>
      </c>
      <c r="T634" s="3">
        <v>0.49</v>
      </c>
      <c r="U634" s="1"/>
      <c r="V634" s="1" t="s">
        <v>2683</v>
      </c>
      <c r="W634" s="1" t="s">
        <v>202</v>
      </c>
      <c r="X634" s="1" t="s">
        <v>225</v>
      </c>
      <c r="Y634" s="1">
        <v>54</v>
      </c>
      <c r="Z634" s="1" t="s">
        <v>2684</v>
      </c>
      <c r="AA634" s="1" t="s">
        <v>975</v>
      </c>
      <c r="AB634" s="1">
        <v>3136159166</v>
      </c>
    </row>
    <row r="635" spans="1:28" ht="13.8">
      <c r="A635" s="331">
        <v>36522</v>
      </c>
      <c r="B635" s="331">
        <v>26678</v>
      </c>
      <c r="C635" s="115">
        <v>46070</v>
      </c>
      <c r="D635" s="1" t="s">
        <v>2591</v>
      </c>
      <c r="E635" s="1" t="s">
        <v>2592</v>
      </c>
      <c r="F635" s="1" t="s">
        <v>4</v>
      </c>
      <c r="G635" s="1">
        <v>868116</v>
      </c>
      <c r="H635" s="1" t="s">
        <v>298</v>
      </c>
      <c r="I635" s="1" t="s">
        <v>983</v>
      </c>
      <c r="J635" s="1" t="s">
        <v>210</v>
      </c>
      <c r="K635" s="1"/>
      <c r="L635" s="2">
        <v>200000</v>
      </c>
      <c r="M635" s="2">
        <v>89250.5</v>
      </c>
      <c r="N635" s="2">
        <v>12454.57</v>
      </c>
      <c r="O635" s="2">
        <v>4000</v>
      </c>
      <c r="P635" s="2">
        <v>0</v>
      </c>
      <c r="Q635" s="2">
        <v>5044.43</v>
      </c>
      <c r="R635" s="2">
        <v>0</v>
      </c>
      <c r="S635" s="2">
        <v>94294.93</v>
      </c>
      <c r="T635" s="3">
        <v>0.47147465</v>
      </c>
      <c r="U635" s="1"/>
      <c r="V635" s="1" t="s">
        <v>2685</v>
      </c>
      <c r="W635" s="1" t="s">
        <v>202</v>
      </c>
      <c r="X635" s="1" t="s">
        <v>213</v>
      </c>
      <c r="Y635" s="1">
        <v>31</v>
      </c>
      <c r="Z635" s="1" t="s">
        <v>2686</v>
      </c>
      <c r="AA635" s="1" t="s">
        <v>975</v>
      </c>
      <c r="AB635" s="1">
        <v>3154362313</v>
      </c>
    </row>
    <row r="636" spans="1:28" ht="13.8">
      <c r="A636" s="331">
        <v>36522</v>
      </c>
      <c r="B636" s="331">
        <v>26677</v>
      </c>
      <c r="C636" s="115">
        <v>46070</v>
      </c>
      <c r="D636" s="1" t="s">
        <v>2591</v>
      </c>
      <c r="E636" s="1" t="s">
        <v>2592</v>
      </c>
      <c r="F636" s="1" t="s">
        <v>4</v>
      </c>
      <c r="G636" s="1" t="s">
        <v>431</v>
      </c>
      <c r="H636" s="1" t="s">
        <v>432</v>
      </c>
      <c r="I636" s="1" t="s">
        <v>1047</v>
      </c>
      <c r="J636" s="1" t="s">
        <v>210</v>
      </c>
      <c r="K636" s="1" t="s">
        <v>1048</v>
      </c>
      <c r="L636" s="2">
        <v>1000000</v>
      </c>
      <c r="M636" s="2">
        <v>490000</v>
      </c>
      <c r="N636" s="2">
        <v>0</v>
      </c>
      <c r="O636" s="2">
        <v>20000</v>
      </c>
      <c r="P636" s="2">
        <v>0</v>
      </c>
      <c r="Q636" s="2">
        <v>0</v>
      </c>
      <c r="R636" s="2">
        <v>0</v>
      </c>
      <c r="S636" s="2">
        <v>490000</v>
      </c>
      <c r="T636" s="3">
        <v>0.49</v>
      </c>
      <c r="U636" s="1"/>
      <c r="V636" s="1" t="s">
        <v>2685</v>
      </c>
      <c r="W636" s="1" t="s">
        <v>202</v>
      </c>
      <c r="X636" s="1" t="s">
        <v>213</v>
      </c>
      <c r="Y636" s="1">
        <v>31</v>
      </c>
      <c r="Z636" s="1" t="s">
        <v>2686</v>
      </c>
      <c r="AA636" s="1" t="s">
        <v>975</v>
      </c>
      <c r="AB636" s="1">
        <v>3154362313</v>
      </c>
    </row>
    <row r="637" spans="1:28" ht="13.8">
      <c r="A637" s="331">
        <v>29504</v>
      </c>
      <c r="B637" s="331">
        <v>18673</v>
      </c>
      <c r="C637" s="115">
        <v>46070</v>
      </c>
      <c r="D637" s="1" t="s">
        <v>1276</v>
      </c>
      <c r="E637" s="1" t="s">
        <v>1277</v>
      </c>
      <c r="F637" s="1" t="s">
        <v>4</v>
      </c>
      <c r="G637" s="1" t="s">
        <v>228</v>
      </c>
      <c r="H637" s="1" t="s">
        <v>229</v>
      </c>
      <c r="I637" s="1" t="s">
        <v>1209</v>
      </c>
      <c r="J637" s="1" t="s">
        <v>210</v>
      </c>
      <c r="K637" s="1" t="s">
        <v>1209</v>
      </c>
      <c r="L637" s="2">
        <v>350000</v>
      </c>
      <c r="M637" s="2">
        <v>175000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175000</v>
      </c>
      <c r="T637" s="3">
        <v>0.5</v>
      </c>
      <c r="U637" s="1"/>
      <c r="V637" s="1" t="s">
        <v>2687</v>
      </c>
      <c r="W637" s="1" t="s">
        <v>202</v>
      </c>
      <c r="X637" s="1" t="s">
        <v>225</v>
      </c>
      <c r="Y637" s="1">
        <v>67</v>
      </c>
      <c r="Z637" s="1" t="s">
        <v>2688</v>
      </c>
      <c r="AA637" s="1" t="s">
        <v>975</v>
      </c>
      <c r="AB637" s="1">
        <v>3146785751</v>
      </c>
    </row>
    <row r="638" spans="1:28" ht="13.8">
      <c r="A638" s="331">
        <v>29504</v>
      </c>
      <c r="B638" s="331">
        <v>18674</v>
      </c>
      <c r="C638" s="115">
        <v>46070</v>
      </c>
      <c r="D638" s="1" t="s">
        <v>1276</v>
      </c>
      <c r="E638" s="1" t="s">
        <v>1277</v>
      </c>
      <c r="F638" s="1" t="s">
        <v>4</v>
      </c>
      <c r="G638" s="1" t="s">
        <v>337</v>
      </c>
      <c r="H638" s="1" t="s">
        <v>338</v>
      </c>
      <c r="I638" s="1" t="s">
        <v>1096</v>
      </c>
      <c r="J638" s="1" t="s">
        <v>210</v>
      </c>
      <c r="K638" s="1" t="s">
        <v>1097</v>
      </c>
      <c r="L638" s="2">
        <v>350000</v>
      </c>
      <c r="M638" s="2">
        <v>175000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175000</v>
      </c>
      <c r="T638" s="3">
        <v>0.5</v>
      </c>
      <c r="U638" s="1"/>
      <c r="V638" s="1" t="s">
        <v>2687</v>
      </c>
      <c r="W638" s="1" t="s">
        <v>202</v>
      </c>
      <c r="X638" s="1" t="s">
        <v>225</v>
      </c>
      <c r="Y638" s="1">
        <v>67</v>
      </c>
      <c r="Z638" s="1" t="s">
        <v>2688</v>
      </c>
      <c r="AA638" s="1" t="s">
        <v>975</v>
      </c>
      <c r="AB638" s="1">
        <v>3146785751</v>
      </c>
    </row>
    <row r="639" spans="1:28" ht="13.8">
      <c r="A639" s="331">
        <v>28241</v>
      </c>
      <c r="B639" s="331">
        <v>26722</v>
      </c>
      <c r="C639" s="115">
        <v>46070</v>
      </c>
      <c r="D639" s="1" t="s">
        <v>965</v>
      </c>
      <c r="E639" s="1" t="s">
        <v>3</v>
      </c>
      <c r="F639" s="1" t="s">
        <v>132</v>
      </c>
      <c r="G639" s="1" t="s">
        <v>1087</v>
      </c>
      <c r="H639" s="1" t="s">
        <v>1088</v>
      </c>
      <c r="I639" s="1" t="s">
        <v>1089</v>
      </c>
      <c r="J639" s="1" t="s">
        <v>200</v>
      </c>
      <c r="K639" s="1" t="s">
        <v>1089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3">
        <v>0</v>
      </c>
      <c r="U639" s="1"/>
      <c r="V639" s="1"/>
      <c r="W639" s="1" t="s">
        <v>63</v>
      </c>
      <c r="X639" s="1" t="s">
        <v>248</v>
      </c>
      <c r="Y639" s="1">
        <v>36</v>
      </c>
      <c r="Z639" s="1"/>
      <c r="AA639" s="1" t="s">
        <v>975</v>
      </c>
      <c r="AB639" s="1">
        <v>3008249135</v>
      </c>
    </row>
    <row r="640" spans="1:28" ht="13.8">
      <c r="A640" s="331">
        <v>36327</v>
      </c>
      <c r="B640" s="331">
        <v>26310</v>
      </c>
      <c r="C640" s="115">
        <v>46071</v>
      </c>
      <c r="D640" s="1" t="s">
        <v>2036</v>
      </c>
      <c r="E640" s="1" t="s">
        <v>2037</v>
      </c>
      <c r="F640" s="1" t="s">
        <v>126</v>
      </c>
      <c r="G640" s="1">
        <v>890242</v>
      </c>
      <c r="H640" s="1" t="s">
        <v>331</v>
      </c>
      <c r="I640" s="1" t="s">
        <v>972</v>
      </c>
      <c r="J640" s="1" t="s">
        <v>223</v>
      </c>
      <c r="K640" s="1"/>
      <c r="L640" s="2">
        <v>250000</v>
      </c>
      <c r="M640" s="2">
        <v>122500</v>
      </c>
      <c r="N640" s="2">
        <v>0</v>
      </c>
      <c r="O640" s="2">
        <v>5000</v>
      </c>
      <c r="P640" s="2">
        <v>0</v>
      </c>
      <c r="Q640" s="2">
        <v>0</v>
      </c>
      <c r="R640" s="2">
        <v>0</v>
      </c>
      <c r="S640" s="2">
        <v>122500</v>
      </c>
      <c r="T640" s="3">
        <v>0.49</v>
      </c>
      <c r="U640" s="1"/>
      <c r="V640" s="1" t="s">
        <v>2689</v>
      </c>
      <c r="W640" s="1" t="s">
        <v>202</v>
      </c>
      <c r="X640" s="1" t="s">
        <v>213</v>
      </c>
      <c r="Y640" s="1">
        <v>65</v>
      </c>
      <c r="Z640" s="1" t="s">
        <v>2690</v>
      </c>
      <c r="AA640" s="1" t="s">
        <v>975</v>
      </c>
      <c r="AB640" s="1">
        <v>3104894418</v>
      </c>
    </row>
    <row r="641" spans="1:28" ht="13.8">
      <c r="A641" s="331">
        <v>36369</v>
      </c>
      <c r="B641" s="331">
        <v>26403</v>
      </c>
      <c r="C641" s="115">
        <v>46071</v>
      </c>
      <c r="D641" s="1" t="s">
        <v>2109</v>
      </c>
      <c r="E641" s="1" t="s">
        <v>2110</v>
      </c>
      <c r="F641" s="1" t="s">
        <v>126</v>
      </c>
      <c r="G641" s="1">
        <v>890242</v>
      </c>
      <c r="H641" s="1" t="s">
        <v>331</v>
      </c>
      <c r="I641" s="1" t="s">
        <v>972</v>
      </c>
      <c r="J641" s="1" t="s">
        <v>223</v>
      </c>
      <c r="K641" s="1"/>
      <c r="L641" s="2">
        <v>250000</v>
      </c>
      <c r="M641" s="2">
        <v>125000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125000</v>
      </c>
      <c r="T641" s="3">
        <v>0.5</v>
      </c>
      <c r="U641" s="1"/>
      <c r="V641" s="1" t="s">
        <v>2691</v>
      </c>
      <c r="W641" s="1" t="s">
        <v>202</v>
      </c>
      <c r="X641" s="1" t="s">
        <v>213</v>
      </c>
      <c r="Y641" s="1">
        <v>20</v>
      </c>
      <c r="Z641" s="1" t="s">
        <v>2692</v>
      </c>
      <c r="AA641" s="1" t="s">
        <v>975</v>
      </c>
      <c r="AB641" s="1">
        <v>3217231966</v>
      </c>
    </row>
    <row r="642" spans="1:28" ht="13.8">
      <c r="A642" s="331">
        <v>36368</v>
      </c>
      <c r="B642" s="331">
        <v>26397</v>
      </c>
      <c r="C642" s="115">
        <v>46071</v>
      </c>
      <c r="D642" s="1" t="s">
        <v>2107</v>
      </c>
      <c r="E642" s="1" t="s">
        <v>2108</v>
      </c>
      <c r="F642" s="1" t="s">
        <v>4</v>
      </c>
      <c r="G642" s="1">
        <v>890242</v>
      </c>
      <c r="H642" s="1" t="s">
        <v>331</v>
      </c>
      <c r="I642" s="1" t="s">
        <v>972</v>
      </c>
      <c r="J642" s="1" t="s">
        <v>223</v>
      </c>
      <c r="K642" s="1"/>
      <c r="L642" s="2">
        <v>250000</v>
      </c>
      <c r="M642" s="2">
        <v>125000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125000</v>
      </c>
      <c r="T642" s="3">
        <v>0.5</v>
      </c>
      <c r="U642" s="1"/>
      <c r="V642" s="1" t="s">
        <v>2693</v>
      </c>
      <c r="W642" s="1" t="s">
        <v>202</v>
      </c>
      <c r="X642" s="1" t="s">
        <v>225</v>
      </c>
      <c r="Y642" s="1">
        <v>47</v>
      </c>
      <c r="Z642" s="1" t="s">
        <v>2694</v>
      </c>
      <c r="AA642" s="1" t="s">
        <v>975</v>
      </c>
      <c r="AB642" s="1">
        <v>3015587314</v>
      </c>
    </row>
    <row r="643" spans="1:28" ht="13.8">
      <c r="A643" s="331">
        <v>36539</v>
      </c>
      <c r="B643" s="331">
        <v>26705</v>
      </c>
      <c r="C643" s="115">
        <v>46071</v>
      </c>
      <c r="D643" s="1" t="s">
        <v>2695</v>
      </c>
      <c r="E643" s="1" t="s">
        <v>2696</v>
      </c>
      <c r="F643" s="1" t="s">
        <v>127</v>
      </c>
      <c r="G643" s="1">
        <v>890242</v>
      </c>
      <c r="H643" s="1" t="s">
        <v>331</v>
      </c>
      <c r="I643" s="1" t="s">
        <v>972</v>
      </c>
      <c r="J643" s="1" t="s">
        <v>223</v>
      </c>
      <c r="K643" s="1"/>
      <c r="L643" s="2">
        <v>250000</v>
      </c>
      <c r="M643" s="2">
        <v>122500</v>
      </c>
      <c r="N643" s="2">
        <v>0</v>
      </c>
      <c r="O643" s="2">
        <v>5000</v>
      </c>
      <c r="P643" s="2">
        <v>0</v>
      </c>
      <c r="Q643" s="2">
        <v>0</v>
      </c>
      <c r="R643" s="2">
        <v>0</v>
      </c>
      <c r="S643" s="2">
        <v>122500</v>
      </c>
      <c r="T643" s="3">
        <v>0.49</v>
      </c>
      <c r="U643" s="1"/>
      <c r="V643" s="1" t="s">
        <v>2697</v>
      </c>
      <c r="W643" s="1" t="s">
        <v>202</v>
      </c>
      <c r="X643" s="1" t="s">
        <v>225</v>
      </c>
      <c r="Y643" s="1">
        <v>19</v>
      </c>
      <c r="Z643" s="1" t="s">
        <v>2698</v>
      </c>
      <c r="AA643" s="1" t="s">
        <v>975</v>
      </c>
      <c r="AB643" s="1">
        <v>3136921618</v>
      </c>
    </row>
    <row r="644" spans="1:28" ht="13.8">
      <c r="A644" s="331">
        <v>36558</v>
      </c>
      <c r="B644" s="331">
        <v>26738</v>
      </c>
      <c r="C644" s="115">
        <v>46071</v>
      </c>
      <c r="D644" s="1" t="s">
        <v>2699</v>
      </c>
      <c r="E644" s="1" t="s">
        <v>2700</v>
      </c>
      <c r="F644" s="1" t="s">
        <v>127</v>
      </c>
      <c r="G644" s="1">
        <v>890242</v>
      </c>
      <c r="H644" s="1" t="s">
        <v>331</v>
      </c>
      <c r="I644" s="1" t="s">
        <v>972</v>
      </c>
      <c r="J644" s="1" t="s">
        <v>223</v>
      </c>
      <c r="K644" s="1"/>
      <c r="L644" s="2">
        <v>250000</v>
      </c>
      <c r="M644" s="2">
        <v>122500</v>
      </c>
      <c r="N644" s="2">
        <v>0</v>
      </c>
      <c r="O644" s="2">
        <v>5000</v>
      </c>
      <c r="P644" s="2">
        <v>0</v>
      </c>
      <c r="Q644" s="2">
        <v>0</v>
      </c>
      <c r="R644" s="2">
        <v>0</v>
      </c>
      <c r="S644" s="2">
        <v>122500</v>
      </c>
      <c r="T644" s="3">
        <v>0.49</v>
      </c>
      <c r="U644" s="1"/>
      <c r="V644" s="1" t="s">
        <v>2701</v>
      </c>
      <c r="W644" s="1" t="s">
        <v>202</v>
      </c>
      <c r="X644" s="1" t="s">
        <v>277</v>
      </c>
      <c r="Y644" s="1">
        <v>36</v>
      </c>
      <c r="Z644" s="1" t="s">
        <v>2702</v>
      </c>
      <c r="AA644" s="1" t="s">
        <v>2489</v>
      </c>
      <c r="AB644" s="1">
        <v>5218128957533</v>
      </c>
    </row>
    <row r="645" spans="1:28" ht="13.8">
      <c r="A645" s="331">
        <v>36553</v>
      </c>
      <c r="B645" s="331">
        <v>26731</v>
      </c>
      <c r="C645" s="115">
        <v>46071</v>
      </c>
      <c r="D645" s="1" t="s">
        <v>2703</v>
      </c>
      <c r="E645" s="1" t="s">
        <v>2704</v>
      </c>
      <c r="F645" s="1" t="s">
        <v>107</v>
      </c>
      <c r="G645" s="1">
        <v>890304</v>
      </c>
      <c r="H645" s="1" t="s">
        <v>913</v>
      </c>
      <c r="I645" s="1" t="s">
        <v>972</v>
      </c>
      <c r="J645" s="1" t="s">
        <v>223</v>
      </c>
      <c r="K645" s="1"/>
      <c r="L645" s="2">
        <v>240000</v>
      </c>
      <c r="M645" s="2">
        <v>117600</v>
      </c>
      <c r="N645" s="2">
        <v>0</v>
      </c>
      <c r="O645" s="2">
        <v>4800</v>
      </c>
      <c r="P645" s="2">
        <v>0</v>
      </c>
      <c r="Q645" s="2">
        <v>0</v>
      </c>
      <c r="R645" s="2">
        <v>0</v>
      </c>
      <c r="S645" s="2">
        <v>117600</v>
      </c>
      <c r="T645" s="3">
        <v>0.49</v>
      </c>
      <c r="U645" s="1"/>
      <c r="V645" s="1" t="s">
        <v>2705</v>
      </c>
      <c r="W645" s="1" t="s">
        <v>202</v>
      </c>
      <c r="X645" s="1" t="s">
        <v>213</v>
      </c>
      <c r="Y645" s="1">
        <v>38</v>
      </c>
      <c r="Z645" s="1" t="s">
        <v>2706</v>
      </c>
      <c r="AA645" s="1" t="s">
        <v>1038</v>
      </c>
      <c r="AB645" s="1">
        <v>17877051327</v>
      </c>
    </row>
    <row r="646" spans="1:28" ht="13.8">
      <c r="A646" s="331">
        <v>36482</v>
      </c>
      <c r="B646" s="331">
        <v>26604</v>
      </c>
      <c r="C646" s="115">
        <v>46071</v>
      </c>
      <c r="D646" s="1" t="s">
        <v>2707</v>
      </c>
      <c r="E646" s="1" t="s">
        <v>2708</v>
      </c>
      <c r="F646" s="1" t="s">
        <v>126</v>
      </c>
      <c r="G646" s="1">
        <v>890242</v>
      </c>
      <c r="H646" s="1" t="s">
        <v>331</v>
      </c>
      <c r="I646" s="1" t="s">
        <v>972</v>
      </c>
      <c r="J646" s="1" t="s">
        <v>223</v>
      </c>
      <c r="K646" s="1"/>
      <c r="L646" s="2">
        <v>250000</v>
      </c>
      <c r="M646" s="2">
        <v>122500</v>
      </c>
      <c r="N646" s="2">
        <v>0</v>
      </c>
      <c r="O646" s="2">
        <v>5000</v>
      </c>
      <c r="P646" s="2">
        <v>0</v>
      </c>
      <c r="Q646" s="2">
        <v>0</v>
      </c>
      <c r="R646" s="2">
        <v>0</v>
      </c>
      <c r="S646" s="2">
        <v>122500</v>
      </c>
      <c r="T646" s="3">
        <v>0.49</v>
      </c>
      <c r="U646" s="1"/>
      <c r="V646" s="1" t="s">
        <v>2709</v>
      </c>
      <c r="W646" s="1" t="s">
        <v>202</v>
      </c>
      <c r="X646" s="1" t="s">
        <v>277</v>
      </c>
      <c r="Y646" s="1">
        <v>55</v>
      </c>
      <c r="Z646" s="1" t="s">
        <v>2710</v>
      </c>
      <c r="AA646" s="1" t="s">
        <v>975</v>
      </c>
      <c r="AB646" s="1">
        <v>3017318620</v>
      </c>
    </row>
    <row r="647" spans="1:28" ht="13.8">
      <c r="A647" s="331">
        <v>36572</v>
      </c>
      <c r="B647" s="331">
        <v>26760</v>
      </c>
      <c r="C647" s="115">
        <v>46071</v>
      </c>
      <c r="D647" s="1" t="s">
        <v>2703</v>
      </c>
      <c r="E647" s="1" t="s">
        <v>2704</v>
      </c>
      <c r="F647" s="1" t="s">
        <v>107</v>
      </c>
      <c r="G647" s="1">
        <v>861416</v>
      </c>
      <c r="H647" s="1" t="s">
        <v>1080</v>
      </c>
      <c r="I647" s="1" t="s">
        <v>1081</v>
      </c>
      <c r="J647" s="1" t="s">
        <v>210</v>
      </c>
      <c r="K647" s="1"/>
      <c r="L647" s="2">
        <v>4260000</v>
      </c>
      <c r="M647" s="2">
        <v>1174615</v>
      </c>
      <c r="N647" s="2">
        <v>1393793</v>
      </c>
      <c r="O647" s="2">
        <v>85200</v>
      </c>
      <c r="P647" s="2">
        <v>0</v>
      </c>
      <c r="Q647" s="2">
        <v>431777</v>
      </c>
      <c r="R647" s="2">
        <v>0</v>
      </c>
      <c r="S647" s="2">
        <v>1606392</v>
      </c>
      <c r="T647" s="3">
        <v>0.37708732394366001</v>
      </c>
      <c r="U647" s="1"/>
      <c r="V647" s="1" t="s">
        <v>2711</v>
      </c>
      <c r="W647" s="1" t="s">
        <v>202</v>
      </c>
      <c r="X647" s="1" t="s">
        <v>213</v>
      </c>
      <c r="Y647" s="1">
        <v>38</v>
      </c>
      <c r="Z647" s="1" t="s">
        <v>2712</v>
      </c>
      <c r="AA647" s="1" t="s">
        <v>1038</v>
      </c>
      <c r="AB647" s="1">
        <v>17877051327</v>
      </c>
    </row>
    <row r="648" spans="1:28" ht="13.8">
      <c r="A648" s="331">
        <v>36572</v>
      </c>
      <c r="B648" s="331">
        <v>26761</v>
      </c>
      <c r="C648" s="115">
        <v>46071</v>
      </c>
      <c r="D648" s="1" t="s">
        <v>2703</v>
      </c>
      <c r="E648" s="1" t="s">
        <v>2704</v>
      </c>
      <c r="F648" s="1" t="s">
        <v>107</v>
      </c>
      <c r="G648" s="1">
        <v>861411</v>
      </c>
      <c r="H648" s="1" t="s">
        <v>406</v>
      </c>
      <c r="I648" s="1" t="s">
        <v>1081</v>
      </c>
      <c r="J648" s="1" t="s">
        <v>210</v>
      </c>
      <c r="K648" s="1"/>
      <c r="L648" s="2">
        <v>0</v>
      </c>
      <c r="M648" s="2">
        <v>0</v>
      </c>
      <c r="N648" s="2">
        <v>205786</v>
      </c>
      <c r="O648" s="2">
        <v>0</v>
      </c>
      <c r="P648" s="2">
        <v>0</v>
      </c>
      <c r="Q648" s="2">
        <v>108964</v>
      </c>
      <c r="R648" s="2">
        <v>0</v>
      </c>
      <c r="S648" s="2">
        <v>-205786</v>
      </c>
      <c r="T648" s="3">
        <v>0</v>
      </c>
      <c r="U648" s="1"/>
      <c r="V648" s="1"/>
      <c r="W648" s="1" t="s">
        <v>63</v>
      </c>
      <c r="X648" s="1" t="s">
        <v>213</v>
      </c>
      <c r="Y648" s="1">
        <v>38</v>
      </c>
      <c r="Z648" s="1"/>
      <c r="AA648" s="1" t="s">
        <v>1038</v>
      </c>
      <c r="AB648" s="1">
        <v>17877051327</v>
      </c>
    </row>
    <row r="649" spans="1:28" ht="13.8">
      <c r="A649" s="331">
        <v>36376</v>
      </c>
      <c r="B649" s="331">
        <v>26417</v>
      </c>
      <c r="C649" s="115">
        <v>46071</v>
      </c>
      <c r="D649" s="1" t="s">
        <v>2113</v>
      </c>
      <c r="E649" s="1" t="s">
        <v>2114</v>
      </c>
      <c r="F649" s="1" t="s">
        <v>4</v>
      </c>
      <c r="G649" s="1">
        <v>890242</v>
      </c>
      <c r="H649" s="1" t="s">
        <v>331</v>
      </c>
      <c r="I649" s="1" t="s">
        <v>972</v>
      </c>
      <c r="J649" s="1" t="s">
        <v>223</v>
      </c>
      <c r="K649" s="1"/>
      <c r="L649" s="2">
        <v>250000</v>
      </c>
      <c r="M649" s="2">
        <v>125000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125000</v>
      </c>
      <c r="T649" s="3">
        <v>0.5</v>
      </c>
      <c r="U649" s="1"/>
      <c r="V649" s="1" t="s">
        <v>2713</v>
      </c>
      <c r="W649" s="1" t="s">
        <v>202</v>
      </c>
      <c r="X649" s="1" t="s">
        <v>225</v>
      </c>
      <c r="Y649" s="1">
        <v>39</v>
      </c>
      <c r="Z649" s="1" t="s">
        <v>2714</v>
      </c>
      <c r="AA649" s="1" t="s">
        <v>975</v>
      </c>
      <c r="AB649" s="1" t="s">
        <v>2715</v>
      </c>
    </row>
    <row r="650" spans="1:28" ht="13.8">
      <c r="A650" s="331">
        <v>36570</v>
      </c>
      <c r="B650" s="331">
        <v>26758</v>
      </c>
      <c r="C650" s="115">
        <v>46071</v>
      </c>
      <c r="D650" s="1" t="s">
        <v>2716</v>
      </c>
      <c r="E650" s="1" t="s">
        <v>2717</v>
      </c>
      <c r="F650" s="1" t="s">
        <v>107</v>
      </c>
      <c r="G650" s="1">
        <v>890304</v>
      </c>
      <c r="H650" s="1" t="s">
        <v>913</v>
      </c>
      <c r="I650" s="1" t="s">
        <v>972</v>
      </c>
      <c r="J650" s="1" t="s">
        <v>223</v>
      </c>
      <c r="K650" s="1"/>
      <c r="L650" s="2">
        <v>240000</v>
      </c>
      <c r="M650" s="2">
        <v>117600</v>
      </c>
      <c r="N650" s="2">
        <v>0</v>
      </c>
      <c r="O650" s="2">
        <v>4800</v>
      </c>
      <c r="P650" s="2">
        <v>0</v>
      </c>
      <c r="Q650" s="2">
        <v>0</v>
      </c>
      <c r="R650" s="2">
        <v>0</v>
      </c>
      <c r="S650" s="2">
        <v>117600</v>
      </c>
      <c r="T650" s="3">
        <v>0.49</v>
      </c>
      <c r="U650" s="1"/>
      <c r="V650" s="1" t="s">
        <v>2718</v>
      </c>
      <c r="W650" s="1" t="s">
        <v>202</v>
      </c>
      <c r="X650" s="1" t="s">
        <v>204</v>
      </c>
      <c r="Y650" s="1">
        <v>64</v>
      </c>
      <c r="Z650" s="1" t="s">
        <v>2719</v>
      </c>
      <c r="AA650" s="1" t="s">
        <v>2720</v>
      </c>
      <c r="AB650" s="1">
        <v>50765103121</v>
      </c>
    </row>
    <row r="651" spans="1:28" ht="13.8">
      <c r="A651" s="331">
        <v>34161</v>
      </c>
      <c r="B651" s="331">
        <v>25603</v>
      </c>
      <c r="C651" s="115">
        <v>46071</v>
      </c>
      <c r="D651" s="1" t="s">
        <v>915</v>
      </c>
      <c r="E651" s="1" t="s">
        <v>916</v>
      </c>
      <c r="F651" s="1" t="s">
        <v>2</v>
      </c>
      <c r="G651" s="1">
        <v>861418</v>
      </c>
      <c r="H651" s="1" t="s">
        <v>1998</v>
      </c>
      <c r="I651" s="1" t="s">
        <v>1081</v>
      </c>
      <c r="J651" s="1" t="s">
        <v>210</v>
      </c>
      <c r="K651" s="1"/>
      <c r="L651" s="2">
        <v>2500000</v>
      </c>
      <c r="M651" s="2">
        <v>770122</v>
      </c>
      <c r="N651" s="2">
        <v>766280.56</v>
      </c>
      <c r="O651" s="2">
        <v>0</v>
      </c>
      <c r="P651" s="2">
        <v>0</v>
      </c>
      <c r="Q651" s="2">
        <v>193475.44</v>
      </c>
      <c r="R651" s="2">
        <v>0</v>
      </c>
      <c r="S651" s="2">
        <v>963597.44</v>
      </c>
      <c r="T651" s="3">
        <v>0.38543897599999999</v>
      </c>
      <c r="U651" s="1"/>
      <c r="V651" s="1" t="s">
        <v>2721</v>
      </c>
      <c r="W651" s="1" t="s">
        <v>202</v>
      </c>
      <c r="X651" s="1" t="s">
        <v>213</v>
      </c>
      <c r="Y651" s="1">
        <v>67</v>
      </c>
      <c r="Z651" s="1" t="s">
        <v>2722</v>
      </c>
      <c r="AA651" s="1" t="s">
        <v>975</v>
      </c>
      <c r="AB651" s="1">
        <v>3148779647</v>
      </c>
    </row>
    <row r="652" spans="1:28" ht="13.8">
      <c r="A652" s="331">
        <v>36578</v>
      </c>
      <c r="B652" s="331">
        <v>26771</v>
      </c>
      <c r="C652" s="115">
        <v>46071</v>
      </c>
      <c r="D652" s="1" t="s">
        <v>2716</v>
      </c>
      <c r="E652" s="1" t="s">
        <v>2717</v>
      </c>
      <c r="F652" s="1" t="s">
        <v>107</v>
      </c>
      <c r="G652" s="1">
        <v>861415</v>
      </c>
      <c r="H652" s="1" t="s">
        <v>318</v>
      </c>
      <c r="I652" s="1" t="s">
        <v>1081</v>
      </c>
      <c r="J652" s="1" t="s">
        <v>210</v>
      </c>
      <c r="K652" s="1"/>
      <c r="L652" s="2">
        <v>2810000</v>
      </c>
      <c r="M652" s="2">
        <v>799400</v>
      </c>
      <c r="N652" s="2">
        <v>910350</v>
      </c>
      <c r="O652" s="2">
        <v>56200</v>
      </c>
      <c r="P652" s="2">
        <v>0</v>
      </c>
      <c r="Q652" s="2">
        <v>244650</v>
      </c>
      <c r="R652" s="2">
        <v>0</v>
      </c>
      <c r="S652" s="2">
        <v>1044050</v>
      </c>
      <c r="T652" s="3">
        <v>0.37154804270462999</v>
      </c>
      <c r="U652" s="1"/>
      <c r="V652" s="1" t="s">
        <v>2723</v>
      </c>
      <c r="W652" s="1" t="s">
        <v>202</v>
      </c>
      <c r="X652" s="1" t="s">
        <v>204</v>
      </c>
      <c r="Y652" s="1">
        <v>64</v>
      </c>
      <c r="Z652" s="1" t="s">
        <v>2724</v>
      </c>
      <c r="AA652" s="1" t="s">
        <v>2720</v>
      </c>
      <c r="AB652" s="1">
        <v>50765103121</v>
      </c>
    </row>
    <row r="653" spans="1:28" ht="13.8">
      <c r="A653" s="331">
        <v>36556</v>
      </c>
      <c r="B653" s="331">
        <v>26735</v>
      </c>
      <c r="C653" s="115">
        <v>46071</v>
      </c>
      <c r="D653" s="1" t="s">
        <v>2725</v>
      </c>
      <c r="E653" s="1" t="s">
        <v>2726</v>
      </c>
      <c r="F653" s="1" t="s">
        <v>2</v>
      </c>
      <c r="G653" s="1">
        <v>890242</v>
      </c>
      <c r="H653" s="1" t="s">
        <v>331</v>
      </c>
      <c r="I653" s="1" t="s">
        <v>972</v>
      </c>
      <c r="J653" s="1" t="s">
        <v>223</v>
      </c>
      <c r="K653" s="1"/>
      <c r="L653" s="2">
        <v>250000</v>
      </c>
      <c r="M653" s="2">
        <v>122500</v>
      </c>
      <c r="N653" s="2">
        <v>0</v>
      </c>
      <c r="O653" s="2">
        <v>5000</v>
      </c>
      <c r="P653" s="2">
        <v>0</v>
      </c>
      <c r="Q653" s="2">
        <v>0</v>
      </c>
      <c r="R653" s="2">
        <v>0</v>
      </c>
      <c r="S653" s="2">
        <v>122500</v>
      </c>
      <c r="T653" s="3">
        <v>0.49</v>
      </c>
      <c r="U653" s="1"/>
      <c r="V653" s="1" t="s">
        <v>2727</v>
      </c>
      <c r="W653" s="1" t="s">
        <v>202</v>
      </c>
      <c r="X653" s="1" t="s">
        <v>277</v>
      </c>
      <c r="Y653" s="1">
        <v>22</v>
      </c>
      <c r="Z653" s="1" t="s">
        <v>2728</v>
      </c>
      <c r="AA653" s="1" t="s">
        <v>975</v>
      </c>
      <c r="AB653" s="1">
        <v>3123315655</v>
      </c>
    </row>
    <row r="654" spans="1:28" ht="13.8">
      <c r="A654" s="331">
        <v>36578</v>
      </c>
      <c r="B654" s="331">
        <v>26772</v>
      </c>
      <c r="C654" s="115">
        <v>46071</v>
      </c>
      <c r="D654" s="1" t="s">
        <v>2716</v>
      </c>
      <c r="E654" s="1" t="s">
        <v>2717</v>
      </c>
      <c r="F654" s="1" t="s">
        <v>107</v>
      </c>
      <c r="G654" s="1">
        <v>861414</v>
      </c>
      <c r="H654" s="1" t="s">
        <v>405</v>
      </c>
      <c r="I654" s="1" t="s">
        <v>1081</v>
      </c>
      <c r="J654" s="1" t="s">
        <v>210</v>
      </c>
      <c r="K654" s="1"/>
      <c r="L654" s="2">
        <v>1202000</v>
      </c>
      <c r="M654" s="2">
        <v>412400.5</v>
      </c>
      <c r="N654" s="2">
        <v>219111.09</v>
      </c>
      <c r="O654" s="2">
        <v>24040</v>
      </c>
      <c r="P654" s="2">
        <v>0</v>
      </c>
      <c r="Q654" s="2">
        <v>134047.91</v>
      </c>
      <c r="R654" s="2">
        <v>0</v>
      </c>
      <c r="S654" s="2">
        <v>546448.41</v>
      </c>
      <c r="T654" s="3">
        <v>0.45461598169716999</v>
      </c>
      <c r="U654" s="1"/>
      <c r="V654" s="1" t="s">
        <v>2723</v>
      </c>
      <c r="W654" s="1" t="s">
        <v>202</v>
      </c>
      <c r="X654" s="1" t="s">
        <v>204</v>
      </c>
      <c r="Y654" s="1">
        <v>64</v>
      </c>
      <c r="Z654" s="1" t="s">
        <v>2724</v>
      </c>
      <c r="AA654" s="1" t="s">
        <v>2720</v>
      </c>
      <c r="AB654" s="1">
        <v>50765103121</v>
      </c>
    </row>
    <row r="655" spans="1:28" ht="13.8">
      <c r="A655" s="331">
        <v>36578</v>
      </c>
      <c r="B655" s="331">
        <v>26770</v>
      </c>
      <c r="C655" s="115">
        <v>46071</v>
      </c>
      <c r="D655" s="1" t="s">
        <v>2716</v>
      </c>
      <c r="E655" s="1" t="s">
        <v>2717</v>
      </c>
      <c r="F655" s="1" t="s">
        <v>107</v>
      </c>
      <c r="G655" s="1">
        <v>861411</v>
      </c>
      <c r="H655" s="1" t="s">
        <v>406</v>
      </c>
      <c r="I655" s="1" t="s">
        <v>1081</v>
      </c>
      <c r="J655" s="1" t="s">
        <v>210</v>
      </c>
      <c r="K655" s="1"/>
      <c r="L655" s="2">
        <v>230000</v>
      </c>
      <c r="M655" s="2">
        <v>-76150</v>
      </c>
      <c r="N655" s="2">
        <v>246943.2</v>
      </c>
      <c r="O655" s="2">
        <v>4600</v>
      </c>
      <c r="P655" s="2">
        <v>0</v>
      </c>
      <c r="Q655" s="2">
        <v>130756.8</v>
      </c>
      <c r="R655" s="2">
        <v>0</v>
      </c>
      <c r="S655" s="2">
        <v>54606.8</v>
      </c>
      <c r="T655" s="3">
        <v>0.23742086956521999</v>
      </c>
      <c r="U655" s="1"/>
      <c r="V655" s="1" t="s">
        <v>2729</v>
      </c>
      <c r="W655" s="1" t="s">
        <v>202</v>
      </c>
      <c r="X655" s="1" t="s">
        <v>204</v>
      </c>
      <c r="Y655" s="1">
        <v>64</v>
      </c>
      <c r="Z655" s="1" t="s">
        <v>2730</v>
      </c>
      <c r="AA655" s="1" t="s">
        <v>2720</v>
      </c>
      <c r="AB655" s="1">
        <v>50765103121</v>
      </c>
    </row>
    <row r="656" spans="1:28" ht="13.8">
      <c r="A656" s="331">
        <v>33953</v>
      </c>
      <c r="B656" s="331">
        <v>24375</v>
      </c>
      <c r="C656" s="115">
        <v>46071</v>
      </c>
      <c r="D656" s="1" t="s">
        <v>2087</v>
      </c>
      <c r="E656" s="1" t="s">
        <v>2088</v>
      </c>
      <c r="F656" s="1" t="s">
        <v>126</v>
      </c>
      <c r="G656" s="1" t="s">
        <v>324</v>
      </c>
      <c r="H656" s="1" t="s">
        <v>325</v>
      </c>
      <c r="I656" s="1" t="s">
        <v>1097</v>
      </c>
      <c r="J656" s="1" t="s">
        <v>210</v>
      </c>
      <c r="K656" s="1" t="s">
        <v>1097</v>
      </c>
      <c r="L656" s="2">
        <v>650000</v>
      </c>
      <c r="M656" s="2">
        <v>318500</v>
      </c>
      <c r="N656" s="2">
        <v>0</v>
      </c>
      <c r="O656" s="2">
        <v>13000</v>
      </c>
      <c r="P656" s="2">
        <v>0</v>
      </c>
      <c r="Q656" s="2">
        <v>0</v>
      </c>
      <c r="R656" s="2">
        <v>0</v>
      </c>
      <c r="S656" s="2">
        <v>318500</v>
      </c>
      <c r="T656" s="3">
        <v>0.49</v>
      </c>
      <c r="U656" s="1"/>
      <c r="V656" s="1" t="s">
        <v>2731</v>
      </c>
      <c r="W656" s="1" t="s">
        <v>202</v>
      </c>
      <c r="X656" s="1" t="s">
        <v>277</v>
      </c>
      <c r="Y656" s="1">
        <v>19</v>
      </c>
      <c r="Z656" s="1" t="s">
        <v>2732</v>
      </c>
      <c r="AA656" s="1" t="s">
        <v>975</v>
      </c>
      <c r="AB656" s="1">
        <v>3148783546</v>
      </c>
    </row>
    <row r="657" spans="1:28" ht="13.8">
      <c r="A657" s="331">
        <v>36454</v>
      </c>
      <c r="B657" s="331">
        <v>26544</v>
      </c>
      <c r="C657" s="115">
        <v>46071</v>
      </c>
      <c r="D657" s="1" t="s">
        <v>2342</v>
      </c>
      <c r="E657" s="1" t="s">
        <v>2343</v>
      </c>
      <c r="F657" s="1" t="s">
        <v>127</v>
      </c>
      <c r="G657" s="1">
        <v>890242</v>
      </c>
      <c r="H657" s="1" t="s">
        <v>331</v>
      </c>
      <c r="I657" s="1" t="s">
        <v>972</v>
      </c>
      <c r="J657" s="1" t="s">
        <v>223</v>
      </c>
      <c r="K657" s="1"/>
      <c r="L657" s="2">
        <v>250000</v>
      </c>
      <c r="M657" s="2">
        <v>122500</v>
      </c>
      <c r="N657" s="2">
        <v>0</v>
      </c>
      <c r="O657" s="2">
        <v>5000</v>
      </c>
      <c r="P657" s="2">
        <v>0</v>
      </c>
      <c r="Q657" s="2">
        <v>0</v>
      </c>
      <c r="R657" s="2">
        <v>0</v>
      </c>
      <c r="S657" s="2">
        <v>122500</v>
      </c>
      <c r="T657" s="3">
        <v>0.49</v>
      </c>
      <c r="U657" s="1"/>
      <c r="V657" s="1" t="s">
        <v>2733</v>
      </c>
      <c r="W657" s="1" t="s">
        <v>202</v>
      </c>
      <c r="X657" s="1" t="s">
        <v>248</v>
      </c>
      <c r="Y657" s="1">
        <v>43</v>
      </c>
      <c r="Z657" s="1" t="s">
        <v>2734</v>
      </c>
      <c r="AA657" s="1" t="s">
        <v>975</v>
      </c>
      <c r="AB657" s="1">
        <v>3168143766</v>
      </c>
    </row>
    <row r="658" spans="1:28" ht="13.8">
      <c r="A658" s="331">
        <v>36554</v>
      </c>
      <c r="B658" s="331">
        <v>26732</v>
      </c>
      <c r="C658" s="115">
        <v>46071</v>
      </c>
      <c r="D658" s="1" t="s">
        <v>2735</v>
      </c>
      <c r="E658" s="1" t="s">
        <v>2736</v>
      </c>
      <c r="F658" s="1" t="s">
        <v>126</v>
      </c>
      <c r="G658" s="1">
        <v>890242</v>
      </c>
      <c r="H658" s="1" t="s">
        <v>331</v>
      </c>
      <c r="I658" s="1" t="s">
        <v>972</v>
      </c>
      <c r="J658" s="1" t="s">
        <v>223</v>
      </c>
      <c r="K658" s="1"/>
      <c r="L658" s="2">
        <v>250000</v>
      </c>
      <c r="M658" s="2">
        <v>125000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125000</v>
      </c>
      <c r="T658" s="3">
        <v>0.5</v>
      </c>
      <c r="U658" s="1"/>
      <c r="V658" s="1" t="s">
        <v>2737</v>
      </c>
      <c r="W658" s="1" t="s">
        <v>202</v>
      </c>
      <c r="X658" s="1" t="s">
        <v>277</v>
      </c>
      <c r="Y658" s="1">
        <v>31</v>
      </c>
      <c r="Z658" s="1" t="s">
        <v>2738</v>
      </c>
      <c r="AA658" s="1" t="s">
        <v>975</v>
      </c>
      <c r="AB658" s="1">
        <v>3128940257</v>
      </c>
    </row>
    <row r="659" spans="1:28" ht="13.8">
      <c r="A659" s="331">
        <v>22200</v>
      </c>
      <c r="B659" s="331">
        <v>26527</v>
      </c>
      <c r="C659" s="115">
        <v>46071</v>
      </c>
      <c r="D659" s="1" t="s">
        <v>619</v>
      </c>
      <c r="E659" s="1" t="s">
        <v>620</v>
      </c>
      <c r="F659" s="1" t="s">
        <v>2</v>
      </c>
      <c r="G659" s="1" t="s">
        <v>2100</v>
      </c>
      <c r="H659" s="1" t="s">
        <v>2101</v>
      </c>
      <c r="I659" s="1" t="s">
        <v>1058</v>
      </c>
      <c r="J659" s="1" t="s">
        <v>210</v>
      </c>
      <c r="K659" s="1" t="s">
        <v>1058</v>
      </c>
      <c r="L659" s="2">
        <v>950000</v>
      </c>
      <c r="M659" s="2">
        <v>475000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475000</v>
      </c>
      <c r="T659" s="3">
        <v>0.5</v>
      </c>
      <c r="U659" s="1"/>
      <c r="V659" s="1" t="s">
        <v>2739</v>
      </c>
      <c r="W659" s="1" t="s">
        <v>202</v>
      </c>
      <c r="X659" s="1" t="s">
        <v>319</v>
      </c>
      <c r="Y659" s="1">
        <v>38</v>
      </c>
      <c r="Z659" s="1" t="s">
        <v>2740</v>
      </c>
      <c r="AA659" s="1" t="s">
        <v>975</v>
      </c>
      <c r="AB659" s="1">
        <v>3104272963</v>
      </c>
    </row>
    <row r="660" spans="1:28" ht="13.8">
      <c r="A660" s="331">
        <v>22200</v>
      </c>
      <c r="B660" s="331">
        <v>26528</v>
      </c>
      <c r="C660" s="115">
        <v>46071</v>
      </c>
      <c r="D660" s="1" t="s">
        <v>619</v>
      </c>
      <c r="E660" s="1" t="s">
        <v>620</v>
      </c>
      <c r="F660" s="1" t="s">
        <v>2</v>
      </c>
      <c r="G660" s="1" t="s">
        <v>555</v>
      </c>
      <c r="H660" s="1" t="s">
        <v>556</v>
      </c>
      <c r="I660" s="1" t="s">
        <v>1065</v>
      </c>
      <c r="J660" s="1" t="s">
        <v>210</v>
      </c>
      <c r="K660" s="1"/>
      <c r="L660" s="2">
        <v>1200000</v>
      </c>
      <c r="M660" s="2">
        <v>469350</v>
      </c>
      <c r="N660" s="2">
        <v>222000</v>
      </c>
      <c r="O660" s="2">
        <v>0</v>
      </c>
      <c r="P660" s="2">
        <v>0</v>
      </c>
      <c r="Q660" s="2">
        <v>39300</v>
      </c>
      <c r="R660" s="2">
        <v>0</v>
      </c>
      <c r="S660" s="2">
        <v>508650</v>
      </c>
      <c r="T660" s="3">
        <v>0.423875</v>
      </c>
      <c r="U660" s="1"/>
      <c r="V660" s="1" t="s">
        <v>2739</v>
      </c>
      <c r="W660" s="1" t="s">
        <v>202</v>
      </c>
      <c r="X660" s="1" t="s">
        <v>319</v>
      </c>
      <c r="Y660" s="1">
        <v>38</v>
      </c>
      <c r="Z660" s="1" t="s">
        <v>2740</v>
      </c>
      <c r="AA660" s="1" t="s">
        <v>975</v>
      </c>
      <c r="AB660" s="1">
        <v>3104272963</v>
      </c>
    </row>
    <row r="661" spans="1:28" ht="13.8">
      <c r="A661" s="331">
        <v>22200</v>
      </c>
      <c r="B661" s="331">
        <v>26529</v>
      </c>
      <c r="C661" s="115">
        <v>46071</v>
      </c>
      <c r="D661" s="1" t="s">
        <v>619</v>
      </c>
      <c r="E661" s="1" t="s">
        <v>620</v>
      </c>
      <c r="F661" s="1" t="s">
        <v>2</v>
      </c>
      <c r="G661" s="1" t="s">
        <v>496</v>
      </c>
      <c r="H661" s="1" t="s">
        <v>497</v>
      </c>
      <c r="I661" s="1" t="s">
        <v>983</v>
      </c>
      <c r="J661" s="1" t="s">
        <v>210</v>
      </c>
      <c r="K661" s="1" t="s">
        <v>1058</v>
      </c>
      <c r="L661" s="2">
        <v>600000</v>
      </c>
      <c r="M661" s="2">
        <v>300000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300000</v>
      </c>
      <c r="T661" s="3">
        <v>0.5</v>
      </c>
      <c r="U661" s="1"/>
      <c r="V661" s="1" t="s">
        <v>2739</v>
      </c>
      <c r="W661" s="1" t="s">
        <v>202</v>
      </c>
      <c r="X661" s="1" t="s">
        <v>319</v>
      </c>
      <c r="Y661" s="1">
        <v>38</v>
      </c>
      <c r="Z661" s="1" t="s">
        <v>2740</v>
      </c>
      <c r="AA661" s="1" t="s">
        <v>975</v>
      </c>
      <c r="AB661" s="1">
        <v>3104272963</v>
      </c>
    </row>
    <row r="662" spans="1:28" ht="13.8">
      <c r="A662" s="331">
        <v>36555</v>
      </c>
      <c r="B662" s="331">
        <v>26733</v>
      </c>
      <c r="C662" s="115">
        <v>46071</v>
      </c>
      <c r="D662" s="1" t="s">
        <v>2741</v>
      </c>
      <c r="E662" s="1" t="s">
        <v>2742</v>
      </c>
      <c r="F662" s="1" t="s">
        <v>126</v>
      </c>
      <c r="G662" s="1">
        <v>890242</v>
      </c>
      <c r="H662" s="1" t="s">
        <v>331</v>
      </c>
      <c r="I662" s="1" t="s">
        <v>972</v>
      </c>
      <c r="J662" s="1" t="s">
        <v>223</v>
      </c>
      <c r="K662" s="1"/>
      <c r="L662" s="2">
        <v>250000</v>
      </c>
      <c r="M662" s="2">
        <v>122500</v>
      </c>
      <c r="N662" s="2">
        <v>0</v>
      </c>
      <c r="O662" s="2">
        <v>5000</v>
      </c>
      <c r="P662" s="2">
        <v>0</v>
      </c>
      <c r="Q662" s="2">
        <v>0</v>
      </c>
      <c r="R662" s="2">
        <v>0</v>
      </c>
      <c r="S662" s="2">
        <v>122500</v>
      </c>
      <c r="T662" s="3">
        <v>0.49</v>
      </c>
      <c r="U662" s="1"/>
      <c r="V662" s="1" t="s">
        <v>2743</v>
      </c>
      <c r="W662" s="1" t="s">
        <v>202</v>
      </c>
      <c r="X662" s="1" t="s">
        <v>319</v>
      </c>
      <c r="Y662" s="1">
        <v>24</v>
      </c>
      <c r="Z662" s="1" t="s">
        <v>2744</v>
      </c>
      <c r="AA662" s="1" t="s">
        <v>975</v>
      </c>
      <c r="AB662" s="1">
        <v>3113384129</v>
      </c>
    </row>
    <row r="663" spans="1:28" ht="13.8">
      <c r="A663" s="331">
        <v>35944</v>
      </c>
      <c r="B663" s="331">
        <v>25601</v>
      </c>
      <c r="C663" s="115">
        <v>46071</v>
      </c>
      <c r="D663" s="1" t="s">
        <v>752</v>
      </c>
      <c r="E663" s="1" t="s">
        <v>753</v>
      </c>
      <c r="F663" s="1" t="s">
        <v>127</v>
      </c>
      <c r="G663" s="1">
        <v>890303</v>
      </c>
      <c r="H663" s="1" t="s">
        <v>221</v>
      </c>
      <c r="I663" s="1" t="s">
        <v>1012</v>
      </c>
      <c r="J663" s="1" t="s">
        <v>223</v>
      </c>
      <c r="K663" s="1"/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3">
        <v>0</v>
      </c>
      <c r="U663" s="1"/>
      <c r="V663" s="1"/>
      <c r="W663" s="1" t="s">
        <v>63</v>
      </c>
      <c r="X663" s="1" t="s">
        <v>277</v>
      </c>
      <c r="Y663" s="1">
        <v>36</v>
      </c>
      <c r="Z663" s="1"/>
      <c r="AA663" s="1" t="s">
        <v>975</v>
      </c>
      <c r="AB663" s="1" t="s">
        <v>2745</v>
      </c>
    </row>
    <row r="664" spans="1:28" ht="13.8">
      <c r="A664" s="331">
        <v>36298</v>
      </c>
      <c r="B664" s="331">
        <v>26261</v>
      </c>
      <c r="C664" s="115">
        <v>46071</v>
      </c>
      <c r="D664" s="1" t="s">
        <v>2746</v>
      </c>
      <c r="E664" s="1" t="s">
        <v>2747</v>
      </c>
      <c r="F664" s="1" t="s">
        <v>107</v>
      </c>
      <c r="G664" s="1">
        <v>861416</v>
      </c>
      <c r="H664" s="1" t="s">
        <v>1080</v>
      </c>
      <c r="I664" s="1" t="s">
        <v>1081</v>
      </c>
      <c r="J664" s="1" t="s">
        <v>210</v>
      </c>
      <c r="K664" s="1"/>
      <c r="L664" s="2">
        <v>0</v>
      </c>
      <c r="M664" s="2">
        <v>0</v>
      </c>
      <c r="N664" s="2">
        <v>1393793</v>
      </c>
      <c r="O664" s="2">
        <v>0</v>
      </c>
      <c r="P664" s="2">
        <v>0</v>
      </c>
      <c r="Q664" s="2">
        <v>431777</v>
      </c>
      <c r="R664" s="2">
        <v>0</v>
      </c>
      <c r="S664" s="2">
        <v>-1393793</v>
      </c>
      <c r="T664" s="3">
        <v>0</v>
      </c>
      <c r="U664" s="1"/>
      <c r="V664" s="1"/>
      <c r="W664" s="1" t="s">
        <v>63</v>
      </c>
      <c r="X664" s="1" t="s">
        <v>225</v>
      </c>
      <c r="Y664" s="1">
        <v>27</v>
      </c>
      <c r="Z664" s="1"/>
      <c r="AA664" s="1" t="s">
        <v>975</v>
      </c>
      <c r="AB664" s="1">
        <v>3136630103</v>
      </c>
    </row>
    <row r="665" spans="1:28" ht="13.8">
      <c r="A665" s="331">
        <v>36298</v>
      </c>
      <c r="B665" s="331">
        <v>26781</v>
      </c>
      <c r="C665" s="115">
        <v>46071</v>
      </c>
      <c r="D665" s="1" t="s">
        <v>2746</v>
      </c>
      <c r="E665" s="1" t="s">
        <v>2747</v>
      </c>
      <c r="F665" s="1" t="s">
        <v>107</v>
      </c>
      <c r="G665" s="1">
        <v>861414</v>
      </c>
      <c r="H665" s="1" t="s">
        <v>405</v>
      </c>
      <c r="I665" s="1" t="s">
        <v>1081</v>
      </c>
      <c r="J665" s="1" t="s">
        <v>210</v>
      </c>
      <c r="K665" s="1"/>
      <c r="L665" s="2">
        <v>0</v>
      </c>
      <c r="M665" s="2">
        <v>0</v>
      </c>
      <c r="N665" s="2">
        <v>1013733.27</v>
      </c>
      <c r="O665" s="2">
        <v>0</v>
      </c>
      <c r="P665" s="2">
        <v>0</v>
      </c>
      <c r="Q665" s="2">
        <v>533978.73</v>
      </c>
      <c r="R665" s="2">
        <v>0</v>
      </c>
      <c r="S665" s="2">
        <v>-1013733.27</v>
      </c>
      <c r="T665" s="3">
        <v>0</v>
      </c>
      <c r="U665" s="1"/>
      <c r="V665" s="1"/>
      <c r="W665" s="1" t="s">
        <v>63</v>
      </c>
      <c r="X665" s="1" t="s">
        <v>225</v>
      </c>
      <c r="Y665" s="1">
        <v>27</v>
      </c>
      <c r="Z665" s="1"/>
      <c r="AA665" s="1" t="s">
        <v>975</v>
      </c>
      <c r="AB665" s="1">
        <v>3136630103</v>
      </c>
    </row>
    <row r="666" spans="1:28" ht="13.8">
      <c r="A666" s="331">
        <v>36588</v>
      </c>
      <c r="B666" s="331">
        <v>26787</v>
      </c>
      <c r="C666" s="115">
        <v>46071</v>
      </c>
      <c r="D666" s="1" t="s">
        <v>2735</v>
      </c>
      <c r="E666" s="1" t="s">
        <v>2736</v>
      </c>
      <c r="F666" s="1" t="s">
        <v>126</v>
      </c>
      <c r="G666" s="1" t="s">
        <v>362</v>
      </c>
      <c r="H666" s="1" t="s">
        <v>363</v>
      </c>
      <c r="I666" s="1" t="s">
        <v>1062</v>
      </c>
      <c r="J666" s="1" t="s">
        <v>210</v>
      </c>
      <c r="K666" s="1"/>
      <c r="L666" s="2">
        <v>1200000</v>
      </c>
      <c r="M666" s="2">
        <v>305883</v>
      </c>
      <c r="N666" s="2">
        <v>499953.07</v>
      </c>
      <c r="O666" s="2">
        <v>0</v>
      </c>
      <c r="P666" s="2">
        <v>0</v>
      </c>
      <c r="Q666" s="2">
        <v>88280.93</v>
      </c>
      <c r="R666" s="2">
        <v>0</v>
      </c>
      <c r="S666" s="2">
        <v>394163.93</v>
      </c>
      <c r="T666" s="3">
        <v>0.32846994166666998</v>
      </c>
      <c r="U666" s="1"/>
      <c r="V666" s="1" t="s">
        <v>2748</v>
      </c>
      <c r="W666" s="1" t="s">
        <v>202</v>
      </c>
      <c r="X666" s="1" t="s">
        <v>277</v>
      </c>
      <c r="Y666" s="1">
        <v>31</v>
      </c>
      <c r="Z666" s="1" t="s">
        <v>2749</v>
      </c>
      <c r="AA666" s="1" t="s">
        <v>975</v>
      </c>
      <c r="AB666" s="1">
        <v>3128940257</v>
      </c>
    </row>
    <row r="667" spans="1:28" ht="13.8">
      <c r="A667" s="331">
        <v>35636</v>
      </c>
      <c r="B667" s="331">
        <v>25054</v>
      </c>
      <c r="C667" s="115">
        <v>46071</v>
      </c>
      <c r="D667" s="1" t="s">
        <v>563</v>
      </c>
      <c r="E667" s="1" t="s">
        <v>564</v>
      </c>
      <c r="F667" s="1" t="s">
        <v>127</v>
      </c>
      <c r="G667" s="1" t="s">
        <v>555</v>
      </c>
      <c r="H667" s="1" t="s">
        <v>556</v>
      </c>
      <c r="I667" s="1" t="s">
        <v>1065</v>
      </c>
      <c r="J667" s="1" t="s">
        <v>210</v>
      </c>
      <c r="K667" s="1"/>
      <c r="L667" s="2">
        <v>600000</v>
      </c>
      <c r="M667" s="2">
        <v>206900</v>
      </c>
      <c r="N667" s="2">
        <v>148000</v>
      </c>
      <c r="O667" s="2">
        <v>12000</v>
      </c>
      <c r="P667" s="2">
        <v>0</v>
      </c>
      <c r="Q667" s="2">
        <v>26200</v>
      </c>
      <c r="R667" s="2">
        <v>0</v>
      </c>
      <c r="S667" s="2">
        <v>233100</v>
      </c>
      <c r="T667" s="3">
        <v>0.38850000000000001</v>
      </c>
      <c r="U667" s="1"/>
      <c r="V667" s="1" t="s">
        <v>2750</v>
      </c>
      <c r="W667" s="1" t="s">
        <v>202</v>
      </c>
      <c r="X667" s="1" t="s">
        <v>213</v>
      </c>
      <c r="Y667" s="1">
        <v>26</v>
      </c>
      <c r="Z667" s="1" t="s">
        <v>2751</v>
      </c>
      <c r="AA667" s="1" t="s">
        <v>975</v>
      </c>
      <c r="AB667" s="1">
        <v>3108416939</v>
      </c>
    </row>
    <row r="668" spans="1:28" ht="13.8">
      <c r="A668" s="331">
        <v>36298</v>
      </c>
      <c r="B668" s="331">
        <v>26782</v>
      </c>
      <c r="C668" s="115">
        <v>46071</v>
      </c>
      <c r="D668" s="1" t="s">
        <v>2746</v>
      </c>
      <c r="E668" s="1" t="s">
        <v>2747</v>
      </c>
      <c r="F668" s="1" t="s">
        <v>107</v>
      </c>
      <c r="G668" s="1">
        <v>861411</v>
      </c>
      <c r="H668" s="1" t="s">
        <v>406</v>
      </c>
      <c r="I668" s="1" t="s">
        <v>1081</v>
      </c>
      <c r="J668" s="1" t="s">
        <v>210</v>
      </c>
      <c r="K668" s="1"/>
      <c r="L668" s="2">
        <v>0</v>
      </c>
      <c r="M668" s="2">
        <v>0</v>
      </c>
      <c r="N668" s="2">
        <v>246943.2</v>
      </c>
      <c r="O668" s="2">
        <v>0</v>
      </c>
      <c r="P668" s="2">
        <v>0</v>
      </c>
      <c r="Q668" s="2">
        <v>130756.8</v>
      </c>
      <c r="R668" s="2">
        <v>0</v>
      </c>
      <c r="S668" s="2">
        <v>-246943.2</v>
      </c>
      <c r="T668" s="3">
        <v>0</v>
      </c>
      <c r="U668" s="1"/>
      <c r="V668" s="1"/>
      <c r="W668" s="1" t="s">
        <v>63</v>
      </c>
      <c r="X668" s="1" t="s">
        <v>225</v>
      </c>
      <c r="Y668" s="1">
        <v>27</v>
      </c>
      <c r="Z668" s="1"/>
      <c r="AA668" s="1" t="s">
        <v>975</v>
      </c>
      <c r="AB668" s="1">
        <v>3136630103</v>
      </c>
    </row>
    <row r="669" spans="1:28" ht="13.8">
      <c r="A669" s="331">
        <v>33205</v>
      </c>
      <c r="B669" s="331">
        <v>25656</v>
      </c>
      <c r="C669" s="115">
        <v>46071</v>
      </c>
      <c r="D669" s="1" t="s">
        <v>765</v>
      </c>
      <c r="E669" s="1" t="s">
        <v>766</v>
      </c>
      <c r="F669" s="1" t="s">
        <v>127</v>
      </c>
      <c r="G669" s="1" t="s">
        <v>597</v>
      </c>
      <c r="H669" s="1" t="s">
        <v>598</v>
      </c>
      <c r="I669" s="1" t="s">
        <v>1033</v>
      </c>
      <c r="J669" s="1" t="s">
        <v>210</v>
      </c>
      <c r="K669" s="1" t="s">
        <v>1033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3">
        <v>0</v>
      </c>
      <c r="U669" s="1"/>
      <c r="V669" s="1"/>
      <c r="W669" s="1" t="s">
        <v>63</v>
      </c>
      <c r="X669" s="1" t="s">
        <v>225</v>
      </c>
      <c r="Y669" s="1">
        <v>64</v>
      </c>
      <c r="Z669" s="1"/>
      <c r="AA669" s="1" t="s">
        <v>975</v>
      </c>
      <c r="AB669" s="1">
        <v>3008804675</v>
      </c>
    </row>
    <row r="670" spans="1:28" ht="13.8">
      <c r="A670" s="331">
        <v>36430</v>
      </c>
      <c r="B670" s="331">
        <v>26494</v>
      </c>
      <c r="C670" s="115">
        <v>46071</v>
      </c>
      <c r="D670" s="1" t="s">
        <v>2162</v>
      </c>
      <c r="E670" s="1" t="s">
        <v>2163</v>
      </c>
      <c r="F670" s="1" t="s">
        <v>126</v>
      </c>
      <c r="G670" s="1">
        <v>890242</v>
      </c>
      <c r="H670" s="1" t="s">
        <v>331</v>
      </c>
      <c r="I670" s="1" t="s">
        <v>972</v>
      </c>
      <c r="J670" s="1" t="s">
        <v>223</v>
      </c>
      <c r="K670" s="1"/>
      <c r="L670" s="2">
        <v>250000</v>
      </c>
      <c r="M670" s="2">
        <v>122500</v>
      </c>
      <c r="N670" s="2">
        <v>0</v>
      </c>
      <c r="O670" s="2">
        <v>5000</v>
      </c>
      <c r="P670" s="2">
        <v>0</v>
      </c>
      <c r="Q670" s="2">
        <v>0</v>
      </c>
      <c r="R670" s="2">
        <v>0</v>
      </c>
      <c r="S670" s="2">
        <v>122500</v>
      </c>
      <c r="T670" s="3">
        <v>0.49</v>
      </c>
      <c r="U670" s="1"/>
      <c r="V670" s="1" t="s">
        <v>2752</v>
      </c>
      <c r="W670" s="1" t="s">
        <v>202</v>
      </c>
      <c r="X670" s="1" t="s">
        <v>225</v>
      </c>
      <c r="Y670" s="1">
        <v>60</v>
      </c>
      <c r="Z670" s="1" t="s">
        <v>2753</v>
      </c>
      <c r="AA670" s="1" t="s">
        <v>975</v>
      </c>
      <c r="AB670" s="1">
        <v>3137607225</v>
      </c>
    </row>
    <row r="671" spans="1:28" ht="13.8">
      <c r="A671" s="331">
        <v>36597</v>
      </c>
      <c r="B671" s="331">
        <v>26801</v>
      </c>
      <c r="C671" s="115">
        <v>46071</v>
      </c>
      <c r="D671" s="1" t="s">
        <v>2162</v>
      </c>
      <c r="E671" s="1" t="s">
        <v>2163</v>
      </c>
      <c r="F671" s="1" t="s">
        <v>126</v>
      </c>
      <c r="G671" s="1">
        <v>861411</v>
      </c>
      <c r="H671" s="1" t="s">
        <v>406</v>
      </c>
      <c r="I671" s="1" t="s">
        <v>1081</v>
      </c>
      <c r="J671" s="1" t="s">
        <v>210</v>
      </c>
      <c r="K671" s="1"/>
      <c r="L671" s="2">
        <v>1760000</v>
      </c>
      <c r="M671" s="2">
        <v>585420</v>
      </c>
      <c r="N671" s="2">
        <v>362183.36</v>
      </c>
      <c r="O671" s="2">
        <v>35200</v>
      </c>
      <c r="P671" s="2">
        <v>0</v>
      </c>
      <c r="Q671" s="2">
        <v>191776.64000000001</v>
      </c>
      <c r="R671" s="2">
        <v>0</v>
      </c>
      <c r="S671" s="2">
        <v>777196.64</v>
      </c>
      <c r="T671" s="3">
        <v>0.44158900000000001</v>
      </c>
      <c r="U671" s="1"/>
      <c r="V671" s="1" t="s">
        <v>2754</v>
      </c>
      <c r="W671" s="1" t="s">
        <v>202</v>
      </c>
      <c r="X671" s="1" t="s">
        <v>225</v>
      </c>
      <c r="Y671" s="1">
        <v>60</v>
      </c>
      <c r="Z671" s="1" t="s">
        <v>2755</v>
      </c>
      <c r="AA671" s="1" t="s">
        <v>975</v>
      </c>
      <c r="AB671" s="1">
        <v>3137607225</v>
      </c>
    </row>
    <row r="672" spans="1:28" ht="13.8">
      <c r="A672" s="331">
        <v>36599</v>
      </c>
      <c r="B672" s="331">
        <v>26803</v>
      </c>
      <c r="C672" s="115">
        <v>46071</v>
      </c>
      <c r="D672" s="1" t="s">
        <v>1349</v>
      </c>
      <c r="E672" s="1" t="s">
        <v>1350</v>
      </c>
      <c r="F672" s="1" t="s">
        <v>126</v>
      </c>
      <c r="G672" s="1">
        <v>861411</v>
      </c>
      <c r="H672" s="1" t="s">
        <v>406</v>
      </c>
      <c r="I672" s="1" t="s">
        <v>1081</v>
      </c>
      <c r="J672" s="1" t="s">
        <v>210</v>
      </c>
      <c r="K672" s="1"/>
      <c r="L672" s="2">
        <v>0</v>
      </c>
      <c r="M672" s="2">
        <v>0</v>
      </c>
      <c r="N672" s="2">
        <v>24694.32</v>
      </c>
      <c r="O672" s="2">
        <v>0</v>
      </c>
      <c r="P672" s="2">
        <v>0</v>
      </c>
      <c r="Q672" s="2">
        <v>13075.68</v>
      </c>
      <c r="R672" s="2">
        <v>0</v>
      </c>
      <c r="S672" s="2">
        <v>-24694.32</v>
      </c>
      <c r="T672" s="3">
        <v>0</v>
      </c>
      <c r="U672" s="1"/>
      <c r="V672" s="1"/>
      <c r="W672" s="1" t="s">
        <v>63</v>
      </c>
      <c r="X672" s="1" t="s">
        <v>319</v>
      </c>
      <c r="Y672" s="1">
        <v>44</v>
      </c>
      <c r="Z672" s="1"/>
      <c r="AA672" s="1" t="s">
        <v>975</v>
      </c>
      <c r="AB672" s="1">
        <v>3117618480</v>
      </c>
    </row>
    <row r="673" spans="1:28" ht="13.8">
      <c r="A673" s="331">
        <v>36209</v>
      </c>
      <c r="B673" s="331">
        <v>26081</v>
      </c>
      <c r="C673" s="115">
        <v>46071</v>
      </c>
      <c r="D673" s="1" t="s">
        <v>1349</v>
      </c>
      <c r="E673" s="1" t="s">
        <v>1350</v>
      </c>
      <c r="F673" s="1" t="s">
        <v>126</v>
      </c>
      <c r="G673" s="1">
        <v>890303</v>
      </c>
      <c r="H673" s="1" t="s">
        <v>221</v>
      </c>
      <c r="I673" s="1" t="s">
        <v>1012</v>
      </c>
      <c r="J673" s="1" t="s">
        <v>223</v>
      </c>
      <c r="K673" s="1"/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3">
        <v>0</v>
      </c>
      <c r="U673" s="1"/>
      <c r="V673" s="1"/>
      <c r="W673" s="1" t="s">
        <v>63</v>
      </c>
      <c r="X673" s="1" t="s">
        <v>319</v>
      </c>
      <c r="Y673" s="1">
        <v>44</v>
      </c>
      <c r="Z673" s="1"/>
      <c r="AA673" s="1" t="s">
        <v>975</v>
      </c>
      <c r="AB673" s="1">
        <v>3117618480</v>
      </c>
    </row>
    <row r="674" spans="1:28" ht="13.8">
      <c r="A674" s="331">
        <v>36093</v>
      </c>
      <c r="B674" s="331">
        <v>25882</v>
      </c>
      <c r="C674" s="115">
        <v>46071</v>
      </c>
      <c r="D674" s="1" t="s">
        <v>895</v>
      </c>
      <c r="E674" s="1" t="s">
        <v>896</v>
      </c>
      <c r="F674" s="1" t="s">
        <v>126</v>
      </c>
      <c r="G674" s="1">
        <v>890303</v>
      </c>
      <c r="H674" s="1" t="s">
        <v>221</v>
      </c>
      <c r="I674" s="1" t="s">
        <v>1012</v>
      </c>
      <c r="J674" s="1" t="s">
        <v>223</v>
      </c>
      <c r="K674" s="1"/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3">
        <v>0</v>
      </c>
      <c r="U674" s="1"/>
      <c r="V674" s="1"/>
      <c r="W674" s="1" t="s">
        <v>63</v>
      </c>
      <c r="X674" s="1" t="s">
        <v>213</v>
      </c>
      <c r="Y674" s="1">
        <v>15</v>
      </c>
      <c r="Z674" s="1"/>
      <c r="AA674" s="1" t="s">
        <v>975</v>
      </c>
      <c r="AB674" s="1">
        <v>3011196577</v>
      </c>
    </row>
    <row r="675" spans="1:28" ht="13.8">
      <c r="A675" s="331">
        <v>36072</v>
      </c>
      <c r="B675" s="331">
        <v>26388</v>
      </c>
      <c r="C675" s="115">
        <v>46071</v>
      </c>
      <c r="D675" s="1" t="s">
        <v>872</v>
      </c>
      <c r="E675" s="1" t="s">
        <v>2003</v>
      </c>
      <c r="F675" s="1" t="s">
        <v>4</v>
      </c>
      <c r="G675" s="1" t="s">
        <v>237</v>
      </c>
      <c r="H675" s="1" t="s">
        <v>238</v>
      </c>
      <c r="I675" s="1" t="s">
        <v>1209</v>
      </c>
      <c r="J675" s="1" t="s">
        <v>210</v>
      </c>
      <c r="K675" s="1" t="s">
        <v>1209</v>
      </c>
      <c r="L675" s="2">
        <v>350000</v>
      </c>
      <c r="M675" s="2">
        <v>171500</v>
      </c>
      <c r="N675" s="2">
        <v>0</v>
      </c>
      <c r="O675" s="2">
        <v>7000</v>
      </c>
      <c r="P675" s="2">
        <v>0</v>
      </c>
      <c r="Q675" s="2">
        <v>0</v>
      </c>
      <c r="R675" s="2">
        <v>0</v>
      </c>
      <c r="S675" s="2">
        <v>171500</v>
      </c>
      <c r="T675" s="3">
        <v>0.49</v>
      </c>
      <c r="U675" s="1"/>
      <c r="V675" s="1" t="s">
        <v>2756</v>
      </c>
      <c r="W675" s="1" t="s">
        <v>202</v>
      </c>
      <c r="X675" s="1" t="s">
        <v>213</v>
      </c>
      <c r="Y675" s="1">
        <v>33</v>
      </c>
      <c r="Z675" s="1" t="s">
        <v>2757</v>
      </c>
      <c r="AA675" s="1" t="s">
        <v>975</v>
      </c>
      <c r="AB675" s="1">
        <v>3008177256</v>
      </c>
    </row>
    <row r="676" spans="1:28" ht="13.8">
      <c r="A676" s="331">
        <v>36072</v>
      </c>
      <c r="B676" s="331">
        <v>26389</v>
      </c>
      <c r="C676" s="115">
        <v>46071</v>
      </c>
      <c r="D676" s="1" t="s">
        <v>872</v>
      </c>
      <c r="E676" s="1" t="s">
        <v>2003</v>
      </c>
      <c r="F676" s="1" t="s">
        <v>4</v>
      </c>
      <c r="G676" s="1" t="s">
        <v>873</v>
      </c>
      <c r="H676" s="1" t="s">
        <v>874</v>
      </c>
      <c r="I676" s="1" t="s">
        <v>1209</v>
      </c>
      <c r="J676" s="1" t="s">
        <v>210</v>
      </c>
      <c r="K676" s="1" t="s">
        <v>1209</v>
      </c>
      <c r="L676" s="2">
        <v>500000</v>
      </c>
      <c r="M676" s="2">
        <v>245000</v>
      </c>
      <c r="N676" s="2">
        <v>0</v>
      </c>
      <c r="O676" s="2">
        <v>10000</v>
      </c>
      <c r="P676" s="2">
        <v>0</v>
      </c>
      <c r="Q676" s="2">
        <v>0</v>
      </c>
      <c r="R676" s="2">
        <v>0</v>
      </c>
      <c r="S676" s="2">
        <v>245000</v>
      </c>
      <c r="T676" s="3">
        <v>0.49</v>
      </c>
      <c r="U676" s="1"/>
      <c r="V676" s="1" t="s">
        <v>2756</v>
      </c>
      <c r="W676" s="1" t="s">
        <v>202</v>
      </c>
      <c r="X676" s="1" t="s">
        <v>213</v>
      </c>
      <c r="Y676" s="1">
        <v>33</v>
      </c>
      <c r="Z676" s="1" t="s">
        <v>2757</v>
      </c>
      <c r="AA676" s="1" t="s">
        <v>975</v>
      </c>
      <c r="AB676" s="1">
        <v>3008177256</v>
      </c>
    </row>
    <row r="677" spans="1:28" ht="13.8">
      <c r="A677" s="331">
        <v>26515</v>
      </c>
      <c r="B677" s="331">
        <v>26707</v>
      </c>
      <c r="C677" s="115">
        <v>46071</v>
      </c>
      <c r="D677" s="1" t="s">
        <v>2131</v>
      </c>
      <c r="E677" s="1" t="s">
        <v>2132</v>
      </c>
      <c r="F677" s="1" t="s">
        <v>4</v>
      </c>
      <c r="G677" s="1" t="s">
        <v>255</v>
      </c>
      <c r="H677" s="1" t="s">
        <v>256</v>
      </c>
      <c r="I677" s="1" t="s">
        <v>256</v>
      </c>
      <c r="J677" s="1" t="s">
        <v>210</v>
      </c>
      <c r="K677" s="1" t="s">
        <v>1066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3">
        <v>0</v>
      </c>
      <c r="U677" s="1"/>
      <c r="V677" s="1"/>
      <c r="W677" s="1" t="s">
        <v>63</v>
      </c>
      <c r="X677" s="1" t="s">
        <v>225</v>
      </c>
      <c r="Y677" s="1">
        <v>52</v>
      </c>
      <c r="Z677" s="1"/>
      <c r="AA677" s="1" t="s">
        <v>975</v>
      </c>
      <c r="AB677" s="1">
        <v>3176470234</v>
      </c>
    </row>
    <row r="678" spans="1:28" ht="13.8">
      <c r="A678" s="332">
        <v>36587</v>
      </c>
      <c r="B678" s="332">
        <v>26786</v>
      </c>
      <c r="C678" s="38">
        <v>46071</v>
      </c>
      <c r="D678" s="4" t="s">
        <v>579</v>
      </c>
      <c r="E678" s="4" t="s">
        <v>580</v>
      </c>
      <c r="F678" s="4" t="s">
        <v>4</v>
      </c>
      <c r="G678" s="4" t="s">
        <v>362</v>
      </c>
      <c r="H678" s="4" t="s">
        <v>363</v>
      </c>
      <c r="I678" s="4" t="s">
        <v>1062</v>
      </c>
      <c r="J678" s="4" t="s">
        <v>210</v>
      </c>
      <c r="K678" s="4"/>
      <c r="L678" s="5">
        <v>1200000</v>
      </c>
      <c r="M678" s="5">
        <v>600000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600000</v>
      </c>
      <c r="T678" s="6" t="s">
        <v>224</v>
      </c>
      <c r="U678" s="1"/>
      <c r="V678" s="1" t="s">
        <v>2758</v>
      </c>
      <c r="W678" s="1" t="s">
        <v>202</v>
      </c>
      <c r="X678" s="1" t="s">
        <v>213</v>
      </c>
      <c r="Y678" s="1">
        <v>36</v>
      </c>
      <c r="Z678" s="1" t="s">
        <v>2759</v>
      </c>
      <c r="AA678" s="1" t="s">
        <v>975</v>
      </c>
      <c r="AB678" s="1">
        <v>3135030409</v>
      </c>
    </row>
    <row r="679" spans="1:28" ht="13.8">
      <c r="A679" s="332">
        <v>36582</v>
      </c>
      <c r="B679" s="332">
        <v>26776</v>
      </c>
      <c r="C679" s="38">
        <v>46071</v>
      </c>
      <c r="D679" s="4" t="s">
        <v>2760</v>
      </c>
      <c r="E679" s="4" t="s">
        <v>2761</v>
      </c>
      <c r="F679" s="4" t="s">
        <v>4</v>
      </c>
      <c r="G679" s="4">
        <v>861411</v>
      </c>
      <c r="H679" s="4" t="s">
        <v>406</v>
      </c>
      <c r="I679" s="4" t="s">
        <v>1081</v>
      </c>
      <c r="J679" s="4" t="s">
        <v>210</v>
      </c>
      <c r="K679" s="4"/>
      <c r="L679" s="5">
        <v>1000000</v>
      </c>
      <c r="M679" s="5">
        <v>490000</v>
      </c>
      <c r="N679" s="5">
        <v>0</v>
      </c>
      <c r="O679" s="5">
        <v>20000</v>
      </c>
      <c r="P679" s="5">
        <v>0</v>
      </c>
      <c r="Q679" s="5">
        <v>0</v>
      </c>
      <c r="R679" s="5">
        <v>0</v>
      </c>
      <c r="S679" s="5">
        <v>490000</v>
      </c>
      <c r="T679" s="6" t="s">
        <v>224</v>
      </c>
      <c r="U679" s="1"/>
      <c r="V679" s="1" t="s">
        <v>2762</v>
      </c>
      <c r="W679" s="1" t="s">
        <v>202</v>
      </c>
      <c r="X679" s="1" t="s">
        <v>225</v>
      </c>
      <c r="Y679" s="1">
        <v>39</v>
      </c>
      <c r="Z679" s="1" t="s">
        <v>2763</v>
      </c>
      <c r="AA679" s="1" t="s">
        <v>975</v>
      </c>
      <c r="AB679" s="1">
        <v>3013632955</v>
      </c>
    </row>
    <row r="680" spans="1:28" ht="13.8">
      <c r="A680" s="331">
        <v>36562</v>
      </c>
      <c r="B680" s="331">
        <v>26746</v>
      </c>
      <c r="C680" s="115">
        <v>46072</v>
      </c>
      <c r="D680" s="1" t="s">
        <v>2764</v>
      </c>
      <c r="E680" s="1" t="s">
        <v>2765</v>
      </c>
      <c r="F680" s="1" t="s">
        <v>126</v>
      </c>
      <c r="G680" s="1">
        <v>890242</v>
      </c>
      <c r="H680" s="1" t="s">
        <v>331</v>
      </c>
      <c r="I680" s="1" t="s">
        <v>972</v>
      </c>
      <c r="J680" s="1" t="s">
        <v>223</v>
      </c>
      <c r="K680" s="1"/>
      <c r="L680" s="2">
        <v>250000</v>
      </c>
      <c r="M680" s="2">
        <v>122500</v>
      </c>
      <c r="N680" s="2">
        <v>0</v>
      </c>
      <c r="O680" s="2">
        <v>5000</v>
      </c>
      <c r="P680" s="2">
        <v>0</v>
      </c>
      <c r="Q680" s="2">
        <v>0</v>
      </c>
      <c r="R680" s="2">
        <v>0</v>
      </c>
      <c r="S680" s="2">
        <v>122500</v>
      </c>
      <c r="T680" s="3">
        <v>0.49</v>
      </c>
      <c r="U680" s="1"/>
      <c r="V680" s="1" t="s">
        <v>2766</v>
      </c>
      <c r="W680" s="1" t="s">
        <v>202</v>
      </c>
      <c r="X680" s="1" t="s">
        <v>277</v>
      </c>
      <c r="Y680" s="1">
        <v>24</v>
      </c>
      <c r="Z680" s="1" t="s">
        <v>2767</v>
      </c>
      <c r="AA680" s="1" t="s">
        <v>975</v>
      </c>
      <c r="AB680" s="1">
        <v>3043563724</v>
      </c>
    </row>
    <row r="681" spans="1:28" ht="13.8">
      <c r="A681" s="331">
        <v>36410</v>
      </c>
      <c r="B681" s="331">
        <v>26464</v>
      </c>
      <c r="C681" s="115">
        <v>46072</v>
      </c>
      <c r="D681" s="1" t="s">
        <v>2143</v>
      </c>
      <c r="E681" s="1" t="s">
        <v>2144</v>
      </c>
      <c r="F681" s="1" t="s">
        <v>2</v>
      </c>
      <c r="G681" s="1" t="s">
        <v>451</v>
      </c>
      <c r="H681" s="1" t="s">
        <v>452</v>
      </c>
      <c r="I681" s="1" t="s">
        <v>2566</v>
      </c>
      <c r="J681" s="1" t="s">
        <v>210</v>
      </c>
      <c r="K681" s="1" t="s">
        <v>1048</v>
      </c>
      <c r="L681" s="2">
        <v>450000</v>
      </c>
      <c r="M681" s="2">
        <v>220500</v>
      </c>
      <c r="N681" s="2">
        <v>0</v>
      </c>
      <c r="O681" s="2">
        <v>9000</v>
      </c>
      <c r="P681" s="2">
        <v>0</v>
      </c>
      <c r="Q681" s="2">
        <v>0</v>
      </c>
      <c r="R681" s="2">
        <v>0</v>
      </c>
      <c r="S681" s="2">
        <v>220500</v>
      </c>
      <c r="T681" s="3">
        <v>0.49</v>
      </c>
      <c r="U681" s="1"/>
      <c r="V681" s="1" t="s">
        <v>2768</v>
      </c>
      <c r="W681" s="1" t="s">
        <v>202</v>
      </c>
      <c r="X681" s="1" t="s">
        <v>213</v>
      </c>
      <c r="Y681" s="1">
        <v>38</v>
      </c>
      <c r="Z681" s="1" t="s">
        <v>2769</v>
      </c>
      <c r="AA681" s="1" t="s">
        <v>975</v>
      </c>
      <c r="AB681" s="1">
        <v>3004864411</v>
      </c>
    </row>
    <row r="682" spans="1:28" ht="13.8">
      <c r="A682" s="331">
        <v>36569</v>
      </c>
      <c r="B682" s="331">
        <v>26757</v>
      </c>
      <c r="C682" s="115">
        <v>46072</v>
      </c>
      <c r="D682" s="1" t="s">
        <v>2770</v>
      </c>
      <c r="E682" s="1" t="s">
        <v>2771</v>
      </c>
      <c r="F682" s="1" t="s">
        <v>2</v>
      </c>
      <c r="G682" s="1">
        <v>890242</v>
      </c>
      <c r="H682" s="1" t="s">
        <v>331</v>
      </c>
      <c r="I682" s="1" t="s">
        <v>972</v>
      </c>
      <c r="J682" s="1" t="s">
        <v>223</v>
      </c>
      <c r="K682" s="1"/>
      <c r="L682" s="2">
        <v>250000</v>
      </c>
      <c r="M682" s="2">
        <v>122500</v>
      </c>
      <c r="N682" s="2">
        <v>0</v>
      </c>
      <c r="O682" s="2">
        <v>5000</v>
      </c>
      <c r="P682" s="2">
        <v>0</v>
      </c>
      <c r="Q682" s="2">
        <v>0</v>
      </c>
      <c r="R682" s="2">
        <v>0</v>
      </c>
      <c r="S682" s="2">
        <v>122500</v>
      </c>
      <c r="T682" s="3">
        <v>0.49</v>
      </c>
      <c r="U682" s="1"/>
      <c r="V682" s="1" t="s">
        <v>2772</v>
      </c>
      <c r="W682" s="1" t="s">
        <v>202</v>
      </c>
      <c r="X682" s="1" t="s">
        <v>277</v>
      </c>
      <c r="Y682" s="1">
        <v>35</v>
      </c>
      <c r="Z682" s="1" t="s">
        <v>2773</v>
      </c>
      <c r="AA682" s="1" t="s">
        <v>2774</v>
      </c>
      <c r="AB682" s="1" t="s">
        <v>2775</v>
      </c>
    </row>
    <row r="683" spans="1:28" ht="13.8">
      <c r="A683" s="331">
        <v>36094</v>
      </c>
      <c r="B683" s="331">
        <v>25883</v>
      </c>
      <c r="C683" s="115">
        <v>46072</v>
      </c>
      <c r="D683" s="1" t="s">
        <v>897</v>
      </c>
      <c r="E683" s="1" t="s">
        <v>2776</v>
      </c>
      <c r="F683" s="1" t="s">
        <v>2</v>
      </c>
      <c r="G683" s="1">
        <v>890242</v>
      </c>
      <c r="H683" s="1" t="s">
        <v>331</v>
      </c>
      <c r="I683" s="1" t="s">
        <v>972</v>
      </c>
      <c r="J683" s="1" t="s">
        <v>223</v>
      </c>
      <c r="K683" s="1"/>
      <c r="L683" s="2">
        <v>250000</v>
      </c>
      <c r="M683" s="2">
        <v>122500</v>
      </c>
      <c r="N683" s="2">
        <v>0</v>
      </c>
      <c r="O683" s="2">
        <v>5000</v>
      </c>
      <c r="P683" s="2">
        <v>0</v>
      </c>
      <c r="Q683" s="2">
        <v>0</v>
      </c>
      <c r="R683" s="2">
        <v>0</v>
      </c>
      <c r="S683" s="2">
        <v>122500</v>
      </c>
      <c r="T683" s="3">
        <v>0.49</v>
      </c>
      <c r="U683" s="1"/>
      <c r="V683" s="1" t="s">
        <v>2777</v>
      </c>
      <c r="W683" s="1" t="s">
        <v>202</v>
      </c>
      <c r="X683" s="1" t="s">
        <v>213</v>
      </c>
      <c r="Y683" s="1">
        <v>31</v>
      </c>
      <c r="Z683" s="1" t="s">
        <v>2778</v>
      </c>
      <c r="AA683" s="1" t="s">
        <v>975</v>
      </c>
      <c r="AB683" s="1">
        <v>3007820547</v>
      </c>
    </row>
    <row r="684" spans="1:28" ht="13.8">
      <c r="A684" s="331">
        <v>36595</v>
      </c>
      <c r="B684" s="331">
        <v>26797</v>
      </c>
      <c r="C684" s="115">
        <v>46072</v>
      </c>
      <c r="D684" s="1" t="s">
        <v>2779</v>
      </c>
      <c r="E684" s="1" t="s">
        <v>2780</v>
      </c>
      <c r="F684" s="1" t="s">
        <v>126</v>
      </c>
      <c r="G684" s="1">
        <v>890242</v>
      </c>
      <c r="H684" s="1" t="s">
        <v>331</v>
      </c>
      <c r="I684" s="1" t="s">
        <v>972</v>
      </c>
      <c r="J684" s="1" t="s">
        <v>223</v>
      </c>
      <c r="K684" s="1"/>
      <c r="L684" s="2">
        <v>250000</v>
      </c>
      <c r="M684" s="2">
        <v>122500</v>
      </c>
      <c r="N684" s="2">
        <v>0</v>
      </c>
      <c r="O684" s="2">
        <v>5000</v>
      </c>
      <c r="P684" s="2">
        <v>0</v>
      </c>
      <c r="Q684" s="2">
        <v>0</v>
      </c>
      <c r="R684" s="2">
        <v>0</v>
      </c>
      <c r="S684" s="2">
        <v>122500</v>
      </c>
      <c r="T684" s="3">
        <v>0.49</v>
      </c>
      <c r="U684" s="1"/>
      <c r="V684" s="1" t="s">
        <v>2781</v>
      </c>
      <c r="W684" s="1" t="s">
        <v>202</v>
      </c>
      <c r="X684" s="1" t="s">
        <v>213</v>
      </c>
      <c r="Y684" s="1">
        <v>43</v>
      </c>
      <c r="Z684" s="1" t="s">
        <v>2782</v>
      </c>
      <c r="AA684" s="1" t="s">
        <v>975</v>
      </c>
      <c r="AB684" s="1">
        <v>3206344779</v>
      </c>
    </row>
    <row r="685" spans="1:28" ht="13.8">
      <c r="A685" s="331">
        <v>36573</v>
      </c>
      <c r="B685" s="331">
        <v>26764</v>
      </c>
      <c r="C685" s="115">
        <v>46072</v>
      </c>
      <c r="D685" s="1" t="s">
        <v>2783</v>
      </c>
      <c r="E685" s="1" t="s">
        <v>2784</v>
      </c>
      <c r="F685" s="1" t="s">
        <v>5</v>
      </c>
      <c r="G685" s="1">
        <v>890304</v>
      </c>
      <c r="H685" s="1" t="s">
        <v>913</v>
      </c>
      <c r="I685" s="1" t="s">
        <v>972</v>
      </c>
      <c r="J685" s="1" t="s">
        <v>223</v>
      </c>
      <c r="K685" s="1"/>
      <c r="L685" s="2">
        <v>240000</v>
      </c>
      <c r="M685" s="2">
        <v>117600</v>
      </c>
      <c r="N685" s="2">
        <v>0</v>
      </c>
      <c r="O685" s="2">
        <v>4800</v>
      </c>
      <c r="P685" s="2">
        <v>0</v>
      </c>
      <c r="Q685" s="2">
        <v>0</v>
      </c>
      <c r="R685" s="2">
        <v>0</v>
      </c>
      <c r="S685" s="2">
        <v>117600</v>
      </c>
      <c r="T685" s="3">
        <v>0.49</v>
      </c>
      <c r="U685" s="1"/>
      <c r="V685" s="1" t="s">
        <v>2785</v>
      </c>
      <c r="W685" s="1" t="s">
        <v>202</v>
      </c>
      <c r="X685" s="1" t="s">
        <v>213</v>
      </c>
      <c r="Y685" s="1">
        <v>36</v>
      </c>
      <c r="Z685" s="1" t="s">
        <v>2786</v>
      </c>
      <c r="AA685" s="1" t="s">
        <v>2787</v>
      </c>
      <c r="AB685" s="1">
        <v>3118460823</v>
      </c>
    </row>
    <row r="686" spans="1:28" ht="13.8">
      <c r="A686" s="331">
        <v>35176</v>
      </c>
      <c r="B686" s="331">
        <v>24327</v>
      </c>
      <c r="C686" s="115">
        <v>46072</v>
      </c>
      <c r="D686" s="1" t="s">
        <v>397</v>
      </c>
      <c r="E686" s="1" t="s">
        <v>398</v>
      </c>
      <c r="F686" s="1" t="s">
        <v>126</v>
      </c>
      <c r="G686" s="1" t="s">
        <v>255</v>
      </c>
      <c r="H686" s="1" t="s">
        <v>256</v>
      </c>
      <c r="I686" s="1" t="s">
        <v>256</v>
      </c>
      <c r="J686" s="1" t="s">
        <v>210</v>
      </c>
      <c r="K686" s="1" t="s">
        <v>1066</v>
      </c>
      <c r="L686" s="2">
        <v>617500</v>
      </c>
      <c r="M686" s="2">
        <v>263875</v>
      </c>
      <c r="N686" s="2">
        <v>61814.38</v>
      </c>
      <c r="O686" s="2">
        <v>12350</v>
      </c>
      <c r="P686" s="2">
        <v>0</v>
      </c>
      <c r="Q686" s="2">
        <v>15585.62</v>
      </c>
      <c r="R686" s="2">
        <v>0</v>
      </c>
      <c r="S686" s="2">
        <v>279460.62</v>
      </c>
      <c r="T686" s="3">
        <v>0.45256780566802002</v>
      </c>
      <c r="U686" s="1"/>
      <c r="V686" s="1" t="s">
        <v>399</v>
      </c>
      <c r="W686" s="1" t="s">
        <v>203</v>
      </c>
      <c r="X686" s="1" t="s">
        <v>319</v>
      </c>
      <c r="Y686" s="1">
        <v>24</v>
      </c>
      <c r="Z686" s="1" t="s">
        <v>400</v>
      </c>
      <c r="AA686" s="1" t="s">
        <v>975</v>
      </c>
      <c r="AB686" s="1">
        <v>3233866762</v>
      </c>
    </row>
    <row r="687" spans="1:28" ht="13.8">
      <c r="A687" s="331">
        <v>35407</v>
      </c>
      <c r="B687" s="331">
        <v>26820</v>
      </c>
      <c r="C687" s="115">
        <v>46072</v>
      </c>
      <c r="D687" s="1" t="s">
        <v>1652</v>
      </c>
      <c r="E687" s="1" t="s">
        <v>1653</v>
      </c>
      <c r="F687" s="1" t="s">
        <v>126</v>
      </c>
      <c r="G687" s="1" t="s">
        <v>301</v>
      </c>
      <c r="H687" s="1" t="s">
        <v>302</v>
      </c>
      <c r="I687" s="1" t="s">
        <v>1058</v>
      </c>
      <c r="J687" s="1" t="s">
        <v>210</v>
      </c>
      <c r="K687" s="1" t="s">
        <v>1058</v>
      </c>
      <c r="L687" s="2">
        <v>0</v>
      </c>
      <c r="M687" s="2">
        <v>0</v>
      </c>
      <c r="N687" s="2">
        <v>74000</v>
      </c>
      <c r="O687" s="2">
        <v>0</v>
      </c>
      <c r="P687" s="2">
        <v>0</v>
      </c>
      <c r="Q687" s="2">
        <v>13100</v>
      </c>
      <c r="R687" s="2">
        <v>0</v>
      </c>
      <c r="S687" s="2">
        <v>-74000</v>
      </c>
      <c r="T687" s="3">
        <v>0</v>
      </c>
      <c r="U687" s="1"/>
      <c r="V687" s="1"/>
      <c r="W687" s="1" t="s">
        <v>63</v>
      </c>
      <c r="X687" s="1" t="s">
        <v>204</v>
      </c>
      <c r="Y687" s="1">
        <v>39</v>
      </c>
      <c r="Z687" s="1"/>
      <c r="AA687" s="1" t="s">
        <v>975</v>
      </c>
      <c r="AB687" s="1">
        <v>3017505025</v>
      </c>
    </row>
    <row r="688" spans="1:28" ht="13.8">
      <c r="A688" s="331">
        <v>36606</v>
      </c>
      <c r="B688" s="331">
        <v>26821</v>
      </c>
      <c r="C688" s="115">
        <v>46072</v>
      </c>
      <c r="D688" s="1" t="s">
        <v>2783</v>
      </c>
      <c r="E688" s="1" t="s">
        <v>2784</v>
      </c>
      <c r="F688" s="1" t="s">
        <v>5</v>
      </c>
      <c r="G688" s="1">
        <v>861411</v>
      </c>
      <c r="H688" s="1" t="s">
        <v>406</v>
      </c>
      <c r="I688" s="1" t="s">
        <v>1081</v>
      </c>
      <c r="J688" s="1" t="s">
        <v>210</v>
      </c>
      <c r="K688" s="1"/>
      <c r="L688" s="2">
        <v>1140000</v>
      </c>
      <c r="M688" s="2">
        <v>365828</v>
      </c>
      <c r="N688" s="2">
        <v>250349.29</v>
      </c>
      <c r="O688" s="2">
        <v>22800</v>
      </c>
      <c r="P688" s="2">
        <v>0</v>
      </c>
      <c r="Q688" s="2">
        <v>135194.71</v>
      </c>
      <c r="R688" s="2">
        <v>0</v>
      </c>
      <c r="S688" s="2">
        <v>501022.71</v>
      </c>
      <c r="T688" s="3">
        <v>0.43949360526316</v>
      </c>
      <c r="U688" s="1"/>
      <c r="V688" s="1" t="s">
        <v>2788</v>
      </c>
      <c r="W688" s="1" t="s">
        <v>202</v>
      </c>
      <c r="X688" s="1" t="s">
        <v>213</v>
      </c>
      <c r="Y688" s="1">
        <v>36</v>
      </c>
      <c r="Z688" s="1" t="s">
        <v>2789</v>
      </c>
      <c r="AA688" s="1" t="s">
        <v>2787</v>
      </c>
      <c r="AB688" s="1">
        <v>3118460823</v>
      </c>
    </row>
    <row r="689" spans="1:28" ht="13.8">
      <c r="A689" s="331">
        <v>36608</v>
      </c>
      <c r="B689" s="331">
        <v>26823</v>
      </c>
      <c r="C689" s="115">
        <v>46072</v>
      </c>
      <c r="D689" s="1" t="s">
        <v>2770</v>
      </c>
      <c r="E689" s="1" t="s">
        <v>2771</v>
      </c>
      <c r="F689" s="1" t="s">
        <v>2</v>
      </c>
      <c r="G689" s="1" t="s">
        <v>326</v>
      </c>
      <c r="H689" s="1" t="s">
        <v>327</v>
      </c>
      <c r="I689" s="1" t="s">
        <v>1047</v>
      </c>
      <c r="J689" s="1" t="s">
        <v>210</v>
      </c>
      <c r="K689" s="1" t="s">
        <v>1048</v>
      </c>
      <c r="L689" s="2">
        <v>1200000</v>
      </c>
      <c r="M689" s="2">
        <v>579290</v>
      </c>
      <c r="N689" s="2">
        <v>14800</v>
      </c>
      <c r="O689" s="2">
        <v>24000</v>
      </c>
      <c r="P689" s="2">
        <v>0</v>
      </c>
      <c r="Q689" s="2">
        <v>2620</v>
      </c>
      <c r="R689" s="2">
        <v>0</v>
      </c>
      <c r="S689" s="2">
        <v>581910</v>
      </c>
      <c r="T689" s="3">
        <v>0.48492499999999999</v>
      </c>
      <c r="U689" s="1"/>
      <c r="V689" s="1" t="s">
        <v>2790</v>
      </c>
      <c r="W689" s="1" t="s">
        <v>202</v>
      </c>
      <c r="X689" s="1" t="s">
        <v>277</v>
      </c>
      <c r="Y689" s="1">
        <v>35</v>
      </c>
      <c r="Z689" s="1" t="s">
        <v>2791</v>
      </c>
      <c r="AA689" s="1" t="s">
        <v>2774</v>
      </c>
      <c r="AB689" s="1" t="s">
        <v>2775</v>
      </c>
    </row>
    <row r="690" spans="1:28" ht="13.8">
      <c r="A690" s="332">
        <v>36608</v>
      </c>
      <c r="B690" s="332">
        <v>26824</v>
      </c>
      <c r="C690" s="38">
        <v>46072</v>
      </c>
      <c r="D690" s="4" t="s">
        <v>2770</v>
      </c>
      <c r="E690" s="4" t="s">
        <v>2771</v>
      </c>
      <c r="F690" s="4" t="s">
        <v>2</v>
      </c>
      <c r="G690" s="4" t="s">
        <v>488</v>
      </c>
      <c r="H690" s="4" t="s">
        <v>489</v>
      </c>
      <c r="I690" s="4" t="s">
        <v>1062</v>
      </c>
      <c r="J690" s="4" t="s">
        <v>210</v>
      </c>
      <c r="K690" s="4"/>
      <c r="L690" s="5">
        <v>1050000</v>
      </c>
      <c r="M690" s="5">
        <v>254500</v>
      </c>
      <c r="N690" s="5">
        <v>299999</v>
      </c>
      <c r="O690" s="5">
        <v>21000</v>
      </c>
      <c r="P690" s="5">
        <v>0</v>
      </c>
      <c r="Q690" s="5">
        <v>220001</v>
      </c>
      <c r="R690" s="5">
        <v>0</v>
      </c>
      <c r="S690" s="5">
        <v>474501</v>
      </c>
      <c r="T690" s="6" t="s">
        <v>224</v>
      </c>
      <c r="U690" s="1"/>
      <c r="V690" s="1" t="s">
        <v>2790</v>
      </c>
      <c r="W690" s="1" t="s">
        <v>202</v>
      </c>
      <c r="X690" s="1" t="s">
        <v>277</v>
      </c>
      <c r="Y690" s="1">
        <v>35</v>
      </c>
      <c r="Z690" s="1" t="s">
        <v>2791</v>
      </c>
      <c r="AA690" s="1" t="s">
        <v>2774</v>
      </c>
      <c r="AB690" s="1" t="s">
        <v>2775</v>
      </c>
    </row>
    <row r="691" spans="1:28" ht="13.8">
      <c r="A691" s="331">
        <v>36600</v>
      </c>
      <c r="B691" s="331">
        <v>26808</v>
      </c>
      <c r="C691" s="115">
        <v>46072</v>
      </c>
      <c r="D691" s="1" t="s">
        <v>2792</v>
      </c>
      <c r="E691" s="1" t="s">
        <v>2793</v>
      </c>
      <c r="F691" s="1" t="s">
        <v>2</v>
      </c>
      <c r="G691" s="1">
        <v>890242</v>
      </c>
      <c r="H691" s="1" t="s">
        <v>331</v>
      </c>
      <c r="I691" s="1" t="s">
        <v>972</v>
      </c>
      <c r="J691" s="1" t="s">
        <v>223</v>
      </c>
      <c r="K691" s="1"/>
      <c r="L691" s="2">
        <v>250000</v>
      </c>
      <c r="M691" s="2">
        <v>125000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125000</v>
      </c>
      <c r="T691" s="3">
        <v>0.5</v>
      </c>
      <c r="U691" s="1"/>
      <c r="V691" s="1" t="s">
        <v>2794</v>
      </c>
      <c r="W691" s="1" t="s">
        <v>202</v>
      </c>
      <c r="X691" s="1" t="s">
        <v>213</v>
      </c>
      <c r="Y691" s="1">
        <v>31</v>
      </c>
      <c r="Z691" s="1" t="s">
        <v>2795</v>
      </c>
      <c r="AA691" s="1" t="s">
        <v>975</v>
      </c>
      <c r="AB691" s="1">
        <v>3046420797</v>
      </c>
    </row>
    <row r="692" spans="1:28" ht="13.8">
      <c r="A692" s="331">
        <v>36579</v>
      </c>
      <c r="B692" s="331">
        <v>26773</v>
      </c>
      <c r="C692" s="115">
        <v>46072</v>
      </c>
      <c r="D692" s="1" t="s">
        <v>2113</v>
      </c>
      <c r="E692" s="1" t="s">
        <v>2114</v>
      </c>
      <c r="F692" s="1" t="s">
        <v>3</v>
      </c>
      <c r="G692" s="1" t="s">
        <v>391</v>
      </c>
      <c r="H692" s="1" t="s">
        <v>392</v>
      </c>
      <c r="I692" s="1" t="s">
        <v>1065</v>
      </c>
      <c r="J692" s="1" t="s">
        <v>210</v>
      </c>
      <c r="K692" s="1"/>
      <c r="L692" s="2">
        <v>500000</v>
      </c>
      <c r="M692" s="2">
        <v>227969</v>
      </c>
      <c r="N692" s="2">
        <v>28020</v>
      </c>
      <c r="O692" s="2">
        <v>10000</v>
      </c>
      <c r="P692" s="2">
        <v>0</v>
      </c>
      <c r="Q692" s="2">
        <v>6042</v>
      </c>
      <c r="R692" s="2">
        <v>0</v>
      </c>
      <c r="S692" s="2">
        <v>234011</v>
      </c>
      <c r="T692" s="3">
        <v>0.46802199999999999</v>
      </c>
      <c r="U692" s="1"/>
      <c r="V692" s="1" t="s">
        <v>2796</v>
      </c>
      <c r="W692" s="1" t="s">
        <v>202</v>
      </c>
      <c r="X692" s="1" t="s">
        <v>225</v>
      </c>
      <c r="Y692" s="1">
        <v>39</v>
      </c>
      <c r="Z692" s="1" t="s">
        <v>2797</v>
      </c>
      <c r="AA692" s="1" t="s">
        <v>975</v>
      </c>
      <c r="AB692" s="1" t="s">
        <v>2715</v>
      </c>
    </row>
    <row r="693" spans="1:28" ht="13.8">
      <c r="A693" s="331">
        <v>35907</v>
      </c>
      <c r="B693" s="331">
        <v>25533</v>
      </c>
      <c r="C693" s="115">
        <v>46072</v>
      </c>
      <c r="D693" s="1" t="s">
        <v>727</v>
      </c>
      <c r="E693" s="1" t="s">
        <v>728</v>
      </c>
      <c r="F693" s="1" t="s">
        <v>3</v>
      </c>
      <c r="G693" s="1" t="s">
        <v>654</v>
      </c>
      <c r="H693" s="1" t="s">
        <v>655</v>
      </c>
      <c r="I693" s="1" t="s">
        <v>2195</v>
      </c>
      <c r="J693" s="1" t="s">
        <v>210</v>
      </c>
      <c r="K693" s="1" t="s">
        <v>2195</v>
      </c>
      <c r="L693" s="2">
        <v>600000</v>
      </c>
      <c r="M693" s="2">
        <v>271744.5</v>
      </c>
      <c r="N693" s="2">
        <v>33228.94</v>
      </c>
      <c r="O693" s="2">
        <v>12000</v>
      </c>
      <c r="P693" s="2">
        <v>0</v>
      </c>
      <c r="Q693" s="2">
        <v>11282.06</v>
      </c>
      <c r="R693" s="2">
        <v>0</v>
      </c>
      <c r="S693" s="2">
        <v>283026.56</v>
      </c>
      <c r="T693" s="3">
        <v>0.47171093333332997</v>
      </c>
      <c r="U693" s="1"/>
      <c r="V693" s="1" t="s">
        <v>2798</v>
      </c>
      <c r="W693" s="1" t="s">
        <v>202</v>
      </c>
      <c r="X693" s="1" t="s">
        <v>213</v>
      </c>
      <c r="Y693" s="1">
        <v>35</v>
      </c>
      <c r="Z693" s="1" t="s">
        <v>2799</v>
      </c>
      <c r="AA693" s="1" t="s">
        <v>975</v>
      </c>
      <c r="AB693" s="1">
        <v>3053430780</v>
      </c>
    </row>
    <row r="694" spans="1:28" ht="13.8">
      <c r="A694" s="331">
        <v>36506</v>
      </c>
      <c r="B694" s="331">
        <v>26650</v>
      </c>
      <c r="C694" s="115">
        <v>46072</v>
      </c>
      <c r="D694" s="1" t="s">
        <v>2800</v>
      </c>
      <c r="E694" s="1" t="s">
        <v>2801</v>
      </c>
      <c r="F694" s="1" t="s">
        <v>3</v>
      </c>
      <c r="G694" s="1">
        <v>890242</v>
      </c>
      <c r="H694" s="1" t="s">
        <v>331</v>
      </c>
      <c r="I694" s="1" t="s">
        <v>972</v>
      </c>
      <c r="J694" s="1" t="s">
        <v>223</v>
      </c>
      <c r="K694" s="1"/>
      <c r="L694" s="2">
        <v>250000</v>
      </c>
      <c r="M694" s="2">
        <v>122500</v>
      </c>
      <c r="N694" s="2">
        <v>0</v>
      </c>
      <c r="O694" s="2">
        <v>5000</v>
      </c>
      <c r="P694" s="2">
        <v>0</v>
      </c>
      <c r="Q694" s="2">
        <v>0</v>
      </c>
      <c r="R694" s="2">
        <v>0</v>
      </c>
      <c r="S694" s="2">
        <v>122500</v>
      </c>
      <c r="T694" s="3">
        <v>0.49</v>
      </c>
      <c r="U694" s="1"/>
      <c r="V694" s="1" t="s">
        <v>2802</v>
      </c>
      <c r="W694" s="1" t="s">
        <v>202</v>
      </c>
      <c r="X694" s="1" t="s">
        <v>225</v>
      </c>
      <c r="Y694" s="1">
        <v>55</v>
      </c>
      <c r="Z694" s="1" t="s">
        <v>2803</v>
      </c>
      <c r="AA694" s="1" t="s">
        <v>1007</v>
      </c>
      <c r="AB694" s="1">
        <v>16464300014</v>
      </c>
    </row>
    <row r="695" spans="1:28" ht="13.8">
      <c r="A695" s="331">
        <v>36577</v>
      </c>
      <c r="B695" s="331">
        <v>26769</v>
      </c>
      <c r="C695" s="115">
        <v>46072</v>
      </c>
      <c r="D695" s="1" t="s">
        <v>2804</v>
      </c>
      <c r="E695" s="1" t="s">
        <v>2805</v>
      </c>
      <c r="F695" s="1" t="s">
        <v>2</v>
      </c>
      <c r="G695" s="1">
        <v>890242</v>
      </c>
      <c r="H695" s="1" t="s">
        <v>331</v>
      </c>
      <c r="I695" s="1" t="s">
        <v>972</v>
      </c>
      <c r="J695" s="1" t="s">
        <v>223</v>
      </c>
      <c r="K695" s="1"/>
      <c r="L695" s="2">
        <v>250000</v>
      </c>
      <c r="M695" s="2">
        <v>122500</v>
      </c>
      <c r="N695" s="2">
        <v>0</v>
      </c>
      <c r="O695" s="2">
        <v>5000</v>
      </c>
      <c r="P695" s="2">
        <v>0</v>
      </c>
      <c r="Q695" s="2">
        <v>0</v>
      </c>
      <c r="R695" s="2">
        <v>0</v>
      </c>
      <c r="S695" s="2">
        <v>122500</v>
      </c>
      <c r="T695" s="3">
        <v>0.49</v>
      </c>
      <c r="U695" s="1"/>
      <c r="V695" s="1" t="s">
        <v>2806</v>
      </c>
      <c r="W695" s="1" t="s">
        <v>202</v>
      </c>
      <c r="X695" s="1" t="s">
        <v>319</v>
      </c>
      <c r="Y695" s="1">
        <v>46</v>
      </c>
      <c r="Z695" s="1" t="s">
        <v>2807</v>
      </c>
      <c r="AA695" s="1" t="s">
        <v>975</v>
      </c>
      <c r="AB695" s="1">
        <v>16178938549</v>
      </c>
    </row>
    <row r="696" spans="1:28" ht="13.8">
      <c r="A696" s="331">
        <v>36610</v>
      </c>
      <c r="B696" s="331">
        <v>26826</v>
      </c>
      <c r="C696" s="115">
        <v>46072</v>
      </c>
      <c r="D696" s="1" t="s">
        <v>2808</v>
      </c>
      <c r="E696" s="1" t="s">
        <v>2809</v>
      </c>
      <c r="F696" s="1" t="s">
        <v>127</v>
      </c>
      <c r="G696" s="1">
        <v>890242</v>
      </c>
      <c r="H696" s="1" t="s">
        <v>331</v>
      </c>
      <c r="I696" s="1" t="s">
        <v>972</v>
      </c>
      <c r="J696" s="1" t="s">
        <v>223</v>
      </c>
      <c r="K696" s="1"/>
      <c r="L696" s="2">
        <v>250000</v>
      </c>
      <c r="M696" s="2">
        <v>122500</v>
      </c>
      <c r="N696" s="2">
        <v>0</v>
      </c>
      <c r="O696" s="2">
        <v>5000</v>
      </c>
      <c r="P696" s="2">
        <v>0</v>
      </c>
      <c r="Q696" s="2">
        <v>0</v>
      </c>
      <c r="R696" s="2">
        <v>0</v>
      </c>
      <c r="S696" s="2">
        <v>122500</v>
      </c>
      <c r="T696" s="3">
        <v>0.49</v>
      </c>
      <c r="U696" s="1"/>
      <c r="V696" s="1" t="s">
        <v>2810</v>
      </c>
      <c r="W696" s="1" t="s">
        <v>202</v>
      </c>
      <c r="X696" s="1" t="s">
        <v>277</v>
      </c>
      <c r="Y696" s="1">
        <v>31</v>
      </c>
      <c r="Z696" s="1" t="s">
        <v>2811</v>
      </c>
      <c r="AA696" s="1" t="s">
        <v>975</v>
      </c>
      <c r="AB696" s="1">
        <v>3166338535</v>
      </c>
    </row>
    <row r="697" spans="1:28" ht="13.8">
      <c r="A697" s="331">
        <v>36520</v>
      </c>
      <c r="B697" s="331">
        <v>26675</v>
      </c>
      <c r="C697" s="115">
        <v>46072</v>
      </c>
      <c r="D697" s="1" t="s">
        <v>2812</v>
      </c>
      <c r="E697" s="1" t="s">
        <v>2813</v>
      </c>
      <c r="F697" s="1" t="s">
        <v>3</v>
      </c>
      <c r="G697" s="1">
        <v>890242</v>
      </c>
      <c r="H697" s="1" t="s">
        <v>331</v>
      </c>
      <c r="I697" s="1" t="s">
        <v>972</v>
      </c>
      <c r="J697" s="1" t="s">
        <v>223</v>
      </c>
      <c r="K697" s="1"/>
      <c r="L697" s="2">
        <v>250000</v>
      </c>
      <c r="M697" s="2">
        <v>122500</v>
      </c>
      <c r="N697" s="2">
        <v>0</v>
      </c>
      <c r="O697" s="2">
        <v>5000</v>
      </c>
      <c r="P697" s="2">
        <v>0</v>
      </c>
      <c r="Q697" s="2">
        <v>0</v>
      </c>
      <c r="R697" s="2">
        <v>0</v>
      </c>
      <c r="S697" s="2">
        <v>122500</v>
      </c>
      <c r="T697" s="3">
        <v>0.49</v>
      </c>
      <c r="U697" s="1"/>
      <c r="V697" s="1" t="s">
        <v>2814</v>
      </c>
      <c r="W697" s="1" t="s">
        <v>202</v>
      </c>
      <c r="X697" s="1" t="s">
        <v>277</v>
      </c>
      <c r="Y697" s="1">
        <v>14</v>
      </c>
      <c r="Z697" s="1" t="s">
        <v>2815</v>
      </c>
      <c r="AA697" s="1" t="s">
        <v>975</v>
      </c>
      <c r="AB697" s="1">
        <v>3005755330</v>
      </c>
    </row>
    <row r="698" spans="1:28" ht="13.8">
      <c r="A698" s="331">
        <v>36620</v>
      </c>
      <c r="B698" s="331">
        <v>26845</v>
      </c>
      <c r="C698" s="115">
        <v>46072</v>
      </c>
      <c r="D698" s="1" t="s">
        <v>2808</v>
      </c>
      <c r="E698" s="1" t="s">
        <v>2809</v>
      </c>
      <c r="F698" s="1" t="s">
        <v>127</v>
      </c>
      <c r="G698" s="1">
        <v>863101</v>
      </c>
      <c r="H698" s="1" t="s">
        <v>378</v>
      </c>
      <c r="I698" s="1" t="s">
        <v>983</v>
      </c>
      <c r="J698" s="1" t="s">
        <v>210</v>
      </c>
      <c r="K698" s="1"/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3">
        <v>0</v>
      </c>
      <c r="U698" s="1"/>
      <c r="V698" s="1"/>
      <c r="W698" s="1" t="s">
        <v>63</v>
      </c>
      <c r="X698" s="1" t="s">
        <v>277</v>
      </c>
      <c r="Y698" s="1">
        <v>31</v>
      </c>
      <c r="Z698" s="1"/>
      <c r="AA698" s="1" t="s">
        <v>975</v>
      </c>
      <c r="AB698" s="1">
        <v>3166338535</v>
      </c>
    </row>
    <row r="699" spans="1:28" ht="13.8">
      <c r="A699" s="331">
        <v>36593</v>
      </c>
      <c r="B699" s="331">
        <v>26795</v>
      </c>
      <c r="C699" s="115">
        <v>46072</v>
      </c>
      <c r="D699" s="1" t="s">
        <v>2816</v>
      </c>
      <c r="E699" s="1" t="s">
        <v>2817</v>
      </c>
      <c r="F699" s="1" t="s">
        <v>127</v>
      </c>
      <c r="G699" s="1">
        <v>890242</v>
      </c>
      <c r="H699" s="1" t="s">
        <v>331</v>
      </c>
      <c r="I699" s="1" t="s">
        <v>972</v>
      </c>
      <c r="J699" s="1" t="s">
        <v>223</v>
      </c>
      <c r="K699" s="1"/>
      <c r="L699" s="2">
        <v>250000</v>
      </c>
      <c r="M699" s="2">
        <v>122500</v>
      </c>
      <c r="N699" s="2">
        <v>0</v>
      </c>
      <c r="O699" s="2">
        <v>5000</v>
      </c>
      <c r="P699" s="2">
        <v>0</v>
      </c>
      <c r="Q699" s="2">
        <v>0</v>
      </c>
      <c r="R699" s="2">
        <v>0</v>
      </c>
      <c r="S699" s="2">
        <v>122500</v>
      </c>
      <c r="T699" s="3">
        <v>0.49</v>
      </c>
      <c r="U699" s="1"/>
      <c r="V699" s="1" t="s">
        <v>2818</v>
      </c>
      <c r="W699" s="1" t="s">
        <v>202</v>
      </c>
      <c r="X699" s="1" t="s">
        <v>213</v>
      </c>
      <c r="Y699" s="1">
        <v>26</v>
      </c>
      <c r="Z699" s="1" t="s">
        <v>2819</v>
      </c>
      <c r="AA699" s="1" t="s">
        <v>975</v>
      </c>
      <c r="AB699" s="1">
        <v>3015349167</v>
      </c>
    </row>
    <row r="700" spans="1:28" ht="13.8">
      <c r="A700" s="331">
        <v>36548</v>
      </c>
      <c r="B700" s="331">
        <v>26721</v>
      </c>
      <c r="C700" s="115">
        <v>46072</v>
      </c>
      <c r="D700" s="1" t="s">
        <v>2820</v>
      </c>
      <c r="E700" s="1" t="s">
        <v>2821</v>
      </c>
      <c r="F700" s="1" t="s">
        <v>2</v>
      </c>
      <c r="G700" s="1">
        <v>890302</v>
      </c>
      <c r="H700" s="1" t="s">
        <v>244</v>
      </c>
      <c r="I700" s="1" t="s">
        <v>1012</v>
      </c>
      <c r="J700" s="1" t="s">
        <v>223</v>
      </c>
      <c r="K700" s="1"/>
      <c r="L700" s="2">
        <v>180000</v>
      </c>
      <c r="M700" s="2">
        <v>90000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90000</v>
      </c>
      <c r="T700" s="3">
        <v>0.5</v>
      </c>
      <c r="U700" s="1"/>
      <c r="V700" s="1" t="s">
        <v>2822</v>
      </c>
      <c r="W700" s="1" t="s">
        <v>202</v>
      </c>
      <c r="X700" s="1" t="s">
        <v>225</v>
      </c>
      <c r="Y700" s="1">
        <v>17</v>
      </c>
      <c r="Z700" s="1" t="s">
        <v>2823</v>
      </c>
      <c r="AA700" s="1" t="s">
        <v>975</v>
      </c>
      <c r="AB700" s="1">
        <v>3108427945</v>
      </c>
    </row>
    <row r="701" spans="1:28" ht="13.8">
      <c r="A701" s="331">
        <v>34832</v>
      </c>
      <c r="B701" s="331">
        <v>26847</v>
      </c>
      <c r="C701" s="115">
        <v>46072</v>
      </c>
      <c r="D701" s="1" t="s">
        <v>1290</v>
      </c>
      <c r="E701" s="1" t="s">
        <v>1291</v>
      </c>
      <c r="F701" s="1" t="s">
        <v>2</v>
      </c>
      <c r="G701" s="1" t="s">
        <v>868</v>
      </c>
      <c r="H701" s="1" t="s">
        <v>869</v>
      </c>
      <c r="I701" s="1" t="s">
        <v>1033</v>
      </c>
      <c r="J701" s="1" t="s">
        <v>210</v>
      </c>
      <c r="K701" s="1" t="s">
        <v>1033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3">
        <v>0</v>
      </c>
      <c r="U701" s="1"/>
      <c r="V701" s="1"/>
      <c r="W701" s="1" t="s">
        <v>63</v>
      </c>
      <c r="X701" s="1" t="s">
        <v>248</v>
      </c>
      <c r="Y701" s="1">
        <v>39</v>
      </c>
      <c r="Z701" s="1"/>
      <c r="AA701" s="1" t="s">
        <v>975</v>
      </c>
      <c r="AB701" s="1">
        <v>3113863446</v>
      </c>
    </row>
    <row r="702" spans="1:28" ht="13.8">
      <c r="A702" s="331">
        <v>36576</v>
      </c>
      <c r="B702" s="331">
        <v>26768</v>
      </c>
      <c r="C702" s="115">
        <v>46072</v>
      </c>
      <c r="D702" s="1" t="s">
        <v>2824</v>
      </c>
      <c r="E702" s="1" t="s">
        <v>2825</v>
      </c>
      <c r="F702" s="1" t="s">
        <v>107</v>
      </c>
      <c r="G702" s="1">
        <v>890304</v>
      </c>
      <c r="H702" s="1" t="s">
        <v>913</v>
      </c>
      <c r="I702" s="1" t="s">
        <v>972</v>
      </c>
      <c r="J702" s="1" t="s">
        <v>223</v>
      </c>
      <c r="K702" s="1"/>
      <c r="L702" s="2">
        <v>240000</v>
      </c>
      <c r="M702" s="2">
        <v>117600</v>
      </c>
      <c r="N702" s="2">
        <v>0</v>
      </c>
      <c r="O702" s="2">
        <v>4800</v>
      </c>
      <c r="P702" s="2">
        <v>0</v>
      </c>
      <c r="Q702" s="2">
        <v>0</v>
      </c>
      <c r="R702" s="2">
        <v>0</v>
      </c>
      <c r="S702" s="2">
        <v>117600</v>
      </c>
      <c r="T702" s="3">
        <v>0.49</v>
      </c>
      <c r="U702" s="1"/>
      <c r="V702" s="1" t="s">
        <v>2826</v>
      </c>
      <c r="W702" s="1" t="s">
        <v>202</v>
      </c>
      <c r="X702" s="1" t="s">
        <v>204</v>
      </c>
      <c r="Y702" s="1">
        <v>42</v>
      </c>
      <c r="Z702" s="1" t="s">
        <v>2827</v>
      </c>
      <c r="AA702" s="1" t="s">
        <v>975</v>
      </c>
      <c r="AB702" s="1">
        <v>3226544364</v>
      </c>
    </row>
    <row r="703" spans="1:28" ht="13.8">
      <c r="A703" s="331">
        <v>35905</v>
      </c>
      <c r="B703" s="331">
        <v>25670</v>
      </c>
      <c r="C703" s="115">
        <v>46072</v>
      </c>
      <c r="D703" s="1" t="s">
        <v>771</v>
      </c>
      <c r="E703" s="1" t="s">
        <v>772</v>
      </c>
      <c r="F703" s="1" t="s">
        <v>3</v>
      </c>
      <c r="G703" s="1" t="s">
        <v>255</v>
      </c>
      <c r="H703" s="1" t="s">
        <v>256</v>
      </c>
      <c r="I703" s="1" t="s">
        <v>256</v>
      </c>
      <c r="J703" s="1" t="s">
        <v>210</v>
      </c>
      <c r="K703" s="1" t="s">
        <v>1066</v>
      </c>
      <c r="L703" s="2">
        <v>650000</v>
      </c>
      <c r="M703" s="2">
        <v>279800</v>
      </c>
      <c r="N703" s="2">
        <v>61814.38</v>
      </c>
      <c r="O703" s="2">
        <v>13000</v>
      </c>
      <c r="P703" s="2">
        <v>0</v>
      </c>
      <c r="Q703" s="2">
        <v>15585.62</v>
      </c>
      <c r="R703" s="2">
        <v>0</v>
      </c>
      <c r="S703" s="2">
        <v>295385.62</v>
      </c>
      <c r="T703" s="3">
        <v>0.45443941538462002</v>
      </c>
      <c r="U703" s="1"/>
      <c r="V703" s="1" t="s">
        <v>2828</v>
      </c>
      <c r="W703" s="1" t="s">
        <v>202</v>
      </c>
      <c r="X703" s="1" t="s">
        <v>213</v>
      </c>
      <c r="Y703" s="1">
        <v>16</v>
      </c>
      <c r="Z703" s="1" t="s">
        <v>2829</v>
      </c>
      <c r="AA703" s="1" t="s">
        <v>975</v>
      </c>
      <c r="AB703" s="1">
        <v>3148241626</v>
      </c>
    </row>
    <row r="704" spans="1:28" ht="13.8">
      <c r="A704" s="331">
        <v>36619</v>
      </c>
      <c r="B704" s="331">
        <v>26843</v>
      </c>
      <c r="C704" s="115">
        <v>46072</v>
      </c>
      <c r="D704" s="1" t="s">
        <v>2804</v>
      </c>
      <c r="E704" s="1" t="s">
        <v>2805</v>
      </c>
      <c r="F704" s="1" t="s">
        <v>2</v>
      </c>
      <c r="G704" s="1" t="s">
        <v>301</v>
      </c>
      <c r="H704" s="1" t="s">
        <v>302</v>
      </c>
      <c r="I704" s="1" t="s">
        <v>1058</v>
      </c>
      <c r="J704" s="1" t="s">
        <v>210</v>
      </c>
      <c r="K704" s="1" t="s">
        <v>1058</v>
      </c>
      <c r="L704" s="2">
        <v>2100000</v>
      </c>
      <c r="M704" s="2">
        <v>898350</v>
      </c>
      <c r="N704" s="2">
        <v>222000</v>
      </c>
      <c r="O704" s="2">
        <v>42000</v>
      </c>
      <c r="P704" s="2">
        <v>0</v>
      </c>
      <c r="Q704" s="2">
        <v>39300</v>
      </c>
      <c r="R704" s="2">
        <v>0</v>
      </c>
      <c r="S704" s="2">
        <v>937650</v>
      </c>
      <c r="T704" s="3">
        <v>0.44650000000000001</v>
      </c>
      <c r="U704" s="1"/>
      <c r="V704" s="1" t="s">
        <v>2830</v>
      </c>
      <c r="W704" s="1" t="s">
        <v>202</v>
      </c>
      <c r="X704" s="1" t="s">
        <v>319</v>
      </c>
      <c r="Y704" s="1">
        <v>46</v>
      </c>
      <c r="Z704" s="1" t="s">
        <v>2831</v>
      </c>
      <c r="AA704" s="1" t="s">
        <v>975</v>
      </c>
      <c r="AB704" s="1">
        <v>16178938549</v>
      </c>
    </row>
    <row r="705" spans="1:28" ht="13.8">
      <c r="A705" s="332">
        <v>36623</v>
      </c>
      <c r="B705" s="332">
        <v>26849</v>
      </c>
      <c r="C705" s="38">
        <v>46072</v>
      </c>
      <c r="D705" s="4" t="s">
        <v>2832</v>
      </c>
      <c r="E705" s="4" t="s">
        <v>2833</v>
      </c>
      <c r="F705" s="4" t="s">
        <v>2</v>
      </c>
      <c r="G705" s="4">
        <v>860101</v>
      </c>
      <c r="H705" s="4" t="s">
        <v>982</v>
      </c>
      <c r="I705" s="4" t="s">
        <v>983</v>
      </c>
      <c r="J705" s="4" t="s">
        <v>210</v>
      </c>
      <c r="K705" s="4"/>
      <c r="L705" s="5">
        <v>1300000</v>
      </c>
      <c r="M705" s="5">
        <v>637000</v>
      </c>
      <c r="N705" s="5">
        <v>0</v>
      </c>
      <c r="O705" s="5">
        <v>26000</v>
      </c>
      <c r="P705" s="5">
        <v>0</v>
      </c>
      <c r="Q705" s="5">
        <v>0</v>
      </c>
      <c r="R705" s="5">
        <v>0</v>
      </c>
      <c r="S705" s="5">
        <v>637000</v>
      </c>
      <c r="T705" s="6" t="s">
        <v>224</v>
      </c>
      <c r="U705" s="1"/>
      <c r="V705" s="1" t="s">
        <v>2834</v>
      </c>
      <c r="W705" s="1" t="s">
        <v>202</v>
      </c>
      <c r="X705" s="1" t="s">
        <v>204</v>
      </c>
      <c r="Y705" s="1">
        <v>43</v>
      </c>
      <c r="Z705" s="1" t="s">
        <v>2835</v>
      </c>
      <c r="AA705" s="1" t="s">
        <v>975</v>
      </c>
      <c r="AB705" s="1">
        <v>3108427945</v>
      </c>
    </row>
    <row r="706" spans="1:28" ht="13.8">
      <c r="A706" s="331">
        <v>36533</v>
      </c>
      <c r="B706" s="331">
        <v>26695</v>
      </c>
      <c r="C706" s="115">
        <v>46072</v>
      </c>
      <c r="D706" s="1" t="s">
        <v>2077</v>
      </c>
      <c r="E706" s="1" t="s">
        <v>2078</v>
      </c>
      <c r="F706" s="1" t="s">
        <v>107</v>
      </c>
      <c r="G706" s="1">
        <v>890303</v>
      </c>
      <c r="H706" s="1" t="s">
        <v>221</v>
      </c>
      <c r="I706" s="1" t="s">
        <v>1012</v>
      </c>
      <c r="J706" s="1" t="s">
        <v>223</v>
      </c>
      <c r="K706" s="1"/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3">
        <v>0</v>
      </c>
      <c r="U706" s="1"/>
      <c r="V706" s="1"/>
      <c r="W706" s="1" t="s">
        <v>63</v>
      </c>
      <c r="X706" s="1" t="s">
        <v>213</v>
      </c>
      <c r="Y706" s="1">
        <v>26</v>
      </c>
      <c r="Z706" s="1"/>
      <c r="AA706" s="1" t="s">
        <v>975</v>
      </c>
      <c r="AB706" s="1">
        <v>3135054711</v>
      </c>
    </row>
    <row r="707" spans="1:28" ht="13.8">
      <c r="A707" s="331">
        <v>36227</v>
      </c>
      <c r="B707" s="331">
        <v>26294</v>
      </c>
      <c r="C707" s="115">
        <v>46072</v>
      </c>
      <c r="D707" s="1" t="s">
        <v>1583</v>
      </c>
      <c r="E707" s="1" t="s">
        <v>1584</v>
      </c>
      <c r="F707" s="1" t="s">
        <v>3</v>
      </c>
      <c r="G707" s="1" t="s">
        <v>1108</v>
      </c>
      <c r="H707" s="1" t="s">
        <v>1109</v>
      </c>
      <c r="I707" s="1" t="s">
        <v>1081</v>
      </c>
      <c r="J707" s="1" t="s">
        <v>210</v>
      </c>
      <c r="K707" s="1"/>
      <c r="L707" s="2">
        <v>1650000</v>
      </c>
      <c r="M707" s="2">
        <v>443496.53846154001</v>
      </c>
      <c r="N707" s="2">
        <v>601502.28</v>
      </c>
      <c r="O707" s="2">
        <v>5076.9230769230999</v>
      </c>
      <c r="P707" s="2">
        <v>0</v>
      </c>
      <c r="Q707" s="2">
        <v>156427.72</v>
      </c>
      <c r="R707" s="2">
        <v>0</v>
      </c>
      <c r="S707" s="2">
        <v>599924.25846153998</v>
      </c>
      <c r="T707" s="3">
        <v>0.36359045967365999</v>
      </c>
      <c r="U707" s="1"/>
      <c r="V707" s="1" t="s">
        <v>2836</v>
      </c>
      <c r="W707" s="1" t="s">
        <v>202</v>
      </c>
      <c r="X707" s="1" t="s">
        <v>225</v>
      </c>
      <c r="Y707" s="1">
        <v>54</v>
      </c>
      <c r="Z707" s="1" t="s">
        <v>2837</v>
      </c>
      <c r="AA707" s="1" t="s">
        <v>975</v>
      </c>
      <c r="AB707" s="1">
        <v>3014969188</v>
      </c>
    </row>
    <row r="708" spans="1:28" ht="13.8">
      <c r="A708" s="331">
        <v>36227</v>
      </c>
      <c r="B708" s="331">
        <v>26295</v>
      </c>
      <c r="C708" s="115">
        <v>46072</v>
      </c>
      <c r="D708" s="1" t="s">
        <v>1583</v>
      </c>
      <c r="E708" s="1" t="s">
        <v>1584</v>
      </c>
      <c r="F708" s="1" t="s">
        <v>3</v>
      </c>
      <c r="G708" s="1" t="s">
        <v>2100</v>
      </c>
      <c r="H708" s="1" t="s">
        <v>2101</v>
      </c>
      <c r="I708" s="1" t="s">
        <v>1058</v>
      </c>
      <c r="J708" s="1" t="s">
        <v>210</v>
      </c>
      <c r="K708" s="1" t="s">
        <v>1058</v>
      </c>
      <c r="L708" s="2">
        <v>950000</v>
      </c>
      <c r="M708" s="2">
        <v>467204.46153845999</v>
      </c>
      <c r="N708" s="2">
        <v>11401.48</v>
      </c>
      <c r="O708" s="2">
        <v>2923.0769230769001</v>
      </c>
      <c r="P708" s="2">
        <v>0</v>
      </c>
      <c r="Q708" s="2">
        <v>1266.52</v>
      </c>
      <c r="R708" s="2">
        <v>0</v>
      </c>
      <c r="S708" s="2">
        <v>468470.98153846001</v>
      </c>
      <c r="T708" s="3">
        <v>0.49312734898784999</v>
      </c>
      <c r="U708" s="1"/>
      <c r="V708" s="1" t="s">
        <v>2836</v>
      </c>
      <c r="W708" s="1" t="s">
        <v>202</v>
      </c>
      <c r="X708" s="1" t="s">
        <v>225</v>
      </c>
      <c r="Y708" s="1">
        <v>54</v>
      </c>
      <c r="Z708" s="1" t="s">
        <v>2837</v>
      </c>
      <c r="AA708" s="1" t="s">
        <v>975</v>
      </c>
      <c r="AB708" s="1">
        <v>3014969188</v>
      </c>
    </row>
    <row r="709" spans="1:28" ht="13.8">
      <c r="A709" s="331">
        <v>36519</v>
      </c>
      <c r="B709" s="331">
        <v>26674</v>
      </c>
      <c r="C709" s="115">
        <v>46072</v>
      </c>
      <c r="D709" s="1" t="s">
        <v>2838</v>
      </c>
      <c r="E709" s="1" t="s">
        <v>2839</v>
      </c>
      <c r="F709" s="1" t="s">
        <v>127</v>
      </c>
      <c r="G709" s="1">
        <v>890242</v>
      </c>
      <c r="H709" s="1" t="s">
        <v>331</v>
      </c>
      <c r="I709" s="1" t="s">
        <v>972</v>
      </c>
      <c r="J709" s="1" t="s">
        <v>223</v>
      </c>
      <c r="K709" s="1"/>
      <c r="L709" s="2">
        <v>250000</v>
      </c>
      <c r="M709" s="2">
        <v>125000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125000</v>
      </c>
      <c r="T709" s="3">
        <v>0.5</v>
      </c>
      <c r="U709" s="1"/>
      <c r="V709" s="1" t="s">
        <v>2840</v>
      </c>
      <c r="W709" s="1" t="s">
        <v>202</v>
      </c>
      <c r="X709" s="1" t="s">
        <v>319</v>
      </c>
      <c r="Y709" s="1">
        <v>22</v>
      </c>
      <c r="Z709" s="1" t="s">
        <v>2841</v>
      </c>
      <c r="AA709" s="1" t="s">
        <v>975</v>
      </c>
      <c r="AB709" s="1">
        <v>3124770084</v>
      </c>
    </row>
    <row r="710" spans="1:28" ht="13.8">
      <c r="A710" s="331">
        <v>36211</v>
      </c>
      <c r="B710" s="331">
        <v>26085</v>
      </c>
      <c r="C710" s="115">
        <v>46072</v>
      </c>
      <c r="D710" s="1" t="s">
        <v>435</v>
      </c>
      <c r="E710" s="1" t="s">
        <v>436</v>
      </c>
      <c r="F710" s="1" t="s">
        <v>127</v>
      </c>
      <c r="G710" s="1">
        <v>890303</v>
      </c>
      <c r="H710" s="1" t="s">
        <v>221</v>
      </c>
      <c r="I710" s="1" t="s">
        <v>1012</v>
      </c>
      <c r="J710" s="1" t="s">
        <v>223</v>
      </c>
      <c r="K710" s="1"/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3">
        <v>0</v>
      </c>
      <c r="U710" s="1"/>
      <c r="V710" s="1"/>
      <c r="W710" s="1" t="s">
        <v>63</v>
      </c>
      <c r="X710" s="1" t="s">
        <v>225</v>
      </c>
      <c r="Y710" s="1">
        <v>52</v>
      </c>
      <c r="Z710" s="1"/>
      <c r="AA710" s="1" t="s">
        <v>975</v>
      </c>
      <c r="AB710" s="1">
        <v>3205601044</v>
      </c>
    </row>
    <row r="711" spans="1:28" ht="13.8">
      <c r="A711" s="331">
        <v>36227</v>
      </c>
      <c r="B711" s="331">
        <v>26296</v>
      </c>
      <c r="C711" s="115">
        <v>46072</v>
      </c>
      <c r="D711" s="1" t="s">
        <v>1583</v>
      </c>
      <c r="E711" s="1" t="s">
        <v>1584</v>
      </c>
      <c r="F711" s="1" t="s">
        <v>3</v>
      </c>
      <c r="G711" s="1" t="s">
        <v>324</v>
      </c>
      <c r="H711" s="1" t="s">
        <v>325</v>
      </c>
      <c r="I711" s="1" t="s">
        <v>1097</v>
      </c>
      <c r="J711" s="1" t="s">
        <v>210</v>
      </c>
      <c r="K711" s="1" t="s">
        <v>1097</v>
      </c>
      <c r="L711" s="2">
        <v>650000</v>
      </c>
      <c r="M711" s="2">
        <v>324000</v>
      </c>
      <c r="N711" s="2">
        <v>0</v>
      </c>
      <c r="O711" s="2">
        <v>2000</v>
      </c>
      <c r="P711" s="2">
        <v>0</v>
      </c>
      <c r="Q711" s="2">
        <v>0</v>
      </c>
      <c r="R711" s="2">
        <v>0</v>
      </c>
      <c r="S711" s="2">
        <v>324000</v>
      </c>
      <c r="T711" s="3">
        <v>0.49846153846154001</v>
      </c>
      <c r="U711" s="1"/>
      <c r="V711" s="1" t="s">
        <v>2836</v>
      </c>
      <c r="W711" s="1" t="s">
        <v>202</v>
      </c>
      <c r="X711" s="1" t="s">
        <v>225</v>
      </c>
      <c r="Y711" s="1">
        <v>54</v>
      </c>
      <c r="Z711" s="1" t="s">
        <v>2837</v>
      </c>
      <c r="AA711" s="1" t="s">
        <v>975</v>
      </c>
      <c r="AB711" s="1">
        <v>3014969188</v>
      </c>
    </row>
    <row r="712" spans="1:28" ht="13.8">
      <c r="A712" s="331">
        <v>35223</v>
      </c>
      <c r="B712" s="331">
        <v>26858</v>
      </c>
      <c r="C712" s="115">
        <v>46072</v>
      </c>
      <c r="D712" s="1" t="s">
        <v>435</v>
      </c>
      <c r="E712" s="1" t="s">
        <v>436</v>
      </c>
      <c r="F712" s="1" t="s">
        <v>127</v>
      </c>
      <c r="G712" s="1">
        <v>868115</v>
      </c>
      <c r="H712" s="1" t="s">
        <v>838</v>
      </c>
      <c r="I712" s="1" t="s">
        <v>983</v>
      </c>
      <c r="J712" s="1" t="s">
        <v>210</v>
      </c>
      <c r="K712" s="1"/>
      <c r="L712" s="2">
        <v>350000</v>
      </c>
      <c r="M712" s="2">
        <v>171500</v>
      </c>
      <c r="N712" s="2">
        <v>0</v>
      </c>
      <c r="O712" s="2">
        <v>7000</v>
      </c>
      <c r="P712" s="2">
        <v>0</v>
      </c>
      <c r="Q712" s="2">
        <v>0</v>
      </c>
      <c r="R712" s="2">
        <v>0</v>
      </c>
      <c r="S712" s="2">
        <v>171500</v>
      </c>
      <c r="T712" s="3">
        <v>0.49</v>
      </c>
      <c r="U712" s="1"/>
      <c r="V712" s="1" t="s">
        <v>2842</v>
      </c>
      <c r="W712" s="1" t="s">
        <v>202</v>
      </c>
      <c r="X712" s="1" t="s">
        <v>225</v>
      </c>
      <c r="Y712" s="1">
        <v>52</v>
      </c>
      <c r="Z712" s="1" t="s">
        <v>2843</v>
      </c>
      <c r="AA712" s="1" t="s">
        <v>975</v>
      </c>
      <c r="AB712" s="1">
        <v>3205601044</v>
      </c>
    </row>
    <row r="713" spans="1:28" ht="13.8">
      <c r="A713" s="331">
        <v>35223</v>
      </c>
      <c r="B713" s="331">
        <v>26872</v>
      </c>
      <c r="C713" s="115">
        <v>46072</v>
      </c>
      <c r="D713" s="1" t="s">
        <v>435</v>
      </c>
      <c r="E713" s="1" t="s">
        <v>436</v>
      </c>
      <c r="F713" s="1" t="s">
        <v>127</v>
      </c>
      <c r="G713" s="1" t="s">
        <v>597</v>
      </c>
      <c r="H713" s="1" t="s">
        <v>598</v>
      </c>
      <c r="I713" s="1" t="s">
        <v>1033</v>
      </c>
      <c r="J713" s="1" t="s">
        <v>210</v>
      </c>
      <c r="K713" s="1" t="s">
        <v>1033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3">
        <v>0</v>
      </c>
      <c r="U713" s="1"/>
      <c r="V713" s="1"/>
      <c r="W713" s="1" t="s">
        <v>63</v>
      </c>
      <c r="X713" s="1" t="s">
        <v>225</v>
      </c>
      <c r="Y713" s="1">
        <v>52</v>
      </c>
      <c r="Z713" s="1"/>
      <c r="AA713" s="1" t="s">
        <v>975</v>
      </c>
      <c r="AB713" s="1">
        <v>3205601044</v>
      </c>
    </row>
    <row r="714" spans="1:28" ht="13.8">
      <c r="A714" s="331">
        <v>35451</v>
      </c>
      <c r="B714" s="331">
        <v>24754</v>
      </c>
      <c r="C714" s="115">
        <v>46072</v>
      </c>
      <c r="D714" s="1" t="s">
        <v>2288</v>
      </c>
      <c r="E714" s="1" t="s">
        <v>2289</v>
      </c>
      <c r="F714" s="1" t="s">
        <v>127</v>
      </c>
      <c r="G714" s="1">
        <v>890302</v>
      </c>
      <c r="H714" s="1" t="s">
        <v>244</v>
      </c>
      <c r="I714" s="1" t="s">
        <v>1012</v>
      </c>
      <c r="J714" s="1" t="s">
        <v>223</v>
      </c>
      <c r="K714" s="1"/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3">
        <v>0</v>
      </c>
      <c r="U714" s="1"/>
      <c r="V714" s="1"/>
      <c r="W714" s="1" t="s">
        <v>63</v>
      </c>
      <c r="X714" s="1" t="s">
        <v>213</v>
      </c>
      <c r="Y714" s="1">
        <v>15</v>
      </c>
      <c r="Z714" s="1"/>
      <c r="AA714" s="1" t="s">
        <v>975</v>
      </c>
      <c r="AB714" s="1">
        <v>3206949209</v>
      </c>
    </row>
    <row r="715" spans="1:28" ht="13.8">
      <c r="A715" s="331">
        <v>26515</v>
      </c>
      <c r="B715" s="331">
        <v>26815</v>
      </c>
      <c r="C715" s="115">
        <v>46072</v>
      </c>
      <c r="D715" s="1" t="s">
        <v>2131</v>
      </c>
      <c r="E715" s="1" t="s">
        <v>2132</v>
      </c>
      <c r="F715" s="1" t="s">
        <v>4</v>
      </c>
      <c r="G715" s="1" t="s">
        <v>255</v>
      </c>
      <c r="H715" s="1" t="s">
        <v>256</v>
      </c>
      <c r="I715" s="1" t="s">
        <v>256</v>
      </c>
      <c r="J715" s="1" t="s">
        <v>210</v>
      </c>
      <c r="K715" s="1" t="s">
        <v>1066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3">
        <v>0</v>
      </c>
      <c r="U715" s="1"/>
      <c r="V715" s="1"/>
      <c r="W715" s="1" t="s">
        <v>63</v>
      </c>
      <c r="X715" s="1" t="s">
        <v>225</v>
      </c>
      <c r="Y715" s="1">
        <v>52</v>
      </c>
      <c r="Z715" s="1"/>
      <c r="AA715" s="1" t="s">
        <v>975</v>
      </c>
      <c r="AB715" s="1">
        <v>3176470234</v>
      </c>
    </row>
    <row r="716" spans="1:28" ht="13.8">
      <c r="A716" s="331">
        <v>31385</v>
      </c>
      <c r="B716" s="331">
        <v>26844</v>
      </c>
      <c r="C716" s="115">
        <v>46072</v>
      </c>
      <c r="D716" s="1" t="s">
        <v>2844</v>
      </c>
      <c r="E716" s="1" t="s">
        <v>2845</v>
      </c>
      <c r="F716" s="1" t="s">
        <v>4</v>
      </c>
      <c r="G716" s="1" t="s">
        <v>2846</v>
      </c>
      <c r="H716" s="1" t="s">
        <v>2847</v>
      </c>
      <c r="I716" s="1" t="s">
        <v>1047</v>
      </c>
      <c r="J716" s="1" t="s">
        <v>210</v>
      </c>
      <c r="K716" s="1" t="s">
        <v>1048</v>
      </c>
      <c r="L716" s="2">
        <v>200000</v>
      </c>
      <c r="M716" s="2">
        <v>98000</v>
      </c>
      <c r="N716" s="2">
        <v>0</v>
      </c>
      <c r="O716" s="2">
        <v>4000</v>
      </c>
      <c r="P716" s="2">
        <v>0</v>
      </c>
      <c r="Q716" s="2">
        <v>0</v>
      </c>
      <c r="R716" s="2">
        <v>0</v>
      </c>
      <c r="S716" s="2">
        <v>98000</v>
      </c>
      <c r="T716" s="3">
        <v>0.49</v>
      </c>
      <c r="U716" s="1"/>
      <c r="V716" s="1" t="s">
        <v>2848</v>
      </c>
      <c r="W716" s="1" t="s">
        <v>202</v>
      </c>
      <c r="X716" s="1" t="s">
        <v>225</v>
      </c>
      <c r="Y716" s="1">
        <v>38</v>
      </c>
      <c r="Z716" s="1" t="s">
        <v>2849</v>
      </c>
      <c r="AA716" s="1" t="s">
        <v>975</v>
      </c>
      <c r="AB716" s="1">
        <v>3186951706</v>
      </c>
    </row>
    <row r="717" spans="1:28" ht="13.8">
      <c r="A717" s="331">
        <v>34532</v>
      </c>
      <c r="B717" s="331">
        <v>24331</v>
      </c>
      <c r="C717" s="115">
        <v>46072</v>
      </c>
      <c r="D717" s="1" t="s">
        <v>2850</v>
      </c>
      <c r="E717" s="1" t="s">
        <v>2851</v>
      </c>
      <c r="F717" s="1" t="s">
        <v>4</v>
      </c>
      <c r="G717" s="1" t="s">
        <v>324</v>
      </c>
      <c r="H717" s="1" t="s">
        <v>325</v>
      </c>
      <c r="I717" s="1" t="s">
        <v>1097</v>
      </c>
      <c r="J717" s="1" t="s">
        <v>210</v>
      </c>
      <c r="K717" s="1" t="s">
        <v>1097</v>
      </c>
      <c r="L717" s="2">
        <v>650000</v>
      </c>
      <c r="M717" s="2">
        <v>318500</v>
      </c>
      <c r="N717" s="2">
        <v>0</v>
      </c>
      <c r="O717" s="2">
        <v>13000</v>
      </c>
      <c r="P717" s="2">
        <v>0</v>
      </c>
      <c r="Q717" s="2">
        <v>0</v>
      </c>
      <c r="R717" s="2">
        <v>0</v>
      </c>
      <c r="S717" s="2">
        <v>318500</v>
      </c>
      <c r="T717" s="3">
        <v>0.49</v>
      </c>
      <c r="U717" s="1"/>
      <c r="V717" s="1" t="s">
        <v>2852</v>
      </c>
      <c r="W717" s="1" t="s">
        <v>202</v>
      </c>
      <c r="X717" s="1" t="s">
        <v>213</v>
      </c>
      <c r="Y717" s="1">
        <v>33</v>
      </c>
      <c r="Z717" s="1" t="s">
        <v>2853</v>
      </c>
      <c r="AA717" s="1" t="s">
        <v>975</v>
      </c>
      <c r="AB717" s="1">
        <v>3104055489</v>
      </c>
    </row>
    <row r="718" spans="1:28" ht="13.8">
      <c r="A718" s="331">
        <v>34532</v>
      </c>
      <c r="B718" s="331">
        <v>26864</v>
      </c>
      <c r="C718" s="115">
        <v>46072</v>
      </c>
      <c r="D718" s="1" t="s">
        <v>2850</v>
      </c>
      <c r="E718" s="1" t="s">
        <v>2851</v>
      </c>
      <c r="F718" s="1" t="s">
        <v>4</v>
      </c>
      <c r="G718" s="1">
        <v>861401</v>
      </c>
      <c r="H718" s="1" t="s">
        <v>307</v>
      </c>
      <c r="I718" s="1" t="s">
        <v>983</v>
      </c>
      <c r="J718" s="1" t="s">
        <v>210</v>
      </c>
      <c r="K718" s="1"/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3">
        <v>0</v>
      </c>
      <c r="U718" s="1"/>
      <c r="V718" s="1"/>
      <c r="W718" s="1" t="s">
        <v>63</v>
      </c>
      <c r="X718" s="1" t="s">
        <v>213</v>
      </c>
      <c r="Y718" s="1">
        <v>33</v>
      </c>
      <c r="Z718" s="1"/>
      <c r="AA718" s="1" t="s">
        <v>975</v>
      </c>
      <c r="AB718" s="1">
        <v>3104055489</v>
      </c>
    </row>
    <row r="719" spans="1:28" ht="13.8">
      <c r="A719" s="331">
        <v>36347</v>
      </c>
      <c r="B719" s="331">
        <v>26353</v>
      </c>
      <c r="C719" s="115">
        <v>46072</v>
      </c>
      <c r="D719" s="1" t="s">
        <v>2050</v>
      </c>
      <c r="E719" s="1" t="s">
        <v>2051</v>
      </c>
      <c r="F719" s="1" t="s">
        <v>4</v>
      </c>
      <c r="G719" s="1">
        <v>890303</v>
      </c>
      <c r="H719" s="1" t="s">
        <v>221</v>
      </c>
      <c r="I719" s="1" t="s">
        <v>1012</v>
      </c>
      <c r="J719" s="1" t="s">
        <v>223</v>
      </c>
      <c r="K719" s="1"/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3">
        <v>0</v>
      </c>
      <c r="U719" s="1"/>
      <c r="V719" s="1"/>
      <c r="W719" s="1" t="s">
        <v>63</v>
      </c>
      <c r="X719" s="1" t="s">
        <v>225</v>
      </c>
      <c r="Y719" s="1">
        <v>59</v>
      </c>
      <c r="Z719" s="1"/>
      <c r="AA719" s="1" t="s">
        <v>975</v>
      </c>
      <c r="AB719" s="1">
        <v>3126635379</v>
      </c>
    </row>
    <row r="720" spans="1:28" ht="13.8">
      <c r="A720" s="331">
        <v>35662</v>
      </c>
      <c r="B720" s="331">
        <v>25097</v>
      </c>
      <c r="C720" s="115">
        <v>46072</v>
      </c>
      <c r="D720" s="1" t="s">
        <v>2292</v>
      </c>
      <c r="E720" s="1" t="s">
        <v>2293</v>
      </c>
      <c r="F720" s="1" t="s">
        <v>3</v>
      </c>
      <c r="G720" s="1">
        <v>890242</v>
      </c>
      <c r="H720" s="1" t="s">
        <v>331</v>
      </c>
      <c r="I720" s="1" t="s">
        <v>972</v>
      </c>
      <c r="J720" s="1" t="s">
        <v>223</v>
      </c>
      <c r="K720" s="1"/>
      <c r="L720" s="2">
        <v>250000</v>
      </c>
      <c r="M720" s="2">
        <v>122500</v>
      </c>
      <c r="N720" s="2">
        <v>0</v>
      </c>
      <c r="O720" s="2">
        <v>5000</v>
      </c>
      <c r="P720" s="2">
        <v>0</v>
      </c>
      <c r="Q720" s="2">
        <v>0</v>
      </c>
      <c r="R720" s="2">
        <v>0</v>
      </c>
      <c r="S720" s="2">
        <v>122500</v>
      </c>
      <c r="T720" s="3">
        <v>0.49</v>
      </c>
      <c r="U720" s="1"/>
      <c r="V720" s="1" t="s">
        <v>2854</v>
      </c>
      <c r="W720" s="1" t="s">
        <v>202</v>
      </c>
      <c r="X720" s="1" t="s">
        <v>213</v>
      </c>
      <c r="Y720" s="1">
        <v>25</v>
      </c>
      <c r="Z720" s="1" t="s">
        <v>2855</v>
      </c>
      <c r="AA720" s="1" t="s">
        <v>975</v>
      </c>
      <c r="AB720" s="1">
        <v>3216160839</v>
      </c>
    </row>
    <row r="721" spans="1:28" ht="13.8">
      <c r="A721" s="331">
        <v>20151</v>
      </c>
      <c r="B721" s="331">
        <v>25873</v>
      </c>
      <c r="C721" s="115">
        <v>46057</v>
      </c>
      <c r="D721" s="1" t="s">
        <v>812</v>
      </c>
      <c r="E721" s="1" t="s">
        <v>813</v>
      </c>
      <c r="F721" s="1" t="s">
        <v>132</v>
      </c>
      <c r="G721" s="1" t="s">
        <v>935</v>
      </c>
      <c r="H721" s="1" t="s">
        <v>936</v>
      </c>
      <c r="I721" s="1" t="s">
        <v>1089</v>
      </c>
      <c r="J721" s="1" t="s">
        <v>200</v>
      </c>
      <c r="K721" s="1" t="s">
        <v>1089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3">
        <v>0</v>
      </c>
      <c r="U721" s="1"/>
      <c r="V721" s="1"/>
      <c r="W721" s="1" t="s">
        <v>63</v>
      </c>
      <c r="X721" s="1" t="s">
        <v>225</v>
      </c>
      <c r="Y721" s="1">
        <v>25</v>
      </c>
      <c r="Z721" s="1"/>
      <c r="AA721" s="1" t="s">
        <v>975</v>
      </c>
      <c r="AB721" s="1">
        <v>3184278820</v>
      </c>
    </row>
    <row r="722" spans="1:28" ht="13.8">
      <c r="A722" s="331">
        <v>20151</v>
      </c>
      <c r="B722" s="331">
        <v>25929</v>
      </c>
      <c r="C722" s="115">
        <v>46057</v>
      </c>
      <c r="D722" s="1" t="s">
        <v>812</v>
      </c>
      <c r="E722" s="1" t="s">
        <v>813</v>
      </c>
      <c r="F722" s="1" t="s">
        <v>132</v>
      </c>
      <c r="G722" s="1" t="s">
        <v>935</v>
      </c>
      <c r="H722" s="1" t="s">
        <v>936</v>
      </c>
      <c r="I722" s="1" t="s">
        <v>1089</v>
      </c>
      <c r="J722" s="1" t="s">
        <v>200</v>
      </c>
      <c r="K722" s="1" t="s">
        <v>1089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3">
        <v>0</v>
      </c>
      <c r="U722" s="1"/>
      <c r="V722" s="1"/>
      <c r="W722" s="1" t="s">
        <v>63</v>
      </c>
      <c r="X722" s="1" t="s">
        <v>225</v>
      </c>
      <c r="Y722" s="1">
        <v>25</v>
      </c>
      <c r="Z722" s="1"/>
      <c r="AA722" s="1" t="s">
        <v>975</v>
      </c>
      <c r="AB722" s="1">
        <v>3184278820</v>
      </c>
    </row>
    <row r="723" spans="1:28" ht="13.8">
      <c r="A723" s="331">
        <v>20604</v>
      </c>
      <c r="B723" s="331">
        <v>25949</v>
      </c>
      <c r="C723" s="115">
        <v>46063</v>
      </c>
      <c r="D723" s="1" t="s">
        <v>962</v>
      </c>
      <c r="E723" s="1" t="s">
        <v>963</v>
      </c>
      <c r="F723" s="1" t="s">
        <v>132</v>
      </c>
      <c r="G723" s="1" t="s">
        <v>954</v>
      </c>
      <c r="H723" s="1" t="s">
        <v>955</v>
      </c>
      <c r="I723" s="1" t="s">
        <v>1230</v>
      </c>
      <c r="J723" s="1" t="s">
        <v>210</v>
      </c>
      <c r="K723" s="1"/>
      <c r="L723" s="2">
        <v>0</v>
      </c>
      <c r="M723" s="2">
        <v>0</v>
      </c>
      <c r="N723" s="2">
        <v>7367.84</v>
      </c>
      <c r="O723" s="2">
        <v>0</v>
      </c>
      <c r="P723" s="2">
        <v>0</v>
      </c>
      <c r="Q723" s="2">
        <v>4209.16</v>
      </c>
      <c r="R723" s="2">
        <v>0</v>
      </c>
      <c r="S723" s="2">
        <v>-7367.84</v>
      </c>
      <c r="T723" s="3">
        <v>0</v>
      </c>
      <c r="U723" s="1"/>
      <c r="V723" s="1"/>
      <c r="W723" s="1" t="s">
        <v>63</v>
      </c>
      <c r="X723" s="1" t="s">
        <v>225</v>
      </c>
      <c r="Y723" s="1">
        <v>43</v>
      </c>
      <c r="Z723" s="1"/>
      <c r="AA723" s="1" t="s">
        <v>975</v>
      </c>
      <c r="AB723" s="1">
        <v>3142155635</v>
      </c>
    </row>
    <row r="724" spans="1:28" ht="13.8">
      <c r="A724" s="331">
        <v>21013</v>
      </c>
      <c r="B724" s="331">
        <v>25946</v>
      </c>
      <c r="C724" s="115">
        <v>46062</v>
      </c>
      <c r="D724" s="1" t="s">
        <v>956</v>
      </c>
      <c r="E724" s="1" t="s">
        <v>957</v>
      </c>
      <c r="F724" s="1" t="s">
        <v>132</v>
      </c>
      <c r="G724" s="1" t="s">
        <v>954</v>
      </c>
      <c r="H724" s="1" t="s">
        <v>955</v>
      </c>
      <c r="I724" s="1" t="s">
        <v>1230</v>
      </c>
      <c r="J724" s="1" t="s">
        <v>210</v>
      </c>
      <c r="K724" s="1"/>
      <c r="L724" s="2">
        <v>0</v>
      </c>
      <c r="M724" s="2">
        <v>0</v>
      </c>
      <c r="N724" s="2">
        <v>5276.99</v>
      </c>
      <c r="O724" s="2">
        <v>0</v>
      </c>
      <c r="P724" s="2">
        <v>0</v>
      </c>
      <c r="Q724" s="2">
        <v>2100.0100000000002</v>
      </c>
      <c r="R724" s="2">
        <v>0</v>
      </c>
      <c r="S724" s="2">
        <v>-5276.99</v>
      </c>
      <c r="T724" s="3">
        <v>0</v>
      </c>
      <c r="U724" s="1"/>
      <c r="V724" s="1"/>
      <c r="W724" s="1" t="s">
        <v>63</v>
      </c>
      <c r="X724" s="1" t="s">
        <v>225</v>
      </c>
      <c r="Y724" s="1">
        <v>38</v>
      </c>
      <c r="Z724" s="1"/>
      <c r="AA724" s="1" t="s">
        <v>975</v>
      </c>
      <c r="AB724" s="1">
        <v>3218036029</v>
      </c>
    </row>
    <row r="725" spans="1:28" ht="13.8">
      <c r="A725" s="331">
        <v>21527</v>
      </c>
      <c r="B725" s="331">
        <v>25947</v>
      </c>
      <c r="C725" s="115">
        <v>46062</v>
      </c>
      <c r="D725" s="1" t="s">
        <v>958</v>
      </c>
      <c r="E725" s="1" t="s">
        <v>959</v>
      </c>
      <c r="F725" s="1" t="s">
        <v>132</v>
      </c>
      <c r="G725" s="1" t="s">
        <v>954</v>
      </c>
      <c r="H725" s="1" t="s">
        <v>955</v>
      </c>
      <c r="I725" s="1" t="s">
        <v>1230</v>
      </c>
      <c r="J725" s="1" t="s">
        <v>210</v>
      </c>
      <c r="K725" s="1"/>
      <c r="L725" s="2">
        <v>0</v>
      </c>
      <c r="M725" s="2">
        <v>0</v>
      </c>
      <c r="N725" s="2">
        <v>5276.99</v>
      </c>
      <c r="O725" s="2">
        <v>0</v>
      </c>
      <c r="P725" s="2">
        <v>0</v>
      </c>
      <c r="Q725" s="2">
        <v>2100.0100000000002</v>
      </c>
      <c r="R725" s="2">
        <v>0</v>
      </c>
      <c r="S725" s="2">
        <v>-5276.99</v>
      </c>
      <c r="T725" s="3">
        <v>0</v>
      </c>
      <c r="U725" s="1"/>
      <c r="V725" s="1"/>
      <c r="W725" s="1" t="s">
        <v>63</v>
      </c>
      <c r="X725" s="1" t="s">
        <v>225</v>
      </c>
      <c r="Y725" s="1">
        <v>34</v>
      </c>
      <c r="Z725" s="1"/>
      <c r="AA725" s="1" t="s">
        <v>975</v>
      </c>
      <c r="AB725" s="1">
        <v>3007334350</v>
      </c>
    </row>
    <row r="726" spans="1:28" ht="13.8">
      <c r="A726" s="331">
        <v>21527</v>
      </c>
      <c r="B726" s="331">
        <v>26727</v>
      </c>
      <c r="C726" s="115">
        <v>46071</v>
      </c>
      <c r="D726" s="1" t="s">
        <v>958</v>
      </c>
      <c r="E726" s="1" t="s">
        <v>959</v>
      </c>
      <c r="F726" s="1" t="s">
        <v>134</v>
      </c>
      <c r="G726" s="1" t="s">
        <v>197</v>
      </c>
      <c r="H726" s="1" t="s">
        <v>198</v>
      </c>
      <c r="I726" s="1" t="s">
        <v>1236</v>
      </c>
      <c r="J726" s="1" t="s">
        <v>200</v>
      </c>
      <c r="K726" s="1" t="s">
        <v>1237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3">
        <v>0</v>
      </c>
      <c r="U726" s="1"/>
      <c r="V726" s="1"/>
      <c r="W726" s="1" t="s">
        <v>63</v>
      </c>
      <c r="X726" s="1" t="s">
        <v>225</v>
      </c>
      <c r="Y726" s="1">
        <v>34</v>
      </c>
      <c r="Z726" s="1"/>
      <c r="AA726" s="1" t="s">
        <v>975</v>
      </c>
      <c r="AB726" s="1">
        <v>3007334350</v>
      </c>
    </row>
    <row r="727" spans="1:28" ht="13.8">
      <c r="A727" s="331">
        <v>21527</v>
      </c>
      <c r="B727" s="331">
        <v>26728</v>
      </c>
      <c r="C727" s="115">
        <v>46071</v>
      </c>
      <c r="D727" s="1" t="s">
        <v>958</v>
      </c>
      <c r="E727" s="1" t="s">
        <v>959</v>
      </c>
      <c r="F727" s="1" t="s">
        <v>132</v>
      </c>
      <c r="G727" s="1" t="s">
        <v>935</v>
      </c>
      <c r="H727" s="1" t="s">
        <v>936</v>
      </c>
      <c r="I727" s="1" t="s">
        <v>1089</v>
      </c>
      <c r="J727" s="1" t="s">
        <v>200</v>
      </c>
      <c r="K727" s="1" t="s">
        <v>1089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3">
        <v>0</v>
      </c>
      <c r="U727" s="1"/>
      <c r="V727" s="1"/>
      <c r="W727" s="1" t="s">
        <v>63</v>
      </c>
      <c r="X727" s="1" t="s">
        <v>225</v>
      </c>
      <c r="Y727" s="1">
        <v>34</v>
      </c>
      <c r="Z727" s="1"/>
      <c r="AA727" s="1" t="s">
        <v>975</v>
      </c>
      <c r="AB727" s="1">
        <v>3007334350</v>
      </c>
    </row>
    <row r="728" spans="1:28" ht="13.8">
      <c r="A728" s="331">
        <v>21750</v>
      </c>
      <c r="B728" s="331">
        <v>25979</v>
      </c>
      <c r="C728" s="115">
        <v>46064</v>
      </c>
      <c r="D728" s="1" t="s">
        <v>1305</v>
      </c>
      <c r="E728" s="1" t="s">
        <v>5</v>
      </c>
      <c r="F728" s="1" t="s">
        <v>132</v>
      </c>
      <c r="G728" s="1" t="s">
        <v>954</v>
      </c>
      <c r="H728" s="1" t="s">
        <v>955</v>
      </c>
      <c r="I728" s="1" t="s">
        <v>1230</v>
      </c>
      <c r="J728" s="1" t="s">
        <v>210</v>
      </c>
      <c r="K728" s="1"/>
      <c r="L728" s="2">
        <v>0</v>
      </c>
      <c r="M728" s="2">
        <v>0</v>
      </c>
      <c r="N728" s="2">
        <v>10553.98</v>
      </c>
      <c r="O728" s="2">
        <v>0</v>
      </c>
      <c r="P728" s="2">
        <v>0</v>
      </c>
      <c r="Q728" s="2">
        <v>4200.0200000000004</v>
      </c>
      <c r="R728" s="2">
        <v>0</v>
      </c>
      <c r="S728" s="2">
        <v>-10553.98</v>
      </c>
      <c r="T728" s="3">
        <v>0</v>
      </c>
      <c r="U728" s="1"/>
      <c r="V728" s="1"/>
      <c r="W728" s="1" t="s">
        <v>63</v>
      </c>
      <c r="X728" s="1" t="s">
        <v>225</v>
      </c>
      <c r="Y728" s="1">
        <v>28</v>
      </c>
      <c r="Z728" s="1"/>
      <c r="AA728" s="1" t="s">
        <v>975</v>
      </c>
      <c r="AB728" s="1">
        <v>3118130264</v>
      </c>
    </row>
    <row r="729" spans="1:28" ht="13.8">
      <c r="A729" s="331">
        <v>21825</v>
      </c>
      <c r="B729" s="331">
        <v>25945</v>
      </c>
      <c r="C729" s="115">
        <v>46062</v>
      </c>
      <c r="D729" s="1" t="s">
        <v>952</v>
      </c>
      <c r="E729" s="1" t="s">
        <v>953</v>
      </c>
      <c r="F729" s="1" t="s">
        <v>106</v>
      </c>
      <c r="G729" s="1" t="s">
        <v>954</v>
      </c>
      <c r="H729" s="1" t="s">
        <v>955</v>
      </c>
      <c r="I729" s="1" t="s">
        <v>1230</v>
      </c>
      <c r="J729" s="1" t="s">
        <v>210</v>
      </c>
      <c r="K729" s="1"/>
      <c r="L729" s="2">
        <v>0</v>
      </c>
      <c r="M729" s="2">
        <v>0</v>
      </c>
      <c r="N729" s="2">
        <v>5267.85</v>
      </c>
      <c r="O729" s="2">
        <v>0</v>
      </c>
      <c r="P729" s="2">
        <v>0</v>
      </c>
      <c r="Q729" s="2">
        <v>2109.15</v>
      </c>
      <c r="R729" s="2">
        <v>0</v>
      </c>
      <c r="S729" s="2">
        <v>-5267.85</v>
      </c>
      <c r="T729" s="3">
        <v>0</v>
      </c>
      <c r="U729" s="1"/>
      <c r="V729" s="1"/>
      <c r="W729" s="1" t="s">
        <v>63</v>
      </c>
      <c r="X729" s="1" t="s">
        <v>225</v>
      </c>
      <c r="Y729" s="1">
        <v>29</v>
      </c>
      <c r="Z729" s="1"/>
      <c r="AA729" s="1" t="s">
        <v>975</v>
      </c>
      <c r="AB729" s="1">
        <v>3136820922</v>
      </c>
    </row>
    <row r="730" spans="1:28" ht="13.8">
      <c r="A730" s="331">
        <v>21825</v>
      </c>
      <c r="B730" s="331">
        <v>26265</v>
      </c>
      <c r="C730" s="115">
        <v>46062</v>
      </c>
      <c r="D730" s="1" t="s">
        <v>952</v>
      </c>
      <c r="E730" s="1" t="s">
        <v>953</v>
      </c>
      <c r="F730" s="1" t="s">
        <v>106</v>
      </c>
      <c r="G730" s="1" t="s">
        <v>1087</v>
      </c>
      <c r="H730" s="1" t="s">
        <v>1088</v>
      </c>
      <c r="I730" s="1" t="s">
        <v>1089</v>
      </c>
      <c r="J730" s="1" t="s">
        <v>200</v>
      </c>
      <c r="K730" s="1" t="s">
        <v>1089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3">
        <v>0</v>
      </c>
      <c r="U730" s="1"/>
      <c r="V730" s="1"/>
      <c r="W730" s="1" t="s">
        <v>63</v>
      </c>
      <c r="X730" s="1" t="s">
        <v>225</v>
      </c>
      <c r="Y730" s="1">
        <v>29</v>
      </c>
      <c r="Z730" s="1"/>
      <c r="AA730" s="1" t="s">
        <v>975</v>
      </c>
      <c r="AB730" s="1">
        <v>3136820922</v>
      </c>
    </row>
    <row r="731" spans="1:28" ht="13.8">
      <c r="A731" s="331">
        <v>21825</v>
      </c>
      <c r="B731" s="331">
        <v>26530</v>
      </c>
      <c r="C731" s="115">
        <v>46066</v>
      </c>
      <c r="D731" s="1" t="s">
        <v>952</v>
      </c>
      <c r="E731" s="1" t="s">
        <v>953</v>
      </c>
      <c r="F731" s="1" t="s">
        <v>106</v>
      </c>
      <c r="G731" s="1" t="s">
        <v>1087</v>
      </c>
      <c r="H731" s="1" t="s">
        <v>1088</v>
      </c>
      <c r="I731" s="1" t="s">
        <v>1089</v>
      </c>
      <c r="J731" s="1" t="s">
        <v>200</v>
      </c>
      <c r="K731" s="1" t="s">
        <v>1089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3">
        <v>0</v>
      </c>
      <c r="U731" s="1"/>
      <c r="V731" s="1"/>
      <c r="W731" s="1" t="s">
        <v>63</v>
      </c>
      <c r="X731" s="1" t="s">
        <v>225</v>
      </c>
      <c r="Y731" s="1">
        <v>29</v>
      </c>
      <c r="Z731" s="1"/>
      <c r="AA731" s="1" t="s">
        <v>975</v>
      </c>
      <c r="AB731" s="1">
        <v>3136820922</v>
      </c>
    </row>
    <row r="732" spans="1:28" ht="13.8">
      <c r="A732" s="331">
        <v>22001</v>
      </c>
      <c r="B732" s="331">
        <v>26240</v>
      </c>
      <c r="C732" s="115">
        <v>46062</v>
      </c>
      <c r="D732" s="1" t="s">
        <v>1832</v>
      </c>
      <c r="E732" s="1" t="s">
        <v>1833</v>
      </c>
      <c r="F732" s="1" t="s">
        <v>132</v>
      </c>
      <c r="G732" s="1" t="s">
        <v>1961</v>
      </c>
      <c r="H732" s="1" t="s">
        <v>1962</v>
      </c>
      <c r="I732" s="1" t="s">
        <v>1257</v>
      </c>
      <c r="J732" s="1" t="s">
        <v>200</v>
      </c>
      <c r="K732" s="1" t="s">
        <v>1258</v>
      </c>
      <c r="L732" s="2">
        <v>882000</v>
      </c>
      <c r="M732" s="2">
        <v>110749.22</v>
      </c>
      <c r="N732" s="2">
        <v>135004.43</v>
      </c>
      <c r="O732" s="2">
        <v>17640</v>
      </c>
      <c r="P732" s="2">
        <v>0</v>
      </c>
      <c r="Q732" s="2">
        <v>77889.570000000007</v>
      </c>
      <c r="R732" s="2">
        <v>0</v>
      </c>
      <c r="S732" s="2">
        <v>618606.35</v>
      </c>
      <c r="T732" s="3">
        <v>0.70136774376416999</v>
      </c>
      <c r="U732" s="1"/>
      <c r="V732" s="1" t="s">
        <v>1963</v>
      </c>
      <c r="W732" s="1" t="s">
        <v>202</v>
      </c>
      <c r="X732" s="1" t="s">
        <v>225</v>
      </c>
      <c r="Y732" s="1">
        <v>40</v>
      </c>
      <c r="Z732" s="1" t="s">
        <v>1964</v>
      </c>
      <c r="AA732" s="1" t="s">
        <v>975</v>
      </c>
      <c r="AB732" s="1">
        <v>3176447588</v>
      </c>
    </row>
    <row r="733" spans="1:28" ht="13.8">
      <c r="A733" s="331">
        <v>22087</v>
      </c>
      <c r="B733" s="331">
        <v>25955</v>
      </c>
      <c r="C733" s="115">
        <v>46061</v>
      </c>
      <c r="D733" s="1" t="s">
        <v>968</v>
      </c>
      <c r="E733" s="1" t="s">
        <v>969</v>
      </c>
      <c r="F733" s="1" t="s">
        <v>134</v>
      </c>
      <c r="G733" s="1" t="s">
        <v>217</v>
      </c>
      <c r="H733" s="1" t="s">
        <v>218</v>
      </c>
      <c r="I733" s="1" t="s">
        <v>1236</v>
      </c>
      <c r="J733" s="1" t="s">
        <v>200</v>
      </c>
      <c r="K733" s="1" t="s">
        <v>1237</v>
      </c>
      <c r="L733" s="2">
        <v>50000</v>
      </c>
      <c r="M733" s="2">
        <v>8330</v>
      </c>
      <c r="N733" s="2">
        <v>0</v>
      </c>
      <c r="O733" s="2">
        <v>1000</v>
      </c>
      <c r="P733" s="2">
        <v>0</v>
      </c>
      <c r="Q733" s="2">
        <v>0</v>
      </c>
      <c r="R733" s="2">
        <v>0</v>
      </c>
      <c r="S733" s="2">
        <v>40670</v>
      </c>
      <c r="T733" s="3">
        <v>0.81340000000000001</v>
      </c>
      <c r="U733" s="1"/>
      <c r="V733" s="1" t="s">
        <v>1737</v>
      </c>
      <c r="W733" s="1" t="s">
        <v>202</v>
      </c>
      <c r="X733" s="1" t="s">
        <v>248</v>
      </c>
      <c r="Y733" s="1">
        <v>36</v>
      </c>
      <c r="Z733" s="1" t="s">
        <v>1738</v>
      </c>
      <c r="AA733" s="1" t="s">
        <v>975</v>
      </c>
      <c r="AB733" s="1">
        <v>3007312755</v>
      </c>
    </row>
    <row r="734" spans="1:28" ht="13.8">
      <c r="A734" s="331">
        <v>22427</v>
      </c>
      <c r="B734" s="331">
        <v>25980</v>
      </c>
      <c r="C734" s="115">
        <v>46066</v>
      </c>
      <c r="D734" s="1" t="s">
        <v>1306</v>
      </c>
      <c r="E734" s="1" t="s">
        <v>1307</v>
      </c>
      <c r="F734" s="1" t="s">
        <v>106</v>
      </c>
      <c r="G734" s="1" t="s">
        <v>954</v>
      </c>
      <c r="H734" s="1" t="s">
        <v>955</v>
      </c>
      <c r="I734" s="1" t="s">
        <v>1230</v>
      </c>
      <c r="J734" s="1" t="s">
        <v>210</v>
      </c>
      <c r="K734" s="1"/>
      <c r="L734" s="2">
        <v>0</v>
      </c>
      <c r="M734" s="2">
        <v>0</v>
      </c>
      <c r="N734" s="2">
        <v>5276.99</v>
      </c>
      <c r="O734" s="2">
        <v>0</v>
      </c>
      <c r="P734" s="2">
        <v>0</v>
      </c>
      <c r="Q734" s="2">
        <v>2100.0100000000002</v>
      </c>
      <c r="R734" s="2">
        <v>0</v>
      </c>
      <c r="S734" s="2">
        <v>-5276.99</v>
      </c>
      <c r="T734" s="3">
        <v>0</v>
      </c>
      <c r="U734" s="1"/>
      <c r="V734" s="1"/>
      <c r="W734" s="1" t="s">
        <v>63</v>
      </c>
      <c r="X734" s="1" t="s">
        <v>225</v>
      </c>
      <c r="Y734" s="1">
        <v>23</v>
      </c>
      <c r="Z734" s="1"/>
      <c r="AA734" s="1" t="s">
        <v>975</v>
      </c>
      <c r="AB734" s="1">
        <v>3197273627</v>
      </c>
    </row>
    <row r="735" spans="1:28" ht="13.8">
      <c r="A735" s="331">
        <v>22521</v>
      </c>
      <c r="B735" s="331">
        <v>12629</v>
      </c>
      <c r="C735" s="115">
        <v>46067</v>
      </c>
      <c r="D735" s="1" t="s">
        <v>2534</v>
      </c>
      <c r="E735" s="1" t="s">
        <v>2535</v>
      </c>
      <c r="F735" s="1" t="s">
        <v>132</v>
      </c>
      <c r="G735" s="1" t="s">
        <v>233</v>
      </c>
      <c r="H735" s="1" t="s">
        <v>234</v>
      </c>
      <c r="I735" s="1" t="s">
        <v>1236</v>
      </c>
      <c r="J735" s="1" t="s">
        <v>200</v>
      </c>
      <c r="K735" s="1" t="s">
        <v>1237</v>
      </c>
      <c r="L735" s="2">
        <v>60000</v>
      </c>
      <c r="M735" s="2">
        <v>9996</v>
      </c>
      <c r="N735" s="2">
        <v>0</v>
      </c>
      <c r="O735" s="2">
        <v>1200</v>
      </c>
      <c r="P735" s="2">
        <v>0</v>
      </c>
      <c r="Q735" s="2">
        <v>0</v>
      </c>
      <c r="R735" s="2">
        <v>0</v>
      </c>
      <c r="S735" s="2">
        <v>48804</v>
      </c>
      <c r="T735" s="3">
        <v>0.81340000000000001</v>
      </c>
      <c r="U735" s="1"/>
      <c r="V735" s="1" t="s">
        <v>2536</v>
      </c>
      <c r="W735" s="1" t="s">
        <v>202</v>
      </c>
      <c r="X735" s="1" t="s">
        <v>213</v>
      </c>
      <c r="Y735" s="1">
        <v>32</v>
      </c>
      <c r="Z735" s="1" t="s">
        <v>2537</v>
      </c>
      <c r="AA735" s="1" t="s">
        <v>975</v>
      </c>
      <c r="AB735" s="1">
        <v>3502656704</v>
      </c>
    </row>
    <row r="736" spans="1:28" ht="13.8">
      <c r="A736" s="331">
        <v>22763</v>
      </c>
      <c r="B736" s="331">
        <v>25269</v>
      </c>
      <c r="C736" s="115">
        <v>46066</v>
      </c>
      <c r="D736" s="1" t="s">
        <v>619</v>
      </c>
      <c r="E736" s="1" t="s">
        <v>620</v>
      </c>
      <c r="F736" s="1" t="s">
        <v>132</v>
      </c>
      <c r="G736" s="1" t="s">
        <v>215</v>
      </c>
      <c r="H736" s="1" t="s">
        <v>216</v>
      </c>
      <c r="I736" s="1" t="s">
        <v>1236</v>
      </c>
      <c r="J736" s="1" t="s">
        <v>200</v>
      </c>
      <c r="K736" s="1"/>
      <c r="L736" s="2">
        <v>150000</v>
      </c>
      <c r="M736" s="2">
        <v>2940</v>
      </c>
      <c r="N736" s="2">
        <v>0</v>
      </c>
      <c r="O736" s="2">
        <v>3000</v>
      </c>
      <c r="P736" s="2">
        <v>0</v>
      </c>
      <c r="Q736" s="2">
        <v>0</v>
      </c>
      <c r="R736" s="2">
        <v>0</v>
      </c>
      <c r="S736" s="2">
        <v>144060</v>
      </c>
      <c r="T736" s="3">
        <v>0.96040000000000003</v>
      </c>
      <c r="U736" s="1"/>
      <c r="V736" s="1" t="s">
        <v>2538</v>
      </c>
      <c r="W736" s="1" t="s">
        <v>202</v>
      </c>
      <c r="X736" s="1" t="s">
        <v>319</v>
      </c>
      <c r="Y736" s="1">
        <v>38</v>
      </c>
      <c r="Z736" s="1" t="s">
        <v>2539</v>
      </c>
      <c r="AA736" s="1" t="s">
        <v>975</v>
      </c>
      <c r="AB736" s="1">
        <v>3104272963</v>
      </c>
    </row>
    <row r="737" spans="1:28" ht="13.8">
      <c r="A737" s="331">
        <v>22925</v>
      </c>
      <c r="B737" s="331">
        <v>26751</v>
      </c>
      <c r="C737" s="115">
        <v>46070</v>
      </c>
      <c r="D737" s="1" t="s">
        <v>1226</v>
      </c>
      <c r="E737" s="1" t="s">
        <v>1227</v>
      </c>
      <c r="F737" s="1" t="s">
        <v>132</v>
      </c>
      <c r="G737" s="1" t="s">
        <v>217</v>
      </c>
      <c r="H737" s="1" t="s">
        <v>218</v>
      </c>
      <c r="I737" s="1" t="s">
        <v>1236</v>
      </c>
      <c r="J737" s="1" t="s">
        <v>200</v>
      </c>
      <c r="K737" s="1" t="s">
        <v>1237</v>
      </c>
      <c r="L737" s="2">
        <v>25000</v>
      </c>
      <c r="M737" s="2">
        <v>4165</v>
      </c>
      <c r="N737" s="2">
        <v>0</v>
      </c>
      <c r="O737" s="2">
        <v>500</v>
      </c>
      <c r="P737" s="2">
        <v>0</v>
      </c>
      <c r="Q737" s="2">
        <v>0</v>
      </c>
      <c r="R737" s="2">
        <v>0</v>
      </c>
      <c r="S737" s="2">
        <v>20335</v>
      </c>
      <c r="T737" s="3">
        <v>0.81340000000000001</v>
      </c>
      <c r="U737" s="1"/>
      <c r="V737" s="1" t="s">
        <v>2856</v>
      </c>
      <c r="W737" s="1" t="s">
        <v>202</v>
      </c>
      <c r="X737" s="1" t="s">
        <v>225</v>
      </c>
      <c r="Y737" s="1">
        <v>31</v>
      </c>
      <c r="Z737" s="1" t="s">
        <v>2857</v>
      </c>
      <c r="AA737" s="1" t="s">
        <v>975</v>
      </c>
      <c r="AB737" s="1">
        <v>3206825746</v>
      </c>
    </row>
    <row r="738" spans="1:28" ht="13.8">
      <c r="A738" s="331">
        <v>24523</v>
      </c>
      <c r="B738" s="331">
        <v>26050</v>
      </c>
      <c r="C738" s="115">
        <v>46058</v>
      </c>
      <c r="D738" s="1" t="s">
        <v>1533</v>
      </c>
      <c r="E738" s="1" t="s">
        <v>1534</v>
      </c>
      <c r="F738" s="1" t="s">
        <v>134</v>
      </c>
      <c r="G738" s="1" t="s">
        <v>385</v>
      </c>
      <c r="H738" s="1" t="s">
        <v>386</v>
      </c>
      <c r="I738" s="1" t="s">
        <v>1236</v>
      </c>
      <c r="J738" s="1" t="s">
        <v>200</v>
      </c>
      <c r="K738" s="1" t="s">
        <v>1237</v>
      </c>
      <c r="L738" s="2">
        <v>130000</v>
      </c>
      <c r="M738" s="2">
        <v>22100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107900</v>
      </c>
      <c r="T738" s="3">
        <v>0.83</v>
      </c>
      <c r="U738" s="1"/>
      <c r="V738" s="1" t="s">
        <v>1739</v>
      </c>
      <c r="W738" s="1" t="s">
        <v>202</v>
      </c>
      <c r="X738" s="1" t="s">
        <v>277</v>
      </c>
      <c r="Y738" s="1">
        <v>30</v>
      </c>
      <c r="Z738" s="1" t="s">
        <v>1740</v>
      </c>
      <c r="AA738" s="1" t="s">
        <v>975</v>
      </c>
      <c r="AB738" s="1">
        <v>3105246330</v>
      </c>
    </row>
    <row r="739" spans="1:28" ht="13.8">
      <c r="A739" s="331">
        <v>24523</v>
      </c>
      <c r="B739" s="331">
        <v>26051</v>
      </c>
      <c r="C739" s="115">
        <v>46058</v>
      </c>
      <c r="D739" s="1" t="s">
        <v>1533</v>
      </c>
      <c r="E739" s="1" t="s">
        <v>1534</v>
      </c>
      <c r="F739" s="1" t="s">
        <v>134</v>
      </c>
      <c r="G739" s="1" t="s">
        <v>197</v>
      </c>
      <c r="H739" s="1" t="s">
        <v>198</v>
      </c>
      <c r="I739" s="1" t="s">
        <v>1236</v>
      </c>
      <c r="J739" s="1" t="s">
        <v>200</v>
      </c>
      <c r="K739" s="1" t="s">
        <v>1237</v>
      </c>
      <c r="L739" s="2">
        <v>90000</v>
      </c>
      <c r="M739" s="2">
        <v>15300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74700</v>
      </c>
      <c r="T739" s="3">
        <v>0.83</v>
      </c>
      <c r="U739" s="1"/>
      <c r="V739" s="1" t="s">
        <v>1739</v>
      </c>
      <c r="W739" s="1" t="s">
        <v>202</v>
      </c>
      <c r="X739" s="1" t="s">
        <v>277</v>
      </c>
      <c r="Y739" s="1">
        <v>30</v>
      </c>
      <c r="Z739" s="1" t="s">
        <v>1740</v>
      </c>
      <c r="AA739" s="1" t="s">
        <v>975</v>
      </c>
      <c r="AB739" s="1">
        <v>3105246330</v>
      </c>
    </row>
    <row r="740" spans="1:28" ht="13.8">
      <c r="A740" s="331">
        <v>24523</v>
      </c>
      <c r="B740" s="331">
        <v>26052</v>
      </c>
      <c r="C740" s="115">
        <v>46058</v>
      </c>
      <c r="D740" s="1" t="s">
        <v>1533</v>
      </c>
      <c r="E740" s="1" t="s">
        <v>1534</v>
      </c>
      <c r="F740" s="1" t="s">
        <v>134</v>
      </c>
      <c r="G740" s="1" t="s">
        <v>242</v>
      </c>
      <c r="H740" s="1" t="s">
        <v>243</v>
      </c>
      <c r="I740" s="1" t="s">
        <v>1236</v>
      </c>
      <c r="J740" s="1" t="s">
        <v>200</v>
      </c>
      <c r="K740" s="1" t="s">
        <v>1237</v>
      </c>
      <c r="L740" s="2">
        <v>140000</v>
      </c>
      <c r="M740" s="2">
        <v>23800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116200</v>
      </c>
      <c r="T740" s="3">
        <v>0.83</v>
      </c>
      <c r="U740" s="1"/>
      <c r="V740" s="1" t="s">
        <v>1739</v>
      </c>
      <c r="W740" s="1" t="s">
        <v>202</v>
      </c>
      <c r="X740" s="1" t="s">
        <v>277</v>
      </c>
      <c r="Y740" s="1">
        <v>30</v>
      </c>
      <c r="Z740" s="1" t="s">
        <v>1740</v>
      </c>
      <c r="AA740" s="1" t="s">
        <v>975</v>
      </c>
      <c r="AB740" s="1">
        <v>3105246330</v>
      </c>
    </row>
    <row r="741" spans="1:28" ht="13.8">
      <c r="A741" s="331">
        <v>24804</v>
      </c>
      <c r="B741" s="331">
        <v>8798</v>
      </c>
      <c r="C741" s="115">
        <v>46057</v>
      </c>
      <c r="D741" s="1" t="s">
        <v>958</v>
      </c>
      <c r="E741" s="1" t="s">
        <v>959</v>
      </c>
      <c r="F741" s="1" t="s">
        <v>134</v>
      </c>
      <c r="G741" s="1" t="s">
        <v>1286</v>
      </c>
      <c r="H741" s="1" t="s">
        <v>1287</v>
      </c>
      <c r="I741" s="1" t="s">
        <v>1089</v>
      </c>
      <c r="J741" s="1" t="s">
        <v>200</v>
      </c>
      <c r="K741" s="1" t="s">
        <v>1089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3">
        <v>0</v>
      </c>
      <c r="U741" s="1"/>
      <c r="V741" s="1"/>
      <c r="W741" s="1" t="s">
        <v>63</v>
      </c>
      <c r="X741" s="1" t="s">
        <v>225</v>
      </c>
      <c r="Y741" s="1">
        <v>34</v>
      </c>
      <c r="Z741" s="1"/>
      <c r="AA741" s="1" t="s">
        <v>975</v>
      </c>
      <c r="AB741" s="1">
        <v>3007334350</v>
      </c>
    </row>
    <row r="742" spans="1:28" ht="13.8">
      <c r="A742" s="331">
        <v>24928</v>
      </c>
      <c r="B742" s="331">
        <v>25992</v>
      </c>
      <c r="C742" s="115">
        <v>46058</v>
      </c>
      <c r="D742" s="1" t="s">
        <v>1741</v>
      </c>
      <c r="E742" s="1" t="s">
        <v>1742</v>
      </c>
      <c r="F742" s="1" t="s">
        <v>132</v>
      </c>
      <c r="G742" s="1" t="s">
        <v>1087</v>
      </c>
      <c r="H742" s="1" t="s">
        <v>1088</v>
      </c>
      <c r="I742" s="1" t="s">
        <v>1089</v>
      </c>
      <c r="J742" s="1" t="s">
        <v>200</v>
      </c>
      <c r="K742" s="1" t="s">
        <v>1089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3">
        <v>0</v>
      </c>
      <c r="U742" s="1"/>
      <c r="V742" s="1"/>
      <c r="W742" s="1" t="s">
        <v>63</v>
      </c>
      <c r="X742" s="1" t="s">
        <v>225</v>
      </c>
      <c r="Y742" s="1">
        <v>15</v>
      </c>
      <c r="Z742" s="1"/>
      <c r="AA742" s="1" t="s">
        <v>975</v>
      </c>
      <c r="AB742" s="1">
        <v>3209394182</v>
      </c>
    </row>
    <row r="743" spans="1:28" ht="13.8">
      <c r="A743" s="331">
        <v>24928</v>
      </c>
      <c r="B743" s="331">
        <v>26340</v>
      </c>
      <c r="C743" s="115">
        <v>46064</v>
      </c>
      <c r="D743" s="1" t="s">
        <v>1741</v>
      </c>
      <c r="E743" s="1" t="s">
        <v>1742</v>
      </c>
      <c r="F743" s="1" t="s">
        <v>134</v>
      </c>
      <c r="G743" s="1" t="s">
        <v>1087</v>
      </c>
      <c r="H743" s="1" t="s">
        <v>1088</v>
      </c>
      <c r="I743" s="1" t="s">
        <v>1089</v>
      </c>
      <c r="J743" s="1" t="s">
        <v>200</v>
      </c>
      <c r="K743" s="1" t="s">
        <v>1089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3">
        <v>0</v>
      </c>
      <c r="U743" s="1"/>
      <c r="V743" s="1"/>
      <c r="W743" s="1" t="s">
        <v>63</v>
      </c>
      <c r="X743" s="1" t="s">
        <v>225</v>
      </c>
      <c r="Y743" s="1">
        <v>15</v>
      </c>
      <c r="Z743" s="1"/>
      <c r="AA743" s="1" t="s">
        <v>975</v>
      </c>
      <c r="AB743" s="1">
        <v>3209394182</v>
      </c>
    </row>
    <row r="744" spans="1:28" ht="13.8">
      <c r="A744" s="331">
        <v>24928</v>
      </c>
      <c r="B744" s="331">
        <v>26414</v>
      </c>
      <c r="C744" s="115">
        <v>46066</v>
      </c>
      <c r="D744" s="1" t="s">
        <v>1741</v>
      </c>
      <c r="E744" s="1" t="s">
        <v>1742</v>
      </c>
      <c r="F744" s="1" t="s">
        <v>122</v>
      </c>
      <c r="G744" s="1" t="s">
        <v>935</v>
      </c>
      <c r="H744" s="1" t="s">
        <v>936</v>
      </c>
      <c r="I744" s="1" t="s">
        <v>1089</v>
      </c>
      <c r="J744" s="1" t="s">
        <v>200</v>
      </c>
      <c r="K744" s="1" t="s">
        <v>1089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3">
        <v>0</v>
      </c>
      <c r="U744" s="1"/>
      <c r="V744" s="1"/>
      <c r="W744" s="1" t="s">
        <v>63</v>
      </c>
      <c r="X744" s="1" t="s">
        <v>225</v>
      </c>
      <c r="Y744" s="1">
        <v>15</v>
      </c>
      <c r="Z744" s="1"/>
      <c r="AA744" s="1" t="s">
        <v>975</v>
      </c>
      <c r="AB744" s="1">
        <v>3209394182</v>
      </c>
    </row>
    <row r="745" spans="1:28" ht="13.8">
      <c r="A745" s="331">
        <v>24971</v>
      </c>
      <c r="B745" s="331">
        <v>18564</v>
      </c>
      <c r="C745" s="115">
        <v>46072</v>
      </c>
      <c r="D745" s="1" t="s">
        <v>240</v>
      </c>
      <c r="E745" s="1" t="s">
        <v>241</v>
      </c>
      <c r="F745" s="1" t="s">
        <v>134</v>
      </c>
      <c r="G745" s="1" t="s">
        <v>242</v>
      </c>
      <c r="H745" s="1" t="s">
        <v>243</v>
      </c>
      <c r="I745" s="1" t="s">
        <v>1236</v>
      </c>
      <c r="J745" s="1" t="s">
        <v>200</v>
      </c>
      <c r="K745" s="1" t="s">
        <v>1237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3">
        <v>0</v>
      </c>
      <c r="U745" s="1"/>
      <c r="V745" s="1"/>
      <c r="W745" s="1" t="s">
        <v>63</v>
      </c>
      <c r="X745" s="1" t="s">
        <v>213</v>
      </c>
      <c r="Y745" s="1">
        <v>61</v>
      </c>
      <c r="Z745" s="1"/>
      <c r="AA745" s="1" t="s">
        <v>975</v>
      </c>
      <c r="AB745" s="1">
        <v>3207976212</v>
      </c>
    </row>
    <row r="746" spans="1:28" ht="13.8">
      <c r="A746" s="331">
        <v>25053</v>
      </c>
      <c r="B746" s="331">
        <v>25777</v>
      </c>
      <c r="C746" s="115">
        <v>46058</v>
      </c>
      <c r="D746" s="1" t="s">
        <v>822</v>
      </c>
      <c r="E746" s="1" t="s">
        <v>823</v>
      </c>
      <c r="F746" s="1" t="s">
        <v>122</v>
      </c>
      <c r="G746" s="1" t="s">
        <v>197</v>
      </c>
      <c r="H746" s="1" t="s">
        <v>198</v>
      </c>
      <c r="I746" s="1" t="s">
        <v>1236</v>
      </c>
      <c r="J746" s="1" t="s">
        <v>200</v>
      </c>
      <c r="K746" s="1" t="s">
        <v>1237</v>
      </c>
      <c r="L746" s="2">
        <v>90000</v>
      </c>
      <c r="M746" s="2">
        <v>15300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74700</v>
      </c>
      <c r="T746" s="3">
        <v>0.83</v>
      </c>
      <c r="U746" s="1"/>
      <c r="V746" s="1" t="s">
        <v>1743</v>
      </c>
      <c r="W746" s="1" t="s">
        <v>202</v>
      </c>
      <c r="X746" s="1" t="s">
        <v>225</v>
      </c>
      <c r="Y746" s="1">
        <v>31</v>
      </c>
      <c r="Z746" s="1" t="s">
        <v>1744</v>
      </c>
      <c r="AA746" s="1" t="s">
        <v>975</v>
      </c>
      <c r="AB746" s="1">
        <v>3022372867</v>
      </c>
    </row>
    <row r="747" spans="1:28" ht="13.8">
      <c r="A747" s="331">
        <v>25186</v>
      </c>
      <c r="B747" s="331">
        <v>26497</v>
      </c>
      <c r="C747" s="115">
        <v>46066</v>
      </c>
      <c r="D747" s="1" t="s">
        <v>2131</v>
      </c>
      <c r="E747" s="1" t="s">
        <v>2132</v>
      </c>
      <c r="F747" s="1" t="s">
        <v>134</v>
      </c>
      <c r="G747" s="1" t="s">
        <v>242</v>
      </c>
      <c r="H747" s="1" t="s">
        <v>243</v>
      </c>
      <c r="I747" s="1" t="s">
        <v>1236</v>
      </c>
      <c r="J747" s="1" t="s">
        <v>200</v>
      </c>
      <c r="K747" s="1" t="s">
        <v>1237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3">
        <v>0</v>
      </c>
      <c r="U747" s="1"/>
      <c r="V747" s="1"/>
      <c r="W747" s="1" t="s">
        <v>63</v>
      </c>
      <c r="X747" s="1" t="s">
        <v>225</v>
      </c>
      <c r="Y747" s="1">
        <v>52</v>
      </c>
      <c r="Z747" s="1"/>
      <c r="AA747" s="1" t="s">
        <v>975</v>
      </c>
      <c r="AB747" s="1">
        <v>3176470234</v>
      </c>
    </row>
    <row r="748" spans="1:28" ht="13.8">
      <c r="A748" s="331">
        <v>26048</v>
      </c>
      <c r="B748" s="331">
        <v>21538</v>
      </c>
      <c r="C748" s="115">
        <v>46065</v>
      </c>
      <c r="D748" s="1" t="s">
        <v>269</v>
      </c>
      <c r="E748" s="1" t="s">
        <v>270</v>
      </c>
      <c r="F748" s="1" t="s">
        <v>132</v>
      </c>
      <c r="G748" s="1" t="s">
        <v>271</v>
      </c>
      <c r="H748" s="1" t="s">
        <v>272</v>
      </c>
      <c r="I748" s="1" t="s">
        <v>1230</v>
      </c>
      <c r="J748" s="1" t="s">
        <v>210</v>
      </c>
      <c r="K748" s="1" t="s">
        <v>1231</v>
      </c>
      <c r="L748" s="2">
        <v>280000</v>
      </c>
      <c r="M748" s="2">
        <v>41293</v>
      </c>
      <c r="N748" s="2">
        <v>21402.880000000001</v>
      </c>
      <c r="O748" s="2">
        <v>5600</v>
      </c>
      <c r="P748" s="2">
        <v>0</v>
      </c>
      <c r="Q748" s="2">
        <v>10097.120000000001</v>
      </c>
      <c r="R748" s="2">
        <v>0</v>
      </c>
      <c r="S748" s="2">
        <v>211704.12</v>
      </c>
      <c r="T748" s="3">
        <v>0.75608614285714004</v>
      </c>
      <c r="U748" s="1"/>
      <c r="V748" s="1" t="s">
        <v>2270</v>
      </c>
      <c r="W748" s="1" t="s">
        <v>202</v>
      </c>
      <c r="X748" s="1" t="s">
        <v>213</v>
      </c>
      <c r="Y748" s="1">
        <v>36</v>
      </c>
      <c r="Z748" s="1" t="s">
        <v>2271</v>
      </c>
      <c r="AA748" s="1" t="s">
        <v>975</v>
      </c>
      <c r="AB748" s="1">
        <v>3017541167</v>
      </c>
    </row>
    <row r="749" spans="1:28" ht="13.8">
      <c r="A749" s="331">
        <v>26248</v>
      </c>
      <c r="B749" s="331">
        <v>14012</v>
      </c>
      <c r="C749" s="115">
        <v>46067</v>
      </c>
      <c r="D749" s="1" t="s">
        <v>1976</v>
      </c>
      <c r="E749" s="1" t="s">
        <v>1977</v>
      </c>
      <c r="F749" s="1" t="s">
        <v>122</v>
      </c>
      <c r="G749" s="1" t="s">
        <v>197</v>
      </c>
      <c r="H749" s="1" t="s">
        <v>198</v>
      </c>
      <c r="I749" s="1" t="s">
        <v>1236</v>
      </c>
      <c r="J749" s="1" t="s">
        <v>200</v>
      </c>
      <c r="K749" s="1" t="s">
        <v>1237</v>
      </c>
      <c r="L749" s="2">
        <v>90000</v>
      </c>
      <c r="M749" s="2">
        <v>14994</v>
      </c>
      <c r="N749" s="2">
        <v>0</v>
      </c>
      <c r="O749" s="2">
        <v>1800</v>
      </c>
      <c r="P749" s="2">
        <v>0</v>
      </c>
      <c r="Q749" s="2">
        <v>0</v>
      </c>
      <c r="R749" s="2">
        <v>0</v>
      </c>
      <c r="S749" s="2">
        <v>73206</v>
      </c>
      <c r="T749" s="3">
        <v>0.81340000000000001</v>
      </c>
      <c r="U749" s="1"/>
      <c r="V749" s="1" t="s">
        <v>2540</v>
      </c>
      <c r="W749" s="1" t="s">
        <v>202</v>
      </c>
      <c r="X749" s="1" t="s">
        <v>319</v>
      </c>
      <c r="Y749" s="1">
        <v>33</v>
      </c>
      <c r="Z749" s="1" t="s">
        <v>2541</v>
      </c>
      <c r="AA749" s="1" t="s">
        <v>975</v>
      </c>
      <c r="AB749" s="1">
        <v>3105470721</v>
      </c>
    </row>
    <row r="750" spans="1:28" ht="13.8">
      <c r="A750" s="331">
        <v>26728</v>
      </c>
      <c r="B750" s="331">
        <v>25146</v>
      </c>
      <c r="C750" s="115">
        <v>46071</v>
      </c>
      <c r="D750" s="1" t="s">
        <v>585</v>
      </c>
      <c r="E750" s="1" t="s">
        <v>2858</v>
      </c>
      <c r="F750" s="1" t="s">
        <v>106</v>
      </c>
      <c r="G750" s="1" t="s">
        <v>586</v>
      </c>
      <c r="H750" s="1" t="s">
        <v>587</v>
      </c>
      <c r="I750" s="1" t="s">
        <v>1257</v>
      </c>
      <c r="J750" s="1" t="s">
        <v>200</v>
      </c>
      <c r="K750" s="1" t="s">
        <v>1258</v>
      </c>
      <c r="L750" s="2">
        <v>900000</v>
      </c>
      <c r="M750" s="2">
        <v>108308.02</v>
      </c>
      <c r="N750" s="2">
        <v>167188.60999999999</v>
      </c>
      <c r="O750" s="2">
        <v>18000</v>
      </c>
      <c r="P750" s="2">
        <v>0</v>
      </c>
      <c r="Q750" s="2">
        <v>77705.39</v>
      </c>
      <c r="R750" s="2">
        <v>0</v>
      </c>
      <c r="S750" s="2">
        <v>606503.37</v>
      </c>
      <c r="T750" s="3">
        <v>0.67389263333333005</v>
      </c>
      <c r="U750" s="1"/>
      <c r="V750" s="1" t="s">
        <v>2859</v>
      </c>
      <c r="W750" s="1" t="s">
        <v>202</v>
      </c>
      <c r="X750" s="1" t="s">
        <v>319</v>
      </c>
      <c r="Y750" s="1">
        <v>37</v>
      </c>
      <c r="Z750" s="1" t="s">
        <v>2860</v>
      </c>
      <c r="AA750" s="1" t="s">
        <v>975</v>
      </c>
      <c r="AB750" s="1">
        <v>14159199531</v>
      </c>
    </row>
    <row r="751" spans="1:28" ht="13.8">
      <c r="A751" s="331">
        <v>26832</v>
      </c>
      <c r="B751" s="331">
        <v>25699</v>
      </c>
      <c r="C751" s="115">
        <v>46054</v>
      </c>
      <c r="D751" s="1" t="s">
        <v>1226</v>
      </c>
      <c r="E751" s="1" t="s">
        <v>1227</v>
      </c>
      <c r="F751" s="1" t="s">
        <v>132</v>
      </c>
      <c r="G751" s="1" t="s">
        <v>935</v>
      </c>
      <c r="H751" s="1" t="s">
        <v>936</v>
      </c>
      <c r="I751" s="1" t="s">
        <v>1089</v>
      </c>
      <c r="J751" s="1" t="s">
        <v>200</v>
      </c>
      <c r="K751" s="1" t="s">
        <v>1089</v>
      </c>
      <c r="L751" s="2">
        <v>133000</v>
      </c>
      <c r="M751" s="2">
        <v>22157.8</v>
      </c>
      <c r="N751" s="2">
        <v>0</v>
      </c>
      <c r="O751" s="2">
        <v>2660</v>
      </c>
      <c r="P751" s="2">
        <v>0</v>
      </c>
      <c r="Q751" s="2">
        <v>0</v>
      </c>
      <c r="R751" s="2">
        <v>0</v>
      </c>
      <c r="S751" s="2">
        <v>108182.2</v>
      </c>
      <c r="T751" s="3">
        <v>0.81340000000000001</v>
      </c>
      <c r="U751" s="1"/>
      <c r="V751" s="1" t="s">
        <v>1228</v>
      </c>
      <c r="W751" s="1" t="s">
        <v>202</v>
      </c>
      <c r="X751" s="1" t="s">
        <v>225</v>
      </c>
      <c r="Y751" s="1">
        <v>31</v>
      </c>
      <c r="Z751" s="1" t="s">
        <v>1229</v>
      </c>
      <c r="AA751" s="1" t="s">
        <v>975</v>
      </c>
      <c r="AB751" s="1">
        <v>3206825746</v>
      </c>
    </row>
    <row r="752" spans="1:28" ht="13.8">
      <c r="A752" s="331">
        <v>26925</v>
      </c>
      <c r="B752" s="331">
        <v>24550</v>
      </c>
      <c r="C752" s="115">
        <v>46061</v>
      </c>
      <c r="D752" s="1" t="s">
        <v>439</v>
      </c>
      <c r="E752" s="1" t="s">
        <v>440</v>
      </c>
      <c r="F752" s="1" t="s">
        <v>134</v>
      </c>
      <c r="G752" s="1" t="s">
        <v>233</v>
      </c>
      <c r="H752" s="1" t="s">
        <v>234</v>
      </c>
      <c r="I752" s="1" t="s">
        <v>1236</v>
      </c>
      <c r="J752" s="1" t="s">
        <v>200</v>
      </c>
      <c r="K752" s="1" t="s">
        <v>1237</v>
      </c>
      <c r="L752" s="2">
        <v>60000</v>
      </c>
      <c r="M752" s="2">
        <v>9996</v>
      </c>
      <c r="N752" s="2">
        <v>0</v>
      </c>
      <c r="O752" s="2">
        <v>1200</v>
      </c>
      <c r="P752" s="2">
        <v>0</v>
      </c>
      <c r="Q752" s="2">
        <v>0</v>
      </c>
      <c r="R752" s="2">
        <v>0</v>
      </c>
      <c r="S752" s="2">
        <v>48804</v>
      </c>
      <c r="T752" s="3">
        <v>0.81340000000000001</v>
      </c>
      <c r="U752" s="1"/>
      <c r="V752" s="1" t="s">
        <v>1745</v>
      </c>
      <c r="W752" s="1" t="s">
        <v>202</v>
      </c>
      <c r="X752" s="1" t="s">
        <v>225</v>
      </c>
      <c r="Y752" s="1">
        <v>36</v>
      </c>
      <c r="Z752" s="1" t="s">
        <v>1746</v>
      </c>
      <c r="AA752" s="1" t="s">
        <v>975</v>
      </c>
      <c r="AB752" s="1">
        <v>3122787380</v>
      </c>
    </row>
    <row r="753" spans="1:28" ht="13.8">
      <c r="A753" s="331">
        <v>26982</v>
      </c>
      <c r="B753" s="331">
        <v>25480</v>
      </c>
      <c r="C753" s="115">
        <v>46069</v>
      </c>
      <c r="D753" s="1" t="s">
        <v>711</v>
      </c>
      <c r="E753" s="1" t="s">
        <v>712</v>
      </c>
      <c r="F753" s="1" t="s">
        <v>122</v>
      </c>
      <c r="G753" s="1" t="s">
        <v>197</v>
      </c>
      <c r="H753" s="1" t="s">
        <v>198</v>
      </c>
      <c r="I753" s="1" t="s">
        <v>1236</v>
      </c>
      <c r="J753" s="1" t="s">
        <v>200</v>
      </c>
      <c r="K753" s="1" t="s">
        <v>1237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3">
        <v>0</v>
      </c>
      <c r="U753" s="1"/>
      <c r="V753" s="1"/>
      <c r="W753" s="1" t="s">
        <v>63</v>
      </c>
      <c r="X753" s="1" t="s">
        <v>248</v>
      </c>
      <c r="Y753" s="1">
        <v>44</v>
      </c>
      <c r="Z753" s="1"/>
      <c r="AA753" s="1" t="s">
        <v>975</v>
      </c>
      <c r="AB753" s="1">
        <v>3146962057</v>
      </c>
    </row>
    <row r="754" spans="1:28" ht="13.8">
      <c r="A754" s="331">
        <v>26990</v>
      </c>
      <c r="B754" s="331">
        <v>26582</v>
      </c>
      <c r="C754" s="115">
        <v>46069</v>
      </c>
      <c r="D754" s="1" t="s">
        <v>2349</v>
      </c>
      <c r="E754" s="1" t="s">
        <v>2350</v>
      </c>
      <c r="F754" s="1" t="s">
        <v>122</v>
      </c>
      <c r="G754" s="1" t="s">
        <v>233</v>
      </c>
      <c r="H754" s="1" t="s">
        <v>234</v>
      </c>
      <c r="I754" s="1" t="s">
        <v>1236</v>
      </c>
      <c r="J754" s="1" t="s">
        <v>200</v>
      </c>
      <c r="K754" s="1" t="s">
        <v>1237</v>
      </c>
      <c r="L754" s="2">
        <v>60000</v>
      </c>
      <c r="M754" s="2">
        <v>9996</v>
      </c>
      <c r="N754" s="2">
        <v>0</v>
      </c>
      <c r="O754" s="2">
        <v>1200</v>
      </c>
      <c r="P754" s="2">
        <v>0</v>
      </c>
      <c r="Q754" s="2">
        <v>0</v>
      </c>
      <c r="R754" s="2">
        <v>0</v>
      </c>
      <c r="S754" s="2">
        <v>48804</v>
      </c>
      <c r="T754" s="3">
        <v>0.81340000000000001</v>
      </c>
      <c r="U754" s="1"/>
      <c r="V754" s="1" t="s">
        <v>2861</v>
      </c>
      <c r="W754" s="1" t="s">
        <v>202</v>
      </c>
      <c r="X754" s="1" t="s">
        <v>225</v>
      </c>
      <c r="Y754" s="1">
        <v>16</v>
      </c>
      <c r="Z754" s="1" t="s">
        <v>2862</v>
      </c>
      <c r="AA754" s="1" t="s">
        <v>975</v>
      </c>
      <c r="AB754" s="1">
        <v>3146962057</v>
      </c>
    </row>
    <row r="755" spans="1:28" ht="13.8">
      <c r="A755" s="331">
        <v>26990</v>
      </c>
      <c r="B755" s="331">
        <v>26583</v>
      </c>
      <c r="C755" s="115">
        <v>46069</v>
      </c>
      <c r="D755" s="1" t="s">
        <v>2349</v>
      </c>
      <c r="E755" s="1" t="s">
        <v>2350</v>
      </c>
      <c r="F755" s="1" t="s">
        <v>122</v>
      </c>
      <c r="G755" s="1" t="s">
        <v>197</v>
      </c>
      <c r="H755" s="1" t="s">
        <v>198</v>
      </c>
      <c r="I755" s="1" t="s">
        <v>1236</v>
      </c>
      <c r="J755" s="1" t="s">
        <v>200</v>
      </c>
      <c r="K755" s="1" t="s">
        <v>1237</v>
      </c>
      <c r="L755" s="2">
        <v>90000</v>
      </c>
      <c r="M755" s="2">
        <v>14994</v>
      </c>
      <c r="N755" s="2">
        <v>0</v>
      </c>
      <c r="O755" s="2">
        <v>1800</v>
      </c>
      <c r="P755" s="2">
        <v>0</v>
      </c>
      <c r="Q755" s="2">
        <v>0</v>
      </c>
      <c r="R755" s="2">
        <v>0</v>
      </c>
      <c r="S755" s="2">
        <v>73206</v>
      </c>
      <c r="T755" s="3">
        <v>0.81340000000000001</v>
      </c>
      <c r="U755" s="1"/>
      <c r="V755" s="1" t="s">
        <v>2861</v>
      </c>
      <c r="W755" s="1" t="s">
        <v>202</v>
      </c>
      <c r="X755" s="1" t="s">
        <v>225</v>
      </c>
      <c r="Y755" s="1">
        <v>16</v>
      </c>
      <c r="Z755" s="1" t="s">
        <v>2862</v>
      </c>
      <c r="AA755" s="1" t="s">
        <v>975</v>
      </c>
      <c r="AB755" s="1">
        <v>3146962057</v>
      </c>
    </row>
    <row r="756" spans="1:28" ht="13.8">
      <c r="A756" s="331">
        <v>27112</v>
      </c>
      <c r="B756" s="331">
        <v>26656</v>
      </c>
      <c r="C756" s="115">
        <v>46070</v>
      </c>
      <c r="D756" s="1" t="s">
        <v>1999</v>
      </c>
      <c r="E756" s="1" t="s">
        <v>2000</v>
      </c>
      <c r="F756" s="1" t="s">
        <v>134</v>
      </c>
      <c r="G756" s="1" t="s">
        <v>233</v>
      </c>
      <c r="H756" s="1" t="s">
        <v>234</v>
      </c>
      <c r="I756" s="1" t="s">
        <v>1236</v>
      </c>
      <c r="J756" s="1" t="s">
        <v>200</v>
      </c>
      <c r="K756" s="1" t="s">
        <v>1237</v>
      </c>
      <c r="L756" s="2">
        <v>30000</v>
      </c>
      <c r="M756" s="2">
        <v>4998</v>
      </c>
      <c r="N756" s="2">
        <v>0</v>
      </c>
      <c r="O756" s="2">
        <v>600</v>
      </c>
      <c r="P756" s="2">
        <v>0</v>
      </c>
      <c r="Q756" s="2">
        <v>0</v>
      </c>
      <c r="R756" s="2">
        <v>0</v>
      </c>
      <c r="S756" s="2">
        <v>24402</v>
      </c>
      <c r="T756" s="3">
        <v>0.81340000000000001</v>
      </c>
      <c r="U756" s="1"/>
      <c r="V756" s="1" t="s">
        <v>2863</v>
      </c>
      <c r="W756" s="1" t="s">
        <v>202</v>
      </c>
      <c r="X756" s="1" t="s">
        <v>225</v>
      </c>
      <c r="Y756" s="1">
        <v>27</v>
      </c>
      <c r="Z756" s="1" t="s">
        <v>2864</v>
      </c>
      <c r="AA756" s="1" t="s">
        <v>975</v>
      </c>
      <c r="AB756" s="1">
        <v>3116349821</v>
      </c>
    </row>
    <row r="757" spans="1:28" ht="13.8">
      <c r="A757" s="331">
        <v>27112</v>
      </c>
      <c r="B757" s="331">
        <v>26657</v>
      </c>
      <c r="C757" s="115">
        <v>46070</v>
      </c>
      <c r="D757" s="1" t="s">
        <v>1999</v>
      </c>
      <c r="E757" s="1" t="s">
        <v>2000</v>
      </c>
      <c r="F757" s="1" t="s">
        <v>134</v>
      </c>
      <c r="G757" s="1" t="s">
        <v>197</v>
      </c>
      <c r="H757" s="1" t="s">
        <v>198</v>
      </c>
      <c r="I757" s="1" t="s">
        <v>1236</v>
      </c>
      <c r="J757" s="1" t="s">
        <v>200</v>
      </c>
      <c r="K757" s="1" t="s">
        <v>1237</v>
      </c>
      <c r="L757" s="2">
        <v>45000</v>
      </c>
      <c r="M757" s="2">
        <v>7497</v>
      </c>
      <c r="N757" s="2">
        <v>0</v>
      </c>
      <c r="O757" s="2">
        <v>900</v>
      </c>
      <c r="P757" s="2">
        <v>0</v>
      </c>
      <c r="Q757" s="2">
        <v>0</v>
      </c>
      <c r="R757" s="2">
        <v>0</v>
      </c>
      <c r="S757" s="2">
        <v>36603</v>
      </c>
      <c r="T757" s="3">
        <v>0.81340000000000001</v>
      </c>
      <c r="U757" s="1"/>
      <c r="V757" s="1" t="s">
        <v>2863</v>
      </c>
      <c r="W757" s="1" t="s">
        <v>202</v>
      </c>
      <c r="X757" s="1" t="s">
        <v>225</v>
      </c>
      <c r="Y757" s="1">
        <v>27</v>
      </c>
      <c r="Z757" s="1" t="s">
        <v>2864</v>
      </c>
      <c r="AA757" s="1" t="s">
        <v>975</v>
      </c>
      <c r="AB757" s="1">
        <v>3116349821</v>
      </c>
    </row>
    <row r="758" spans="1:28" ht="13.8">
      <c r="A758" s="331">
        <v>27214</v>
      </c>
      <c r="B758" s="331">
        <v>26035</v>
      </c>
      <c r="C758" s="115">
        <v>46058</v>
      </c>
      <c r="D758" s="1" t="s">
        <v>964</v>
      </c>
      <c r="E758" s="1" t="s">
        <v>4</v>
      </c>
      <c r="F758" s="1" t="s">
        <v>132</v>
      </c>
      <c r="G758" s="1" t="s">
        <v>935</v>
      </c>
      <c r="H758" s="1" t="s">
        <v>936</v>
      </c>
      <c r="I758" s="1" t="s">
        <v>1089</v>
      </c>
      <c r="J758" s="1" t="s">
        <v>200</v>
      </c>
      <c r="K758" s="1" t="s">
        <v>1089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3">
        <v>0</v>
      </c>
      <c r="U758" s="1"/>
      <c r="V758" s="1"/>
      <c r="W758" s="1" t="s">
        <v>63</v>
      </c>
      <c r="X758" s="1" t="s">
        <v>248</v>
      </c>
      <c r="Y758" s="1">
        <v>35</v>
      </c>
      <c r="Z758" s="1"/>
      <c r="AA758" s="1" t="s">
        <v>975</v>
      </c>
      <c r="AB758" s="1">
        <v>3168305804</v>
      </c>
    </row>
    <row r="759" spans="1:28" ht="13.8">
      <c r="A759" s="331">
        <v>27214</v>
      </c>
      <c r="B759" s="331">
        <v>26412</v>
      </c>
      <c r="C759" s="115">
        <v>46067</v>
      </c>
      <c r="D759" s="1" t="s">
        <v>964</v>
      </c>
      <c r="E759" s="1" t="s">
        <v>4</v>
      </c>
      <c r="F759" s="1" t="s">
        <v>134</v>
      </c>
      <c r="G759" s="1" t="s">
        <v>935</v>
      </c>
      <c r="H759" s="1" t="s">
        <v>936</v>
      </c>
      <c r="I759" s="1" t="s">
        <v>1089</v>
      </c>
      <c r="J759" s="1" t="s">
        <v>200</v>
      </c>
      <c r="K759" s="1" t="s">
        <v>1089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3">
        <v>0</v>
      </c>
      <c r="U759" s="1"/>
      <c r="V759" s="1"/>
      <c r="W759" s="1" t="s">
        <v>63</v>
      </c>
      <c r="X759" s="1" t="s">
        <v>248</v>
      </c>
      <c r="Y759" s="1">
        <v>35</v>
      </c>
      <c r="Z759" s="1"/>
      <c r="AA759" s="1" t="s">
        <v>975</v>
      </c>
      <c r="AB759" s="1">
        <v>3168305804</v>
      </c>
    </row>
    <row r="760" spans="1:28" ht="13.8">
      <c r="A760" s="331">
        <v>27214</v>
      </c>
      <c r="B760" s="331">
        <v>26505</v>
      </c>
      <c r="C760" s="115">
        <v>46066</v>
      </c>
      <c r="D760" s="1" t="s">
        <v>964</v>
      </c>
      <c r="E760" s="1" t="s">
        <v>4</v>
      </c>
      <c r="F760" s="1" t="s">
        <v>134</v>
      </c>
      <c r="G760" s="1" t="s">
        <v>1087</v>
      </c>
      <c r="H760" s="1" t="s">
        <v>1088</v>
      </c>
      <c r="I760" s="1" t="s">
        <v>1089</v>
      </c>
      <c r="J760" s="1" t="s">
        <v>200</v>
      </c>
      <c r="K760" s="1" t="s">
        <v>1089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3">
        <v>0</v>
      </c>
      <c r="U760" s="1"/>
      <c r="V760" s="1"/>
      <c r="W760" s="1" t="s">
        <v>63</v>
      </c>
      <c r="X760" s="1" t="s">
        <v>248</v>
      </c>
      <c r="Y760" s="1">
        <v>35</v>
      </c>
      <c r="Z760" s="1"/>
      <c r="AA760" s="1" t="s">
        <v>975</v>
      </c>
      <c r="AB760" s="1">
        <v>3168305804</v>
      </c>
    </row>
    <row r="761" spans="1:28" ht="13.8">
      <c r="A761" s="331">
        <v>27214</v>
      </c>
      <c r="B761" s="331">
        <v>26506</v>
      </c>
      <c r="C761" s="115">
        <v>46067</v>
      </c>
      <c r="D761" s="1" t="s">
        <v>964</v>
      </c>
      <c r="E761" s="1" t="s">
        <v>4</v>
      </c>
      <c r="F761" s="1" t="s">
        <v>134</v>
      </c>
      <c r="G761" s="1" t="s">
        <v>1087</v>
      </c>
      <c r="H761" s="1" t="s">
        <v>1088</v>
      </c>
      <c r="I761" s="1" t="s">
        <v>1089</v>
      </c>
      <c r="J761" s="1" t="s">
        <v>200</v>
      </c>
      <c r="K761" s="1" t="s">
        <v>1089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3">
        <v>0</v>
      </c>
      <c r="U761" s="1"/>
      <c r="V761" s="1"/>
      <c r="W761" s="1" t="s">
        <v>63</v>
      </c>
      <c r="X761" s="1" t="s">
        <v>248</v>
      </c>
      <c r="Y761" s="1">
        <v>35</v>
      </c>
      <c r="Z761" s="1"/>
      <c r="AA761" s="1" t="s">
        <v>975</v>
      </c>
      <c r="AB761" s="1">
        <v>3168305804</v>
      </c>
    </row>
    <row r="762" spans="1:28" ht="13.8">
      <c r="A762" s="331">
        <v>27214</v>
      </c>
      <c r="B762" s="331">
        <v>26752</v>
      </c>
      <c r="C762" s="115">
        <v>46070</v>
      </c>
      <c r="D762" s="1" t="s">
        <v>964</v>
      </c>
      <c r="E762" s="1" t="s">
        <v>4</v>
      </c>
      <c r="F762" s="1" t="s">
        <v>132</v>
      </c>
      <c r="G762" s="1" t="s">
        <v>935</v>
      </c>
      <c r="H762" s="1" t="s">
        <v>936</v>
      </c>
      <c r="I762" s="1" t="s">
        <v>1089</v>
      </c>
      <c r="J762" s="1" t="s">
        <v>200</v>
      </c>
      <c r="K762" s="1" t="s">
        <v>1089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3">
        <v>0</v>
      </c>
      <c r="U762" s="1"/>
      <c r="V762" s="1"/>
      <c r="W762" s="1" t="s">
        <v>63</v>
      </c>
      <c r="X762" s="1" t="s">
        <v>248</v>
      </c>
      <c r="Y762" s="1">
        <v>35</v>
      </c>
      <c r="Z762" s="1"/>
      <c r="AA762" s="1" t="s">
        <v>975</v>
      </c>
      <c r="AB762" s="1">
        <v>3168305804</v>
      </c>
    </row>
    <row r="763" spans="1:28" ht="13.8">
      <c r="A763" s="331">
        <v>27219</v>
      </c>
      <c r="B763" s="331">
        <v>25977</v>
      </c>
      <c r="C763" s="115">
        <v>46064</v>
      </c>
      <c r="D763" s="1" t="s">
        <v>1303</v>
      </c>
      <c r="E763" s="1" t="s">
        <v>1304</v>
      </c>
      <c r="F763" s="1" t="s">
        <v>106</v>
      </c>
      <c r="G763" s="1" t="s">
        <v>954</v>
      </c>
      <c r="H763" s="1" t="s">
        <v>955</v>
      </c>
      <c r="I763" s="1" t="s">
        <v>1230</v>
      </c>
      <c r="J763" s="1" t="s">
        <v>210</v>
      </c>
      <c r="K763" s="1"/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3">
        <v>0</v>
      </c>
      <c r="U763" s="1"/>
      <c r="V763" s="1"/>
      <c r="W763" s="1" t="s">
        <v>63</v>
      </c>
      <c r="X763" s="1" t="s">
        <v>225</v>
      </c>
      <c r="Y763" s="1">
        <v>26</v>
      </c>
      <c r="Z763" s="1"/>
      <c r="AA763" s="1" t="s">
        <v>975</v>
      </c>
      <c r="AB763" s="1">
        <v>3053742727</v>
      </c>
    </row>
    <row r="764" spans="1:28" ht="13.8">
      <c r="A764" s="331">
        <v>27219</v>
      </c>
      <c r="B764" s="331">
        <v>26010</v>
      </c>
      <c r="C764" s="115">
        <v>46057</v>
      </c>
      <c r="D764" s="1" t="s">
        <v>1303</v>
      </c>
      <c r="E764" s="1" t="s">
        <v>1304</v>
      </c>
      <c r="F764" s="1" t="s">
        <v>5</v>
      </c>
      <c r="G764" s="1">
        <v>939400</v>
      </c>
      <c r="H764" s="1" t="s">
        <v>1747</v>
      </c>
      <c r="I764" s="1" t="s">
        <v>1748</v>
      </c>
      <c r="J764" s="1" t="s">
        <v>1749</v>
      </c>
      <c r="K764" s="1"/>
      <c r="L764" s="2">
        <v>0</v>
      </c>
      <c r="M764" s="2">
        <v>0</v>
      </c>
      <c r="N764" s="2">
        <v>14700</v>
      </c>
      <c r="O764" s="2">
        <v>0</v>
      </c>
      <c r="P764" s="2">
        <v>0</v>
      </c>
      <c r="Q764" s="2">
        <v>5793</v>
      </c>
      <c r="R764" s="2">
        <v>0</v>
      </c>
      <c r="S764" s="2">
        <v>-14700</v>
      </c>
      <c r="T764" s="3">
        <v>0</v>
      </c>
      <c r="U764" s="1"/>
      <c r="V764" s="1"/>
      <c r="W764" s="1" t="s">
        <v>63</v>
      </c>
      <c r="X764" s="1" t="s">
        <v>225</v>
      </c>
      <c r="Y764" s="1">
        <v>25</v>
      </c>
      <c r="Z764" s="1"/>
      <c r="AA764" s="1" t="s">
        <v>975</v>
      </c>
      <c r="AB764" s="1">
        <v>3053742727</v>
      </c>
    </row>
    <row r="765" spans="1:28" ht="13.8">
      <c r="A765" s="331">
        <v>27219</v>
      </c>
      <c r="B765" s="331">
        <v>26032</v>
      </c>
      <c r="C765" s="115">
        <v>46058</v>
      </c>
      <c r="D765" s="1" t="s">
        <v>1303</v>
      </c>
      <c r="E765" s="1" t="s">
        <v>1304</v>
      </c>
      <c r="F765" s="1" t="s">
        <v>122</v>
      </c>
      <c r="G765" s="1" t="s">
        <v>1087</v>
      </c>
      <c r="H765" s="1" t="s">
        <v>1088</v>
      </c>
      <c r="I765" s="1" t="s">
        <v>1089</v>
      </c>
      <c r="J765" s="1" t="s">
        <v>200</v>
      </c>
      <c r="K765" s="1" t="s">
        <v>1089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3">
        <v>0</v>
      </c>
      <c r="U765" s="1"/>
      <c r="V765" s="1"/>
      <c r="W765" s="1" t="s">
        <v>63</v>
      </c>
      <c r="X765" s="1" t="s">
        <v>225</v>
      </c>
      <c r="Y765" s="1">
        <v>25</v>
      </c>
      <c r="Z765" s="1"/>
      <c r="AA765" s="1" t="s">
        <v>975</v>
      </c>
      <c r="AB765" s="1">
        <v>3053742727</v>
      </c>
    </row>
    <row r="766" spans="1:28" ht="13.8">
      <c r="A766" s="331">
        <v>27247</v>
      </c>
      <c r="B766" s="331">
        <v>25952</v>
      </c>
      <c r="C766" s="115">
        <v>46063</v>
      </c>
      <c r="D766" s="1" t="s">
        <v>965</v>
      </c>
      <c r="E766" s="1" t="s">
        <v>3</v>
      </c>
      <c r="F766" s="1" t="s">
        <v>132</v>
      </c>
      <c r="G766" s="1" t="s">
        <v>954</v>
      </c>
      <c r="H766" s="1" t="s">
        <v>955</v>
      </c>
      <c r="I766" s="1" t="s">
        <v>1230</v>
      </c>
      <c r="J766" s="1" t="s">
        <v>210</v>
      </c>
      <c r="K766" s="1"/>
      <c r="L766" s="2">
        <v>0</v>
      </c>
      <c r="M766" s="2">
        <v>0</v>
      </c>
      <c r="N766" s="2">
        <v>5276.99</v>
      </c>
      <c r="O766" s="2">
        <v>0</v>
      </c>
      <c r="P766" s="2">
        <v>0</v>
      </c>
      <c r="Q766" s="2">
        <v>2100.0100000000002</v>
      </c>
      <c r="R766" s="2">
        <v>0</v>
      </c>
      <c r="S766" s="2">
        <v>-5276.99</v>
      </c>
      <c r="T766" s="3">
        <v>0</v>
      </c>
      <c r="U766" s="1"/>
      <c r="V766" s="1"/>
      <c r="W766" s="1" t="s">
        <v>63</v>
      </c>
      <c r="X766" s="1" t="s">
        <v>248</v>
      </c>
      <c r="Y766" s="1">
        <v>36</v>
      </c>
      <c r="Z766" s="1"/>
      <c r="AA766" s="1" t="s">
        <v>975</v>
      </c>
      <c r="AB766" s="1">
        <v>3008249135</v>
      </c>
    </row>
    <row r="767" spans="1:28" ht="13.8">
      <c r="A767" s="331">
        <v>27247</v>
      </c>
      <c r="B767" s="331">
        <v>26264</v>
      </c>
      <c r="C767" s="115">
        <v>46062</v>
      </c>
      <c r="D767" s="1" t="s">
        <v>965</v>
      </c>
      <c r="E767" s="1" t="s">
        <v>3</v>
      </c>
      <c r="F767" s="1" t="s">
        <v>122</v>
      </c>
      <c r="G767" s="1" t="s">
        <v>1087</v>
      </c>
      <c r="H767" s="1" t="s">
        <v>1088</v>
      </c>
      <c r="I767" s="1" t="s">
        <v>1089</v>
      </c>
      <c r="J767" s="1" t="s">
        <v>200</v>
      </c>
      <c r="K767" s="1" t="s">
        <v>1089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3">
        <v>0</v>
      </c>
      <c r="U767" s="1"/>
      <c r="V767" s="1"/>
      <c r="W767" s="1" t="s">
        <v>63</v>
      </c>
      <c r="X767" s="1" t="s">
        <v>248</v>
      </c>
      <c r="Y767" s="1">
        <v>36</v>
      </c>
      <c r="Z767" s="1"/>
      <c r="AA767" s="1" t="s">
        <v>975</v>
      </c>
      <c r="AB767" s="1">
        <v>3008249135</v>
      </c>
    </row>
    <row r="768" spans="1:28" ht="13.8">
      <c r="A768" s="331">
        <v>27918</v>
      </c>
      <c r="B768" s="331">
        <v>18027</v>
      </c>
      <c r="C768" s="115">
        <v>46067</v>
      </c>
      <c r="D768" s="1" t="s">
        <v>1978</v>
      </c>
      <c r="E768" s="1" t="s">
        <v>1979</v>
      </c>
      <c r="F768" s="1" t="s">
        <v>106</v>
      </c>
      <c r="G768" s="1" t="s">
        <v>217</v>
      </c>
      <c r="H768" s="1" t="s">
        <v>218</v>
      </c>
      <c r="I768" s="1" t="s">
        <v>1236</v>
      </c>
      <c r="J768" s="1" t="s">
        <v>200</v>
      </c>
      <c r="K768" s="1" t="s">
        <v>1237</v>
      </c>
      <c r="L768" s="2">
        <v>50000</v>
      </c>
      <c r="M768" s="2">
        <v>8500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41500</v>
      </c>
      <c r="T768" s="3">
        <v>0.83</v>
      </c>
      <c r="U768" s="1"/>
      <c r="V768" s="1" t="s">
        <v>2542</v>
      </c>
      <c r="W768" s="1" t="s">
        <v>202</v>
      </c>
      <c r="X768" s="1" t="s">
        <v>225</v>
      </c>
      <c r="Y768" s="1">
        <v>50</v>
      </c>
      <c r="Z768" s="1" t="s">
        <v>2543</v>
      </c>
      <c r="AA768" s="1" t="s">
        <v>975</v>
      </c>
      <c r="AB768" s="1">
        <v>3158195821</v>
      </c>
    </row>
    <row r="769" spans="1:28" ht="13.8">
      <c r="A769" s="331">
        <v>28336</v>
      </c>
      <c r="B769" s="331">
        <v>26267</v>
      </c>
      <c r="C769" s="115">
        <v>46062</v>
      </c>
      <c r="D769" s="1" t="s">
        <v>1965</v>
      </c>
      <c r="E769" s="1" t="s">
        <v>1966</v>
      </c>
      <c r="F769" s="1" t="s">
        <v>134</v>
      </c>
      <c r="G769" s="1" t="s">
        <v>935</v>
      </c>
      <c r="H769" s="1" t="s">
        <v>936</v>
      </c>
      <c r="I769" s="1" t="s">
        <v>1089</v>
      </c>
      <c r="J769" s="1" t="s">
        <v>200</v>
      </c>
      <c r="K769" s="1" t="s">
        <v>1089</v>
      </c>
      <c r="L769" s="2">
        <v>95000</v>
      </c>
      <c r="M769" s="2">
        <v>15827</v>
      </c>
      <c r="N769" s="2">
        <v>0</v>
      </c>
      <c r="O769" s="2">
        <v>1900</v>
      </c>
      <c r="P769" s="2">
        <v>0</v>
      </c>
      <c r="Q769" s="2">
        <v>0</v>
      </c>
      <c r="R769" s="2">
        <v>0</v>
      </c>
      <c r="S769" s="2">
        <v>77273</v>
      </c>
      <c r="T769" s="3">
        <v>0.81340000000000001</v>
      </c>
      <c r="U769" s="1"/>
      <c r="V769" s="1" t="s">
        <v>1967</v>
      </c>
      <c r="W769" s="1" t="s">
        <v>202</v>
      </c>
      <c r="X769" s="1" t="s">
        <v>225</v>
      </c>
      <c r="Y769" s="1">
        <v>36</v>
      </c>
      <c r="Z769" s="1" t="s">
        <v>1968</v>
      </c>
      <c r="AA769" s="1" t="s">
        <v>975</v>
      </c>
      <c r="AB769" s="1">
        <v>3007132031</v>
      </c>
    </row>
    <row r="770" spans="1:28" ht="13.8">
      <c r="A770" s="331">
        <v>28584</v>
      </c>
      <c r="B770" s="331">
        <v>25763</v>
      </c>
      <c r="C770" s="115">
        <v>46055</v>
      </c>
      <c r="D770" s="1" t="s">
        <v>1234</v>
      </c>
      <c r="E770" s="1" t="s">
        <v>1235</v>
      </c>
      <c r="F770" s="1" t="s">
        <v>106</v>
      </c>
      <c r="G770" s="1" t="s">
        <v>215</v>
      </c>
      <c r="H770" s="1" t="s">
        <v>216</v>
      </c>
      <c r="I770" s="1" t="s">
        <v>1236</v>
      </c>
      <c r="J770" s="1" t="s">
        <v>200</v>
      </c>
      <c r="K770" s="1"/>
      <c r="L770" s="2">
        <v>140000</v>
      </c>
      <c r="M770" s="2">
        <v>2744</v>
      </c>
      <c r="N770" s="2">
        <v>0</v>
      </c>
      <c r="O770" s="2">
        <v>2800</v>
      </c>
      <c r="P770" s="2">
        <v>0</v>
      </c>
      <c r="Q770" s="2">
        <v>0</v>
      </c>
      <c r="R770" s="2">
        <v>0</v>
      </c>
      <c r="S770" s="2">
        <v>134456</v>
      </c>
      <c r="T770" s="3">
        <v>0.96040000000000003</v>
      </c>
      <c r="U770" s="1"/>
      <c r="V770" s="1" t="s">
        <v>1238</v>
      </c>
      <c r="W770" s="1" t="s">
        <v>202</v>
      </c>
      <c r="X770" s="1" t="s">
        <v>225</v>
      </c>
      <c r="Y770" s="1">
        <v>30</v>
      </c>
      <c r="Z770" s="1" t="s">
        <v>1239</v>
      </c>
      <c r="AA770" s="1" t="s">
        <v>975</v>
      </c>
      <c r="AB770" s="1">
        <v>33679978779</v>
      </c>
    </row>
    <row r="771" spans="1:28" ht="13.8">
      <c r="A771" s="331">
        <v>28584</v>
      </c>
      <c r="B771" s="331">
        <v>25864</v>
      </c>
      <c r="C771" s="115">
        <v>46055</v>
      </c>
      <c r="D771" s="1" t="s">
        <v>1234</v>
      </c>
      <c r="E771" s="1" t="s">
        <v>1235</v>
      </c>
      <c r="F771" s="1" t="s">
        <v>106</v>
      </c>
      <c r="G771" s="1" t="s">
        <v>242</v>
      </c>
      <c r="H771" s="1" t="s">
        <v>243</v>
      </c>
      <c r="I771" s="1" t="s">
        <v>1236</v>
      </c>
      <c r="J771" s="1" t="s">
        <v>200</v>
      </c>
      <c r="K771" s="1" t="s">
        <v>1237</v>
      </c>
      <c r="L771" s="2">
        <v>140000</v>
      </c>
      <c r="M771" s="2">
        <v>23324</v>
      </c>
      <c r="N771" s="2">
        <v>0</v>
      </c>
      <c r="O771" s="2">
        <v>2800</v>
      </c>
      <c r="P771" s="2">
        <v>0</v>
      </c>
      <c r="Q771" s="2">
        <v>0</v>
      </c>
      <c r="R771" s="2">
        <v>0</v>
      </c>
      <c r="S771" s="2">
        <v>113876</v>
      </c>
      <c r="T771" s="3">
        <v>0.81340000000000001</v>
      </c>
      <c r="U771" s="1"/>
      <c r="V771" s="1" t="s">
        <v>1238</v>
      </c>
      <c r="W771" s="1" t="s">
        <v>202</v>
      </c>
      <c r="X771" s="1" t="s">
        <v>225</v>
      </c>
      <c r="Y771" s="1">
        <v>30</v>
      </c>
      <c r="Z771" s="1" t="s">
        <v>1239</v>
      </c>
      <c r="AA771" s="1" t="s">
        <v>975</v>
      </c>
      <c r="AB771" s="1">
        <v>33679978779</v>
      </c>
    </row>
    <row r="772" spans="1:28" ht="13.8">
      <c r="A772" s="331">
        <v>29149</v>
      </c>
      <c r="B772" s="331">
        <v>14867</v>
      </c>
      <c r="C772" s="115">
        <v>46056</v>
      </c>
      <c r="D772" s="1" t="s">
        <v>1267</v>
      </c>
      <c r="E772" s="1" t="s">
        <v>1268</v>
      </c>
      <c r="F772" s="1" t="s">
        <v>122</v>
      </c>
      <c r="G772" s="1" t="s">
        <v>233</v>
      </c>
      <c r="H772" s="1" t="s">
        <v>234</v>
      </c>
      <c r="I772" s="1" t="s">
        <v>1236</v>
      </c>
      <c r="J772" s="1" t="s">
        <v>200</v>
      </c>
      <c r="K772" s="1" t="s">
        <v>1237</v>
      </c>
      <c r="L772" s="2">
        <v>50000</v>
      </c>
      <c r="M772" s="2">
        <v>8330</v>
      </c>
      <c r="N772" s="2">
        <v>0</v>
      </c>
      <c r="O772" s="2">
        <v>1000</v>
      </c>
      <c r="P772" s="2">
        <v>0</v>
      </c>
      <c r="Q772" s="2">
        <v>0</v>
      </c>
      <c r="R772" s="2">
        <v>0</v>
      </c>
      <c r="S772" s="2">
        <v>40670</v>
      </c>
      <c r="T772" s="3">
        <v>0.81340000000000001</v>
      </c>
      <c r="U772" s="1"/>
      <c r="V772" s="1" t="s">
        <v>1269</v>
      </c>
      <c r="W772" s="1" t="s">
        <v>203</v>
      </c>
      <c r="X772" s="1" t="s">
        <v>213</v>
      </c>
      <c r="Y772" s="1">
        <v>27</v>
      </c>
      <c r="Z772" s="1" t="s">
        <v>1270</v>
      </c>
      <c r="AA772" s="1" t="s">
        <v>975</v>
      </c>
      <c r="AB772" s="1">
        <v>3116422623</v>
      </c>
    </row>
    <row r="773" spans="1:28" ht="13.8">
      <c r="A773" s="331">
        <v>29203</v>
      </c>
      <c r="B773" s="331">
        <v>26840</v>
      </c>
      <c r="C773" s="115">
        <v>46072</v>
      </c>
      <c r="D773" s="1" t="s">
        <v>2865</v>
      </c>
      <c r="E773" s="1" t="s">
        <v>2866</v>
      </c>
      <c r="F773" s="1" t="s">
        <v>106</v>
      </c>
      <c r="G773" s="1" t="s">
        <v>197</v>
      </c>
      <c r="H773" s="1" t="s">
        <v>198</v>
      </c>
      <c r="I773" s="1" t="s">
        <v>1236</v>
      </c>
      <c r="J773" s="1" t="s">
        <v>200</v>
      </c>
      <c r="K773" s="1" t="s">
        <v>1237</v>
      </c>
      <c r="L773" s="2">
        <v>90000</v>
      </c>
      <c r="M773" s="2">
        <v>15300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74700</v>
      </c>
      <c r="T773" s="3">
        <v>0.83</v>
      </c>
      <c r="U773" s="1"/>
      <c r="V773" s="1" t="s">
        <v>2867</v>
      </c>
      <c r="W773" s="1" t="s">
        <v>202</v>
      </c>
      <c r="X773" s="1" t="s">
        <v>319</v>
      </c>
      <c r="Y773" s="1">
        <v>38</v>
      </c>
      <c r="Z773" s="1" t="s">
        <v>2868</v>
      </c>
      <c r="AA773" s="1" t="s">
        <v>975</v>
      </c>
      <c r="AB773" s="1">
        <v>3043973703</v>
      </c>
    </row>
    <row r="774" spans="1:28" ht="13.8">
      <c r="A774" s="331">
        <v>29586</v>
      </c>
      <c r="B774" s="331">
        <v>26107</v>
      </c>
      <c r="C774" s="115">
        <v>46059</v>
      </c>
      <c r="D774" s="1" t="s">
        <v>1750</v>
      </c>
      <c r="E774" s="1" t="s">
        <v>1751</v>
      </c>
      <c r="F774" s="1" t="s">
        <v>134</v>
      </c>
      <c r="G774" s="1" t="s">
        <v>197</v>
      </c>
      <c r="H774" s="1" t="s">
        <v>198</v>
      </c>
      <c r="I774" s="1" t="s">
        <v>1236</v>
      </c>
      <c r="J774" s="1" t="s">
        <v>200</v>
      </c>
      <c r="K774" s="1" t="s">
        <v>1237</v>
      </c>
      <c r="L774" s="2">
        <v>90000</v>
      </c>
      <c r="M774" s="2">
        <v>14994</v>
      </c>
      <c r="N774" s="2">
        <v>0</v>
      </c>
      <c r="O774" s="2">
        <v>1800</v>
      </c>
      <c r="P774" s="2">
        <v>0</v>
      </c>
      <c r="Q774" s="2">
        <v>0</v>
      </c>
      <c r="R774" s="2">
        <v>0</v>
      </c>
      <c r="S774" s="2">
        <v>73206</v>
      </c>
      <c r="T774" s="3">
        <v>0.81340000000000001</v>
      </c>
      <c r="U774" s="1"/>
      <c r="V774" s="1" t="s">
        <v>1752</v>
      </c>
      <c r="W774" s="1" t="s">
        <v>202</v>
      </c>
      <c r="X774" s="1" t="s">
        <v>213</v>
      </c>
      <c r="Y774" s="1">
        <v>45</v>
      </c>
      <c r="Z774" s="1" t="s">
        <v>1753</v>
      </c>
      <c r="AA774" s="1" t="s">
        <v>975</v>
      </c>
      <c r="AB774" s="1">
        <v>19795958210</v>
      </c>
    </row>
    <row r="775" spans="1:28" ht="13.8">
      <c r="A775" s="331">
        <v>30092</v>
      </c>
      <c r="B775" s="331">
        <v>25944</v>
      </c>
      <c r="C775" s="115">
        <v>46057</v>
      </c>
      <c r="D775" s="1" t="s">
        <v>1754</v>
      </c>
      <c r="E775" s="1" t="s">
        <v>1755</v>
      </c>
      <c r="F775" s="1" t="s">
        <v>134</v>
      </c>
      <c r="G775" s="1" t="s">
        <v>271</v>
      </c>
      <c r="H775" s="1" t="s">
        <v>272</v>
      </c>
      <c r="I775" s="1" t="s">
        <v>1230</v>
      </c>
      <c r="J775" s="1" t="s">
        <v>210</v>
      </c>
      <c r="K775" s="1" t="s">
        <v>1231</v>
      </c>
      <c r="L775" s="2">
        <v>280000</v>
      </c>
      <c r="M775" s="2">
        <v>41762.54</v>
      </c>
      <c r="N775" s="2">
        <v>24549.43</v>
      </c>
      <c r="O775" s="2">
        <v>5600</v>
      </c>
      <c r="P775" s="2">
        <v>0</v>
      </c>
      <c r="Q775" s="2">
        <v>4188.57</v>
      </c>
      <c r="R775" s="2">
        <v>0</v>
      </c>
      <c r="S775" s="2">
        <v>208088.03</v>
      </c>
      <c r="T775" s="3">
        <v>0.74317153571428995</v>
      </c>
      <c r="U775" s="1"/>
      <c r="V775" s="1" t="s">
        <v>1756</v>
      </c>
      <c r="W775" s="1" t="s">
        <v>202</v>
      </c>
      <c r="X775" s="1" t="s">
        <v>277</v>
      </c>
      <c r="Y775" s="1">
        <v>31</v>
      </c>
      <c r="Z775" s="1" t="s">
        <v>1757</v>
      </c>
      <c r="AA775" s="1" t="s">
        <v>975</v>
      </c>
      <c r="AB775" s="1">
        <v>14376739095</v>
      </c>
    </row>
    <row r="776" spans="1:28" ht="13.8">
      <c r="A776" s="331">
        <v>31212</v>
      </c>
      <c r="B776" s="331">
        <v>26438</v>
      </c>
      <c r="C776" s="115">
        <v>46066</v>
      </c>
      <c r="D776" s="1" t="s">
        <v>2133</v>
      </c>
      <c r="E776" s="1" t="s">
        <v>2134</v>
      </c>
      <c r="F776" s="1" t="s">
        <v>134</v>
      </c>
      <c r="G776" s="1" t="s">
        <v>215</v>
      </c>
      <c r="H776" s="1" t="s">
        <v>216</v>
      </c>
      <c r="I776" s="1" t="s">
        <v>1236</v>
      </c>
      <c r="J776" s="1" t="s">
        <v>200</v>
      </c>
      <c r="K776" s="1"/>
      <c r="L776" s="2">
        <v>140000</v>
      </c>
      <c r="M776" s="2">
        <v>2744</v>
      </c>
      <c r="N776" s="2">
        <v>0</v>
      </c>
      <c r="O776" s="2">
        <v>2800</v>
      </c>
      <c r="P776" s="2">
        <v>0</v>
      </c>
      <c r="Q776" s="2">
        <v>0</v>
      </c>
      <c r="R776" s="2">
        <v>0</v>
      </c>
      <c r="S776" s="2">
        <v>134456</v>
      </c>
      <c r="T776" s="3">
        <v>0.96040000000000003</v>
      </c>
      <c r="U776" s="1"/>
      <c r="V776" s="1" t="s">
        <v>2544</v>
      </c>
      <c r="W776" s="1" t="s">
        <v>202</v>
      </c>
      <c r="X776" s="1" t="s">
        <v>225</v>
      </c>
      <c r="Y776" s="1">
        <v>29</v>
      </c>
      <c r="Z776" s="1" t="s">
        <v>2545</v>
      </c>
      <c r="AA776" s="1" t="s">
        <v>975</v>
      </c>
      <c r="AB776" s="1">
        <v>3207493570</v>
      </c>
    </row>
    <row r="777" spans="1:28" ht="13.8">
      <c r="A777" s="331">
        <v>31470</v>
      </c>
      <c r="B777" s="331">
        <v>18597</v>
      </c>
      <c r="C777" s="115">
        <v>46057</v>
      </c>
      <c r="D777" s="1" t="s">
        <v>1295</v>
      </c>
      <c r="E777" s="1" t="s">
        <v>1296</v>
      </c>
      <c r="F777" s="1" t="s">
        <v>134</v>
      </c>
      <c r="G777" s="1" t="s">
        <v>215</v>
      </c>
      <c r="H777" s="1" t="s">
        <v>216</v>
      </c>
      <c r="I777" s="1" t="s">
        <v>1236</v>
      </c>
      <c r="J777" s="1" t="s">
        <v>200</v>
      </c>
      <c r="K777" s="1"/>
      <c r="L777" s="2">
        <v>135000</v>
      </c>
      <c r="M777" s="2">
        <v>2646</v>
      </c>
      <c r="N777" s="2">
        <v>0</v>
      </c>
      <c r="O777" s="2">
        <v>2700</v>
      </c>
      <c r="P777" s="2">
        <v>0</v>
      </c>
      <c r="Q777" s="2">
        <v>0</v>
      </c>
      <c r="R777" s="2">
        <v>0</v>
      </c>
      <c r="S777" s="2">
        <v>129654</v>
      </c>
      <c r="T777" s="3">
        <v>0.96040000000000003</v>
      </c>
      <c r="U777" s="1"/>
      <c r="V777" s="1" t="s">
        <v>1758</v>
      </c>
      <c r="W777" s="1" t="s">
        <v>203</v>
      </c>
      <c r="X777" s="1" t="s">
        <v>225</v>
      </c>
      <c r="Y777" s="1">
        <v>32</v>
      </c>
      <c r="Z777" s="1" t="s">
        <v>1759</v>
      </c>
      <c r="AA777" s="1" t="s">
        <v>975</v>
      </c>
      <c r="AB777" s="1">
        <v>3147096829</v>
      </c>
    </row>
    <row r="778" spans="1:28" ht="13.8">
      <c r="A778" s="331">
        <v>31470</v>
      </c>
      <c r="B778" s="331">
        <v>18598</v>
      </c>
      <c r="C778" s="115">
        <v>46057</v>
      </c>
      <c r="D778" s="1" t="s">
        <v>1295</v>
      </c>
      <c r="E778" s="1" t="s">
        <v>1296</v>
      </c>
      <c r="F778" s="1" t="s">
        <v>106</v>
      </c>
      <c r="G778" s="1" t="s">
        <v>242</v>
      </c>
      <c r="H778" s="1" t="s">
        <v>243</v>
      </c>
      <c r="I778" s="1" t="s">
        <v>1236</v>
      </c>
      <c r="J778" s="1" t="s">
        <v>200</v>
      </c>
      <c r="K778" s="1" t="s">
        <v>1237</v>
      </c>
      <c r="L778" s="2">
        <v>126000</v>
      </c>
      <c r="M778" s="2">
        <v>20991.599999999999</v>
      </c>
      <c r="N778" s="2">
        <v>0</v>
      </c>
      <c r="O778" s="2">
        <v>2520</v>
      </c>
      <c r="P778" s="2">
        <v>0</v>
      </c>
      <c r="Q778" s="2">
        <v>0</v>
      </c>
      <c r="R778" s="2">
        <v>0</v>
      </c>
      <c r="S778" s="2">
        <v>102488.4</v>
      </c>
      <c r="T778" s="3">
        <v>0.81340000000000001</v>
      </c>
      <c r="U778" s="1"/>
      <c r="V778" s="1" t="s">
        <v>1758</v>
      </c>
      <c r="W778" s="1" t="s">
        <v>203</v>
      </c>
      <c r="X778" s="1" t="s">
        <v>225</v>
      </c>
      <c r="Y778" s="1">
        <v>32</v>
      </c>
      <c r="Z778" s="1" t="s">
        <v>1759</v>
      </c>
      <c r="AA778" s="1" t="s">
        <v>975</v>
      </c>
      <c r="AB778" s="1">
        <v>3147096829</v>
      </c>
    </row>
    <row r="779" spans="1:28" ht="13.8">
      <c r="A779" s="331">
        <v>31626</v>
      </c>
      <c r="B779" s="331">
        <v>26628</v>
      </c>
      <c r="C779" s="115">
        <v>46069</v>
      </c>
      <c r="D779" s="1" t="s">
        <v>2377</v>
      </c>
      <c r="E779" s="1" t="s">
        <v>2378</v>
      </c>
      <c r="F779" s="1" t="s">
        <v>106</v>
      </c>
      <c r="G779" s="1" t="s">
        <v>233</v>
      </c>
      <c r="H779" s="1" t="s">
        <v>234</v>
      </c>
      <c r="I779" s="1" t="s">
        <v>1236</v>
      </c>
      <c r="J779" s="1" t="s">
        <v>200</v>
      </c>
      <c r="K779" s="1" t="s">
        <v>1237</v>
      </c>
      <c r="L779" s="2">
        <v>60000</v>
      </c>
      <c r="M779" s="2">
        <v>9996</v>
      </c>
      <c r="N779" s="2">
        <v>0</v>
      </c>
      <c r="O779" s="2">
        <v>1200</v>
      </c>
      <c r="P779" s="2">
        <v>0</v>
      </c>
      <c r="Q779" s="2">
        <v>0</v>
      </c>
      <c r="R779" s="2">
        <v>0</v>
      </c>
      <c r="S779" s="2">
        <v>48804</v>
      </c>
      <c r="T779" s="3">
        <v>0.81340000000000001</v>
      </c>
      <c r="U779" s="1"/>
      <c r="V779" s="1" t="s">
        <v>2869</v>
      </c>
      <c r="W779" s="1" t="s">
        <v>202</v>
      </c>
      <c r="X779" s="1" t="s">
        <v>225</v>
      </c>
      <c r="Y779" s="1">
        <v>25</v>
      </c>
      <c r="Z779" s="1" t="s">
        <v>2870</v>
      </c>
      <c r="AA779" s="1" t="s">
        <v>975</v>
      </c>
      <c r="AB779" s="1">
        <v>3217680013</v>
      </c>
    </row>
    <row r="780" spans="1:28" ht="13.8">
      <c r="A780" s="331">
        <v>31747</v>
      </c>
      <c r="B780" s="331">
        <v>25975</v>
      </c>
      <c r="C780" s="115">
        <v>46064</v>
      </c>
      <c r="D780" s="1" t="s">
        <v>1124</v>
      </c>
      <c r="E780" s="1" t="s">
        <v>127</v>
      </c>
      <c r="F780" s="1" t="s">
        <v>132</v>
      </c>
      <c r="G780" s="1" t="s">
        <v>954</v>
      </c>
      <c r="H780" s="1" t="s">
        <v>955</v>
      </c>
      <c r="I780" s="1" t="s">
        <v>1230</v>
      </c>
      <c r="J780" s="1" t="s">
        <v>210</v>
      </c>
      <c r="K780" s="1"/>
      <c r="L780" s="2">
        <v>0</v>
      </c>
      <c r="M780" s="2">
        <v>0</v>
      </c>
      <c r="N780" s="2">
        <v>21529.73</v>
      </c>
      <c r="O780" s="2">
        <v>0</v>
      </c>
      <c r="P780" s="2">
        <v>0</v>
      </c>
      <c r="Q780" s="2">
        <v>4347.2700000000004</v>
      </c>
      <c r="R780" s="2">
        <v>0</v>
      </c>
      <c r="S780" s="2">
        <v>-21529.73</v>
      </c>
      <c r="T780" s="3">
        <v>0</v>
      </c>
      <c r="U780" s="1"/>
      <c r="V780" s="1"/>
      <c r="W780" s="1" t="s">
        <v>63</v>
      </c>
      <c r="X780" s="1" t="s">
        <v>225</v>
      </c>
      <c r="Y780" s="1">
        <v>27</v>
      </c>
      <c r="Z780" s="1"/>
      <c r="AA780" s="1" t="s">
        <v>975</v>
      </c>
      <c r="AB780" s="1">
        <v>3106069476</v>
      </c>
    </row>
    <row r="781" spans="1:28" ht="13.8">
      <c r="A781" s="331">
        <v>31801</v>
      </c>
      <c r="B781" s="331">
        <v>26036</v>
      </c>
      <c r="C781" s="115">
        <v>46067</v>
      </c>
      <c r="D781" s="1" t="s">
        <v>1329</v>
      </c>
      <c r="E781" s="1" t="s">
        <v>1330</v>
      </c>
      <c r="F781" s="1" t="s">
        <v>106</v>
      </c>
      <c r="G781" s="1" t="s">
        <v>233</v>
      </c>
      <c r="H781" s="1" t="s">
        <v>234</v>
      </c>
      <c r="I781" s="1" t="s">
        <v>1236</v>
      </c>
      <c r="J781" s="1" t="s">
        <v>200</v>
      </c>
      <c r="K781" s="1" t="s">
        <v>1237</v>
      </c>
      <c r="L781" s="2">
        <v>60000</v>
      </c>
      <c r="M781" s="2">
        <v>9996</v>
      </c>
      <c r="N781" s="2">
        <v>0</v>
      </c>
      <c r="O781" s="2">
        <v>1200</v>
      </c>
      <c r="P781" s="2">
        <v>0</v>
      </c>
      <c r="Q781" s="2">
        <v>0</v>
      </c>
      <c r="R781" s="2">
        <v>0</v>
      </c>
      <c r="S781" s="2">
        <v>48804</v>
      </c>
      <c r="T781" s="3">
        <v>0.81340000000000001</v>
      </c>
      <c r="U781" s="1"/>
      <c r="V781" s="1" t="s">
        <v>2546</v>
      </c>
      <c r="W781" s="1" t="s">
        <v>202</v>
      </c>
      <c r="X781" s="1" t="s">
        <v>213</v>
      </c>
      <c r="Y781" s="1">
        <v>46</v>
      </c>
      <c r="Z781" s="1" t="s">
        <v>2547</v>
      </c>
      <c r="AA781" s="1" t="s">
        <v>975</v>
      </c>
      <c r="AB781" s="1">
        <v>3242865913</v>
      </c>
    </row>
    <row r="782" spans="1:28" ht="13.8">
      <c r="A782" s="331">
        <v>31801</v>
      </c>
      <c r="B782" s="331">
        <v>26588</v>
      </c>
      <c r="C782" s="115">
        <v>46067</v>
      </c>
      <c r="D782" s="1" t="s">
        <v>1329</v>
      </c>
      <c r="E782" s="1" t="s">
        <v>1330</v>
      </c>
      <c r="F782" s="1" t="s">
        <v>106</v>
      </c>
      <c r="G782" s="1" t="s">
        <v>381</v>
      </c>
      <c r="H782" s="1" t="s">
        <v>382</v>
      </c>
      <c r="I782" s="1" t="s">
        <v>1236</v>
      </c>
      <c r="J782" s="1" t="s">
        <v>200</v>
      </c>
      <c r="K782" s="1" t="s">
        <v>1237</v>
      </c>
      <c r="L782" s="2">
        <v>260000</v>
      </c>
      <c r="M782" s="2">
        <v>43316</v>
      </c>
      <c r="N782" s="2">
        <v>0</v>
      </c>
      <c r="O782" s="2">
        <v>5200</v>
      </c>
      <c r="P782" s="2">
        <v>0</v>
      </c>
      <c r="Q782" s="2">
        <v>0</v>
      </c>
      <c r="R782" s="2">
        <v>0</v>
      </c>
      <c r="S782" s="2">
        <v>211484</v>
      </c>
      <c r="T782" s="3">
        <v>0.81340000000000001</v>
      </c>
      <c r="U782" s="1"/>
      <c r="V782" s="1" t="s">
        <v>2546</v>
      </c>
      <c r="W782" s="1" t="s">
        <v>202</v>
      </c>
      <c r="X782" s="1" t="s">
        <v>213</v>
      </c>
      <c r="Y782" s="1">
        <v>46</v>
      </c>
      <c r="Z782" s="1" t="s">
        <v>2547</v>
      </c>
      <c r="AA782" s="1" t="s">
        <v>975</v>
      </c>
      <c r="AB782" s="1">
        <v>3242865913</v>
      </c>
    </row>
    <row r="783" spans="1:28" ht="13.8">
      <c r="A783" s="331">
        <v>31801</v>
      </c>
      <c r="B783" s="331">
        <v>26589</v>
      </c>
      <c r="C783" s="115">
        <v>46067</v>
      </c>
      <c r="D783" s="1" t="s">
        <v>1329</v>
      </c>
      <c r="E783" s="1" t="s">
        <v>1330</v>
      </c>
      <c r="F783" s="1" t="s">
        <v>106</v>
      </c>
      <c r="G783" s="1" t="s">
        <v>197</v>
      </c>
      <c r="H783" s="1" t="s">
        <v>198</v>
      </c>
      <c r="I783" s="1" t="s">
        <v>1236</v>
      </c>
      <c r="J783" s="1" t="s">
        <v>200</v>
      </c>
      <c r="K783" s="1" t="s">
        <v>1237</v>
      </c>
      <c r="L783" s="2">
        <v>90000</v>
      </c>
      <c r="M783" s="2">
        <v>14994</v>
      </c>
      <c r="N783" s="2">
        <v>0</v>
      </c>
      <c r="O783" s="2">
        <v>1800</v>
      </c>
      <c r="P783" s="2">
        <v>0</v>
      </c>
      <c r="Q783" s="2">
        <v>0</v>
      </c>
      <c r="R783" s="2">
        <v>0</v>
      </c>
      <c r="S783" s="2">
        <v>73206</v>
      </c>
      <c r="T783" s="3">
        <v>0.81340000000000001</v>
      </c>
      <c r="U783" s="1"/>
      <c r="V783" s="1" t="s">
        <v>2546</v>
      </c>
      <c r="W783" s="1" t="s">
        <v>202</v>
      </c>
      <c r="X783" s="1" t="s">
        <v>213</v>
      </c>
      <c r="Y783" s="1">
        <v>46</v>
      </c>
      <c r="Z783" s="1" t="s">
        <v>2547</v>
      </c>
      <c r="AA783" s="1" t="s">
        <v>975</v>
      </c>
      <c r="AB783" s="1">
        <v>3242865913</v>
      </c>
    </row>
    <row r="784" spans="1:28" ht="13.8">
      <c r="A784" s="331">
        <v>32956</v>
      </c>
      <c r="B784" s="331">
        <v>24064</v>
      </c>
      <c r="C784" s="115">
        <v>46067</v>
      </c>
      <c r="D784" s="1" t="s">
        <v>2548</v>
      </c>
      <c r="E784" s="1" t="s">
        <v>2549</v>
      </c>
      <c r="F784" s="1" t="s">
        <v>106</v>
      </c>
      <c r="G784" s="1" t="s">
        <v>385</v>
      </c>
      <c r="H784" s="1" t="s">
        <v>386</v>
      </c>
      <c r="I784" s="1" t="s">
        <v>1236</v>
      </c>
      <c r="J784" s="1" t="s">
        <v>200</v>
      </c>
      <c r="K784" s="1" t="s">
        <v>1237</v>
      </c>
      <c r="L784" s="2">
        <v>130000</v>
      </c>
      <c r="M784" s="2">
        <v>21658</v>
      </c>
      <c r="N784" s="2">
        <v>0</v>
      </c>
      <c r="O784" s="2">
        <v>2600</v>
      </c>
      <c r="P784" s="2">
        <v>0</v>
      </c>
      <c r="Q784" s="2">
        <v>0</v>
      </c>
      <c r="R784" s="2">
        <v>0</v>
      </c>
      <c r="S784" s="2">
        <v>105742</v>
      </c>
      <c r="T784" s="3">
        <v>0.81340000000000001</v>
      </c>
      <c r="U784" s="1"/>
      <c r="V784" s="1" t="s">
        <v>2550</v>
      </c>
      <c r="W784" s="1" t="s">
        <v>202</v>
      </c>
      <c r="X784" s="1" t="s">
        <v>225</v>
      </c>
      <c r="Y784" s="1">
        <v>29</v>
      </c>
      <c r="Z784" s="1" t="s">
        <v>2551</v>
      </c>
      <c r="AA784" s="1" t="s">
        <v>975</v>
      </c>
      <c r="AB784" s="1">
        <v>34606059421</v>
      </c>
    </row>
    <row r="785" spans="1:28" ht="13.8">
      <c r="A785" s="331">
        <v>32956</v>
      </c>
      <c r="B785" s="331">
        <v>26282</v>
      </c>
      <c r="C785" s="115">
        <v>46067</v>
      </c>
      <c r="D785" s="1" t="s">
        <v>2548</v>
      </c>
      <c r="E785" s="1" t="s">
        <v>2549</v>
      </c>
      <c r="F785" s="1" t="s">
        <v>106</v>
      </c>
      <c r="G785" s="1" t="s">
        <v>233</v>
      </c>
      <c r="H785" s="1" t="s">
        <v>234</v>
      </c>
      <c r="I785" s="1" t="s">
        <v>1236</v>
      </c>
      <c r="J785" s="1" t="s">
        <v>200</v>
      </c>
      <c r="K785" s="1" t="s">
        <v>1237</v>
      </c>
      <c r="L785" s="2">
        <v>60000</v>
      </c>
      <c r="M785" s="2">
        <v>9996</v>
      </c>
      <c r="N785" s="2">
        <v>0</v>
      </c>
      <c r="O785" s="2">
        <v>1200</v>
      </c>
      <c r="P785" s="2">
        <v>0</v>
      </c>
      <c r="Q785" s="2">
        <v>0</v>
      </c>
      <c r="R785" s="2">
        <v>0</v>
      </c>
      <c r="S785" s="2">
        <v>48804</v>
      </c>
      <c r="T785" s="3">
        <v>0.81340000000000001</v>
      </c>
      <c r="U785" s="1"/>
      <c r="V785" s="1" t="s">
        <v>2550</v>
      </c>
      <c r="W785" s="1" t="s">
        <v>202</v>
      </c>
      <c r="X785" s="1" t="s">
        <v>225</v>
      </c>
      <c r="Y785" s="1">
        <v>29</v>
      </c>
      <c r="Z785" s="1" t="s">
        <v>2551</v>
      </c>
      <c r="AA785" s="1" t="s">
        <v>975</v>
      </c>
      <c r="AB785" s="1">
        <v>34606059421</v>
      </c>
    </row>
    <row r="786" spans="1:28" ht="13.8">
      <c r="A786" s="331">
        <v>33067</v>
      </c>
      <c r="B786" s="331">
        <v>25976</v>
      </c>
      <c r="C786" s="115">
        <v>46057</v>
      </c>
      <c r="D786" s="1" t="s">
        <v>1760</v>
      </c>
      <c r="E786" s="1" t="s">
        <v>1761</v>
      </c>
      <c r="F786" s="1" t="s">
        <v>106</v>
      </c>
      <c r="G786" s="1" t="s">
        <v>233</v>
      </c>
      <c r="H786" s="1" t="s">
        <v>234</v>
      </c>
      <c r="I786" s="1" t="s">
        <v>1236</v>
      </c>
      <c r="J786" s="1" t="s">
        <v>200</v>
      </c>
      <c r="K786" s="1" t="s">
        <v>1237</v>
      </c>
      <c r="L786" s="2">
        <v>30000</v>
      </c>
      <c r="M786" s="2">
        <v>4998</v>
      </c>
      <c r="N786" s="2">
        <v>0</v>
      </c>
      <c r="O786" s="2">
        <v>600</v>
      </c>
      <c r="P786" s="2">
        <v>0</v>
      </c>
      <c r="Q786" s="2">
        <v>0</v>
      </c>
      <c r="R786" s="2">
        <v>0</v>
      </c>
      <c r="S786" s="2">
        <v>24402</v>
      </c>
      <c r="T786" s="3">
        <v>0.81340000000000001</v>
      </c>
      <c r="U786" s="1"/>
      <c r="V786" s="1" t="s">
        <v>1762</v>
      </c>
      <c r="W786" s="1" t="s">
        <v>202</v>
      </c>
      <c r="X786" s="1" t="s">
        <v>225</v>
      </c>
      <c r="Y786" s="1">
        <v>31</v>
      </c>
      <c r="Z786" s="1" t="s">
        <v>1763</v>
      </c>
      <c r="AA786" s="1" t="s">
        <v>975</v>
      </c>
      <c r="AB786" s="1">
        <v>3218347913</v>
      </c>
    </row>
    <row r="787" spans="1:28" ht="13.8">
      <c r="A787" s="331">
        <v>33458</v>
      </c>
      <c r="B787" s="331">
        <v>21740</v>
      </c>
      <c r="C787" s="115">
        <v>46058</v>
      </c>
      <c r="D787" s="1" t="s">
        <v>274</v>
      </c>
      <c r="E787" s="1" t="s">
        <v>275</v>
      </c>
      <c r="F787" s="1" t="s">
        <v>106</v>
      </c>
      <c r="G787" s="1" t="s">
        <v>197</v>
      </c>
      <c r="H787" s="1" t="s">
        <v>198</v>
      </c>
      <c r="I787" s="1" t="s">
        <v>1236</v>
      </c>
      <c r="J787" s="1" t="s">
        <v>200</v>
      </c>
      <c r="K787" s="1" t="s">
        <v>1237</v>
      </c>
      <c r="L787" s="2">
        <v>90000</v>
      </c>
      <c r="M787" s="2">
        <v>14994</v>
      </c>
      <c r="N787" s="2">
        <v>0</v>
      </c>
      <c r="O787" s="2">
        <v>1800</v>
      </c>
      <c r="P787" s="2">
        <v>0</v>
      </c>
      <c r="Q787" s="2">
        <v>0</v>
      </c>
      <c r="R787" s="2">
        <v>0</v>
      </c>
      <c r="S787" s="2">
        <v>73206</v>
      </c>
      <c r="T787" s="3">
        <v>0.81340000000000001</v>
      </c>
      <c r="U787" s="1"/>
      <c r="V787" s="1" t="s">
        <v>276</v>
      </c>
      <c r="W787" s="1" t="s">
        <v>203</v>
      </c>
      <c r="X787" s="1" t="s">
        <v>277</v>
      </c>
      <c r="Y787" s="1">
        <v>60</v>
      </c>
      <c r="Z787" s="1" t="s">
        <v>278</v>
      </c>
      <c r="AA787" s="1" t="s">
        <v>1007</v>
      </c>
      <c r="AB787" s="1">
        <v>13175902292</v>
      </c>
    </row>
    <row r="788" spans="1:28" ht="13.8">
      <c r="A788" s="331">
        <v>33934</v>
      </c>
      <c r="B788" s="331">
        <v>26037</v>
      </c>
      <c r="C788" s="115">
        <v>46067</v>
      </c>
      <c r="D788" s="1" t="s">
        <v>1331</v>
      </c>
      <c r="E788" s="1" t="s">
        <v>1332</v>
      </c>
      <c r="F788" s="1" t="s">
        <v>106</v>
      </c>
      <c r="G788" s="1" t="s">
        <v>2552</v>
      </c>
      <c r="H788" s="1" t="s">
        <v>2553</v>
      </c>
      <c r="I788" s="1" t="s">
        <v>1236</v>
      </c>
      <c r="J788" s="1" t="s">
        <v>200</v>
      </c>
      <c r="K788" s="1" t="s">
        <v>1237</v>
      </c>
      <c r="L788" s="2">
        <v>110000</v>
      </c>
      <c r="M788" s="2">
        <v>18326</v>
      </c>
      <c r="N788" s="2">
        <v>0</v>
      </c>
      <c r="O788" s="2">
        <v>2200</v>
      </c>
      <c r="P788" s="2">
        <v>0</v>
      </c>
      <c r="Q788" s="2">
        <v>0</v>
      </c>
      <c r="R788" s="2">
        <v>0</v>
      </c>
      <c r="S788" s="2">
        <v>89474</v>
      </c>
      <c r="T788" s="3">
        <v>0.81340000000000001</v>
      </c>
      <c r="U788" s="1"/>
      <c r="V788" s="1" t="s">
        <v>2554</v>
      </c>
      <c r="W788" s="1" t="s">
        <v>202</v>
      </c>
      <c r="X788" s="1" t="s">
        <v>225</v>
      </c>
      <c r="Y788" s="1">
        <v>21</v>
      </c>
      <c r="Z788" s="1" t="s">
        <v>2555</v>
      </c>
      <c r="AA788" s="1" t="s">
        <v>975</v>
      </c>
      <c r="AB788" s="1">
        <v>3242865913</v>
      </c>
    </row>
    <row r="789" spans="1:28" ht="13.8">
      <c r="A789" s="331">
        <v>34704</v>
      </c>
      <c r="B789" s="331">
        <v>23644</v>
      </c>
      <c r="C789" s="115">
        <v>46057</v>
      </c>
      <c r="D789" s="1" t="s">
        <v>915</v>
      </c>
      <c r="E789" s="1" t="s">
        <v>916</v>
      </c>
      <c r="F789" s="1" t="s">
        <v>122</v>
      </c>
      <c r="G789" s="1" t="s">
        <v>1286</v>
      </c>
      <c r="H789" s="1" t="s">
        <v>1287</v>
      </c>
      <c r="I789" s="1" t="s">
        <v>1089</v>
      </c>
      <c r="J789" s="1" t="s">
        <v>200</v>
      </c>
      <c r="K789" s="1" t="s">
        <v>1089</v>
      </c>
      <c r="L789" s="2">
        <v>120000</v>
      </c>
      <c r="M789" s="2">
        <v>20400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99600</v>
      </c>
      <c r="T789" s="3">
        <v>0.83</v>
      </c>
      <c r="U789" s="1"/>
      <c r="V789" s="1" t="s">
        <v>1288</v>
      </c>
      <c r="W789" s="1" t="s">
        <v>203</v>
      </c>
      <c r="X789" s="1" t="s">
        <v>213</v>
      </c>
      <c r="Y789" s="1">
        <v>67</v>
      </c>
      <c r="Z789" s="1" t="s">
        <v>1289</v>
      </c>
      <c r="AA789" s="1" t="s">
        <v>975</v>
      </c>
      <c r="AB789" s="1">
        <v>3148779647</v>
      </c>
    </row>
    <row r="790" spans="1:28" ht="13.8">
      <c r="A790" s="331">
        <v>34704</v>
      </c>
      <c r="B790" s="331">
        <v>23645</v>
      </c>
      <c r="C790" s="115">
        <v>46067</v>
      </c>
      <c r="D790" s="1" t="s">
        <v>915</v>
      </c>
      <c r="E790" s="1" t="s">
        <v>916</v>
      </c>
      <c r="F790" s="1" t="s">
        <v>106</v>
      </c>
      <c r="G790" s="1" t="s">
        <v>1286</v>
      </c>
      <c r="H790" s="1" t="s">
        <v>1287</v>
      </c>
      <c r="I790" s="1" t="s">
        <v>1089</v>
      </c>
      <c r="J790" s="1" t="s">
        <v>200</v>
      </c>
      <c r="K790" s="1" t="s">
        <v>1089</v>
      </c>
      <c r="L790" s="2">
        <v>120000</v>
      </c>
      <c r="M790" s="2">
        <v>20400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99600</v>
      </c>
      <c r="T790" s="3">
        <v>0.83</v>
      </c>
      <c r="U790" s="1"/>
      <c r="V790" s="1" t="s">
        <v>1288</v>
      </c>
      <c r="W790" s="1" t="s">
        <v>203</v>
      </c>
      <c r="X790" s="1" t="s">
        <v>213</v>
      </c>
      <c r="Y790" s="1">
        <v>67</v>
      </c>
      <c r="Z790" s="1" t="s">
        <v>1289</v>
      </c>
      <c r="AA790" s="1" t="s">
        <v>975</v>
      </c>
      <c r="AB790" s="1">
        <v>3148779647</v>
      </c>
    </row>
    <row r="791" spans="1:28" ht="13.8">
      <c r="A791" s="331">
        <v>34705</v>
      </c>
      <c r="B791" s="331">
        <v>24203</v>
      </c>
      <c r="C791" s="115">
        <v>46059</v>
      </c>
      <c r="D791" s="1" t="s">
        <v>379</v>
      </c>
      <c r="E791" s="1" t="s">
        <v>380</v>
      </c>
      <c r="F791" s="1" t="s">
        <v>132</v>
      </c>
      <c r="G791" s="1" t="s">
        <v>381</v>
      </c>
      <c r="H791" s="1" t="s">
        <v>382</v>
      </c>
      <c r="I791" s="1" t="s">
        <v>1236</v>
      </c>
      <c r="J791" s="1" t="s">
        <v>200</v>
      </c>
      <c r="K791" s="1" t="s">
        <v>1237</v>
      </c>
      <c r="L791" s="2">
        <v>260000</v>
      </c>
      <c r="M791" s="2">
        <v>43316</v>
      </c>
      <c r="N791" s="2">
        <v>0</v>
      </c>
      <c r="O791" s="2">
        <v>5200</v>
      </c>
      <c r="P791" s="2">
        <v>0</v>
      </c>
      <c r="Q791" s="2">
        <v>0</v>
      </c>
      <c r="R791" s="2">
        <v>0</v>
      </c>
      <c r="S791" s="2">
        <v>211484</v>
      </c>
      <c r="T791" s="3">
        <v>0.81340000000000001</v>
      </c>
      <c r="U791" s="1"/>
      <c r="V791" s="1" t="s">
        <v>1764</v>
      </c>
      <c r="W791" s="1" t="s">
        <v>202</v>
      </c>
      <c r="X791" s="1" t="s">
        <v>204</v>
      </c>
      <c r="Y791" s="1">
        <v>38</v>
      </c>
      <c r="Z791" s="1" t="s">
        <v>1765</v>
      </c>
      <c r="AA791" s="1" t="s">
        <v>975</v>
      </c>
      <c r="AB791" s="1">
        <v>20164011350</v>
      </c>
    </row>
    <row r="792" spans="1:28" ht="13.8">
      <c r="A792" s="331">
        <v>34846</v>
      </c>
      <c r="B792" s="331">
        <v>24211</v>
      </c>
      <c r="C792" s="115">
        <v>46059</v>
      </c>
      <c r="D792" s="1" t="s">
        <v>383</v>
      </c>
      <c r="E792" s="1" t="s">
        <v>384</v>
      </c>
      <c r="F792" s="1" t="s">
        <v>122</v>
      </c>
      <c r="G792" s="1" t="s">
        <v>385</v>
      </c>
      <c r="H792" s="1" t="s">
        <v>386</v>
      </c>
      <c r="I792" s="1" t="s">
        <v>1236</v>
      </c>
      <c r="J792" s="1" t="s">
        <v>200</v>
      </c>
      <c r="K792" s="1" t="s">
        <v>1237</v>
      </c>
      <c r="L792" s="2">
        <v>123500</v>
      </c>
      <c r="M792" s="2">
        <v>20575.099999999999</v>
      </c>
      <c r="N792" s="2">
        <v>0</v>
      </c>
      <c r="O792" s="2">
        <v>2470</v>
      </c>
      <c r="P792" s="2">
        <v>0</v>
      </c>
      <c r="Q792" s="2">
        <v>0</v>
      </c>
      <c r="R792" s="2">
        <v>0</v>
      </c>
      <c r="S792" s="2">
        <v>100454.9</v>
      </c>
      <c r="T792" s="3">
        <v>0.81340000000000001</v>
      </c>
      <c r="U792" s="1"/>
      <c r="V792" s="1" t="s">
        <v>387</v>
      </c>
      <c r="W792" s="1" t="s">
        <v>203</v>
      </c>
      <c r="X792" s="1" t="s">
        <v>248</v>
      </c>
      <c r="Y792" s="1">
        <v>28</v>
      </c>
      <c r="Z792" s="1" t="s">
        <v>388</v>
      </c>
      <c r="AA792" s="1" t="s">
        <v>975</v>
      </c>
      <c r="AB792" s="1">
        <v>3136190649</v>
      </c>
    </row>
    <row r="793" spans="1:28" ht="13.8">
      <c r="A793" s="331">
        <v>34846</v>
      </c>
      <c r="B793" s="331">
        <v>26108</v>
      </c>
      <c r="C793" s="115">
        <v>46059</v>
      </c>
      <c r="D793" s="1" t="s">
        <v>383</v>
      </c>
      <c r="E793" s="1" t="s">
        <v>384</v>
      </c>
      <c r="F793" s="1" t="s">
        <v>1086</v>
      </c>
      <c r="G793" s="1" t="s">
        <v>233</v>
      </c>
      <c r="H793" s="1" t="s">
        <v>234</v>
      </c>
      <c r="I793" s="1" t="s">
        <v>1236</v>
      </c>
      <c r="J793" s="1" t="s">
        <v>200</v>
      </c>
      <c r="K793" s="1" t="s">
        <v>1237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3">
        <v>0</v>
      </c>
      <c r="U793" s="1"/>
      <c r="V793" s="1"/>
      <c r="W793" s="1" t="s">
        <v>63</v>
      </c>
      <c r="X793" s="1" t="s">
        <v>248</v>
      </c>
      <c r="Y793" s="1">
        <v>28</v>
      </c>
      <c r="Z793" s="1"/>
      <c r="AA793" s="1" t="s">
        <v>975</v>
      </c>
      <c r="AB793" s="1">
        <v>3136190649</v>
      </c>
    </row>
    <row r="794" spans="1:28" ht="13.8">
      <c r="A794" s="331">
        <v>35060</v>
      </c>
      <c r="B794" s="331">
        <v>25636</v>
      </c>
      <c r="C794" s="115">
        <v>46056</v>
      </c>
      <c r="D794" s="1" t="s">
        <v>933</v>
      </c>
      <c r="E794" s="1" t="s">
        <v>934</v>
      </c>
      <c r="F794" s="1" t="s">
        <v>106</v>
      </c>
      <c r="G794" s="1" t="s">
        <v>935</v>
      </c>
      <c r="H794" s="1" t="s">
        <v>936</v>
      </c>
      <c r="I794" s="1" t="s">
        <v>1089</v>
      </c>
      <c r="J794" s="1" t="s">
        <v>200</v>
      </c>
      <c r="K794" s="1" t="s">
        <v>1089</v>
      </c>
      <c r="L794" s="2">
        <v>190000</v>
      </c>
      <c r="M794" s="2">
        <v>32300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157700</v>
      </c>
      <c r="T794" s="3">
        <v>0.83</v>
      </c>
      <c r="U794" s="1"/>
      <c r="V794" s="1" t="s">
        <v>1261</v>
      </c>
      <c r="W794" s="1" t="s">
        <v>202</v>
      </c>
      <c r="X794" s="1" t="s">
        <v>204</v>
      </c>
      <c r="Y794" s="1">
        <v>64</v>
      </c>
      <c r="Z794" s="1" t="s">
        <v>1262</v>
      </c>
      <c r="AA794" s="1" t="s">
        <v>975</v>
      </c>
      <c r="AB794" s="1">
        <v>3154787995</v>
      </c>
    </row>
    <row r="795" spans="1:28" ht="13.8">
      <c r="A795" s="331">
        <v>35060</v>
      </c>
      <c r="B795" s="331">
        <v>25924</v>
      </c>
      <c r="C795" s="115">
        <v>46059</v>
      </c>
      <c r="D795" s="1" t="s">
        <v>933</v>
      </c>
      <c r="E795" s="1" t="s">
        <v>934</v>
      </c>
      <c r="F795" s="1" t="s">
        <v>106</v>
      </c>
      <c r="G795" s="1" t="s">
        <v>935</v>
      </c>
      <c r="H795" s="1" t="s">
        <v>936</v>
      </c>
      <c r="I795" s="1" t="s">
        <v>1089</v>
      </c>
      <c r="J795" s="1" t="s">
        <v>200</v>
      </c>
      <c r="K795" s="1" t="s">
        <v>1089</v>
      </c>
      <c r="L795" s="2">
        <v>190000</v>
      </c>
      <c r="M795" s="2">
        <v>32300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157700</v>
      </c>
      <c r="T795" s="3">
        <v>0.83</v>
      </c>
      <c r="U795" s="1"/>
      <c r="V795" s="1" t="s">
        <v>1766</v>
      </c>
      <c r="W795" s="1" t="s">
        <v>202</v>
      </c>
      <c r="X795" s="1" t="s">
        <v>204</v>
      </c>
      <c r="Y795" s="1">
        <v>64</v>
      </c>
      <c r="Z795" s="1" t="s">
        <v>1767</v>
      </c>
      <c r="AA795" s="1" t="s">
        <v>975</v>
      </c>
      <c r="AB795" s="1">
        <v>3154787995</v>
      </c>
    </row>
    <row r="796" spans="1:28" ht="13.8">
      <c r="A796" s="331">
        <v>35060</v>
      </c>
      <c r="B796" s="331">
        <v>26053</v>
      </c>
      <c r="C796" s="115">
        <v>46064</v>
      </c>
      <c r="D796" s="1" t="s">
        <v>933</v>
      </c>
      <c r="E796" s="1" t="s">
        <v>934</v>
      </c>
      <c r="F796" s="1" t="s">
        <v>106</v>
      </c>
      <c r="G796" s="1" t="s">
        <v>935</v>
      </c>
      <c r="H796" s="1" t="s">
        <v>936</v>
      </c>
      <c r="I796" s="1" t="s">
        <v>1089</v>
      </c>
      <c r="J796" s="1" t="s">
        <v>200</v>
      </c>
      <c r="K796" s="1" t="s">
        <v>1089</v>
      </c>
      <c r="L796" s="2">
        <v>190000</v>
      </c>
      <c r="M796" s="2">
        <v>32300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157700</v>
      </c>
      <c r="T796" s="3">
        <v>0.83</v>
      </c>
      <c r="U796" s="1"/>
      <c r="V796" s="1" t="s">
        <v>2006</v>
      </c>
      <c r="W796" s="1" t="s">
        <v>202</v>
      </c>
      <c r="X796" s="1" t="s">
        <v>204</v>
      </c>
      <c r="Y796" s="1">
        <v>64</v>
      </c>
      <c r="Z796" s="1" t="s">
        <v>2007</v>
      </c>
      <c r="AA796" s="1" t="s">
        <v>975</v>
      </c>
      <c r="AB796" s="1">
        <v>3154787995</v>
      </c>
    </row>
    <row r="797" spans="1:28" ht="13.8">
      <c r="A797" s="331">
        <v>35060</v>
      </c>
      <c r="B797" s="331">
        <v>26343</v>
      </c>
      <c r="C797" s="115">
        <v>46065</v>
      </c>
      <c r="D797" s="1" t="s">
        <v>933</v>
      </c>
      <c r="E797" s="1" t="s">
        <v>934</v>
      </c>
      <c r="F797" s="1" t="s">
        <v>106</v>
      </c>
      <c r="G797" s="1" t="s">
        <v>935</v>
      </c>
      <c r="H797" s="1" t="s">
        <v>936</v>
      </c>
      <c r="I797" s="1" t="s">
        <v>1089</v>
      </c>
      <c r="J797" s="1" t="s">
        <v>200</v>
      </c>
      <c r="K797" s="1" t="s">
        <v>1089</v>
      </c>
      <c r="L797" s="2">
        <v>190000</v>
      </c>
      <c r="M797" s="2">
        <v>32300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157700</v>
      </c>
      <c r="T797" s="3">
        <v>0.83</v>
      </c>
      <c r="U797" s="1"/>
      <c r="V797" s="1" t="s">
        <v>2272</v>
      </c>
      <c r="W797" s="1" t="s">
        <v>202</v>
      </c>
      <c r="X797" s="1" t="s">
        <v>204</v>
      </c>
      <c r="Y797" s="1">
        <v>64</v>
      </c>
      <c r="Z797" s="1" t="s">
        <v>2273</v>
      </c>
      <c r="AA797" s="1" t="s">
        <v>975</v>
      </c>
      <c r="AB797" s="1">
        <v>3154787995</v>
      </c>
    </row>
    <row r="798" spans="1:28" ht="13.8">
      <c r="A798" s="331">
        <v>35060</v>
      </c>
      <c r="B798" s="331">
        <v>26451</v>
      </c>
      <c r="C798" s="115">
        <v>46069</v>
      </c>
      <c r="D798" s="1" t="s">
        <v>933</v>
      </c>
      <c r="E798" s="1" t="s">
        <v>934</v>
      </c>
      <c r="F798" s="1" t="s">
        <v>106</v>
      </c>
      <c r="G798" s="1" t="s">
        <v>935</v>
      </c>
      <c r="H798" s="1" t="s">
        <v>936</v>
      </c>
      <c r="I798" s="1" t="s">
        <v>1089</v>
      </c>
      <c r="J798" s="1" t="s">
        <v>200</v>
      </c>
      <c r="K798" s="1" t="s">
        <v>1089</v>
      </c>
      <c r="L798" s="2">
        <v>190000</v>
      </c>
      <c r="M798" s="2">
        <v>32300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157700</v>
      </c>
      <c r="T798" s="3">
        <v>0.83</v>
      </c>
      <c r="U798" s="1"/>
      <c r="V798" s="1" t="s">
        <v>2315</v>
      </c>
      <c r="W798" s="1" t="s">
        <v>202</v>
      </c>
      <c r="X798" s="1" t="s">
        <v>204</v>
      </c>
      <c r="Y798" s="1">
        <v>64</v>
      </c>
      <c r="Z798" s="1" t="s">
        <v>2316</v>
      </c>
      <c r="AA798" s="1" t="s">
        <v>975</v>
      </c>
      <c r="AB798" s="1">
        <v>3154787995</v>
      </c>
    </row>
    <row r="799" spans="1:28" ht="13.8">
      <c r="A799" s="331">
        <v>35060</v>
      </c>
      <c r="B799" s="331">
        <v>26641</v>
      </c>
      <c r="C799" s="115">
        <v>46072</v>
      </c>
      <c r="D799" s="1" t="s">
        <v>933</v>
      </c>
      <c r="E799" s="1" t="s">
        <v>934</v>
      </c>
      <c r="F799" s="1" t="s">
        <v>106</v>
      </c>
      <c r="G799" s="1" t="s">
        <v>935</v>
      </c>
      <c r="H799" s="1" t="s">
        <v>936</v>
      </c>
      <c r="I799" s="1" t="s">
        <v>1089</v>
      </c>
      <c r="J799" s="1" t="s">
        <v>200</v>
      </c>
      <c r="K799" s="1" t="s">
        <v>1089</v>
      </c>
      <c r="L799" s="2">
        <v>190000</v>
      </c>
      <c r="M799" s="2">
        <v>32300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157700</v>
      </c>
      <c r="T799" s="3">
        <v>0.83</v>
      </c>
      <c r="U799" s="1"/>
      <c r="V799" s="1" t="s">
        <v>2871</v>
      </c>
      <c r="W799" s="1" t="s">
        <v>202</v>
      </c>
      <c r="X799" s="1" t="s">
        <v>204</v>
      </c>
      <c r="Y799" s="1">
        <v>64</v>
      </c>
      <c r="Z799" s="1" t="s">
        <v>2872</v>
      </c>
      <c r="AA799" s="1" t="s">
        <v>975</v>
      </c>
      <c r="AB799" s="1">
        <v>3154787995</v>
      </c>
    </row>
    <row r="800" spans="1:28" ht="13.8">
      <c r="A800" s="331">
        <v>35561</v>
      </c>
      <c r="B800" s="331">
        <v>26234</v>
      </c>
      <c r="C800" s="115">
        <v>46062</v>
      </c>
      <c r="D800" s="1" t="s">
        <v>960</v>
      </c>
      <c r="E800" s="1" t="s">
        <v>961</v>
      </c>
      <c r="F800" s="1" t="s">
        <v>106</v>
      </c>
      <c r="G800" s="1" t="s">
        <v>954</v>
      </c>
      <c r="H800" s="1" t="s">
        <v>955</v>
      </c>
      <c r="I800" s="1" t="s">
        <v>1230</v>
      </c>
      <c r="J800" s="1" t="s">
        <v>210</v>
      </c>
      <c r="K800" s="1"/>
      <c r="L800" s="2">
        <v>0</v>
      </c>
      <c r="M800" s="2">
        <v>0</v>
      </c>
      <c r="N800" s="2">
        <v>5267.85</v>
      </c>
      <c r="O800" s="2">
        <v>0</v>
      </c>
      <c r="P800" s="2">
        <v>0</v>
      </c>
      <c r="Q800" s="2">
        <v>2109.15</v>
      </c>
      <c r="R800" s="2">
        <v>0</v>
      </c>
      <c r="S800" s="2">
        <v>-5267.85</v>
      </c>
      <c r="T800" s="3">
        <v>0</v>
      </c>
      <c r="U800" s="1"/>
      <c r="V800" s="1"/>
      <c r="W800" s="1" t="s">
        <v>63</v>
      </c>
      <c r="X800" s="1" t="s">
        <v>225</v>
      </c>
      <c r="Y800" s="1">
        <v>36</v>
      </c>
      <c r="Z800" s="1"/>
      <c r="AA800" s="1" t="s">
        <v>975</v>
      </c>
      <c r="AB800" s="1">
        <v>3006209013</v>
      </c>
    </row>
    <row r="801" spans="1:28" ht="13.8">
      <c r="A801" s="331">
        <v>35592</v>
      </c>
      <c r="B801" s="331">
        <v>24970</v>
      </c>
      <c r="C801" s="115">
        <v>46064</v>
      </c>
      <c r="D801" s="1" t="s">
        <v>534</v>
      </c>
      <c r="E801" s="1" t="s">
        <v>535</v>
      </c>
      <c r="F801" s="1" t="s">
        <v>134</v>
      </c>
      <c r="G801" s="1" t="s">
        <v>197</v>
      </c>
      <c r="H801" s="1" t="s">
        <v>198</v>
      </c>
      <c r="I801" s="1" t="s">
        <v>1236</v>
      </c>
      <c r="J801" s="1" t="s">
        <v>200</v>
      </c>
      <c r="K801" s="1" t="s">
        <v>1237</v>
      </c>
      <c r="L801" s="2">
        <v>90000</v>
      </c>
      <c r="M801" s="2">
        <v>14994</v>
      </c>
      <c r="N801" s="2">
        <v>0</v>
      </c>
      <c r="O801" s="2">
        <v>1800</v>
      </c>
      <c r="P801" s="2">
        <v>0</v>
      </c>
      <c r="Q801" s="2">
        <v>0</v>
      </c>
      <c r="R801" s="2">
        <v>0</v>
      </c>
      <c r="S801" s="2">
        <v>73206</v>
      </c>
      <c r="T801" s="3">
        <v>0.81340000000000001</v>
      </c>
      <c r="U801" s="1"/>
      <c r="V801" s="1" t="s">
        <v>1990</v>
      </c>
      <c r="W801" s="1" t="s">
        <v>202</v>
      </c>
      <c r="X801" s="1" t="s">
        <v>204</v>
      </c>
      <c r="Y801" s="1">
        <v>40</v>
      </c>
      <c r="Z801" s="1" t="s">
        <v>1991</v>
      </c>
      <c r="AA801" s="1" t="s">
        <v>975</v>
      </c>
      <c r="AB801" s="1">
        <v>3155868442</v>
      </c>
    </row>
    <row r="802" spans="1:28" ht="13.8">
      <c r="A802" s="331">
        <v>35592</v>
      </c>
      <c r="B802" s="331">
        <v>26384</v>
      </c>
      <c r="C802" s="115">
        <v>46064</v>
      </c>
      <c r="D802" s="1" t="s">
        <v>534</v>
      </c>
      <c r="E802" s="1" t="s">
        <v>535</v>
      </c>
      <c r="F802" s="1" t="s">
        <v>134</v>
      </c>
      <c r="G802" s="1" t="s">
        <v>217</v>
      </c>
      <c r="H802" s="1" t="s">
        <v>218</v>
      </c>
      <c r="I802" s="1" t="s">
        <v>1236</v>
      </c>
      <c r="J802" s="1" t="s">
        <v>200</v>
      </c>
      <c r="K802" s="1" t="s">
        <v>1237</v>
      </c>
      <c r="L802" s="2">
        <v>50000</v>
      </c>
      <c r="M802" s="2">
        <v>8330</v>
      </c>
      <c r="N802" s="2">
        <v>0</v>
      </c>
      <c r="O802" s="2">
        <v>1000</v>
      </c>
      <c r="P802" s="2">
        <v>0</v>
      </c>
      <c r="Q802" s="2">
        <v>0</v>
      </c>
      <c r="R802" s="2">
        <v>0</v>
      </c>
      <c r="S802" s="2">
        <v>40670</v>
      </c>
      <c r="T802" s="3">
        <v>0.81340000000000001</v>
      </c>
      <c r="U802" s="1"/>
      <c r="V802" s="1" t="s">
        <v>1990</v>
      </c>
      <c r="W802" s="1" t="s">
        <v>202</v>
      </c>
      <c r="X802" s="1" t="s">
        <v>204</v>
      </c>
      <c r="Y802" s="1">
        <v>40</v>
      </c>
      <c r="Z802" s="1" t="s">
        <v>1991</v>
      </c>
      <c r="AA802" s="1" t="s">
        <v>975</v>
      </c>
      <c r="AB802" s="1">
        <v>3155868442</v>
      </c>
    </row>
    <row r="803" spans="1:28" ht="13.8">
      <c r="A803" s="331">
        <v>35649</v>
      </c>
      <c r="B803" s="331">
        <v>25074</v>
      </c>
      <c r="C803" s="115">
        <v>46069</v>
      </c>
      <c r="D803" s="1" t="s">
        <v>2290</v>
      </c>
      <c r="E803" s="1" t="s">
        <v>2291</v>
      </c>
      <c r="F803" s="1" t="s">
        <v>134</v>
      </c>
      <c r="G803" s="1" t="s">
        <v>271</v>
      </c>
      <c r="H803" s="1" t="s">
        <v>272</v>
      </c>
      <c r="I803" s="1" t="s">
        <v>1230</v>
      </c>
      <c r="J803" s="1" t="s">
        <v>210</v>
      </c>
      <c r="K803" s="1" t="s">
        <v>1231</v>
      </c>
      <c r="L803" s="2">
        <v>280000</v>
      </c>
      <c r="M803" s="2">
        <v>41208</v>
      </c>
      <c r="N803" s="2">
        <v>23197.599999999999</v>
      </c>
      <c r="O803" s="2">
        <v>5600</v>
      </c>
      <c r="P803" s="2">
        <v>0</v>
      </c>
      <c r="Q803" s="2">
        <v>8802.4</v>
      </c>
      <c r="R803" s="2">
        <v>0</v>
      </c>
      <c r="S803" s="2">
        <v>209994.4</v>
      </c>
      <c r="T803" s="3">
        <v>0.74997999999999998</v>
      </c>
      <c r="U803" s="1"/>
      <c r="V803" s="1" t="s">
        <v>2873</v>
      </c>
      <c r="W803" s="1" t="s">
        <v>202</v>
      </c>
      <c r="X803" s="1" t="s">
        <v>213</v>
      </c>
      <c r="Y803" s="1">
        <v>33</v>
      </c>
      <c r="Z803" s="1" t="s">
        <v>2874</v>
      </c>
      <c r="AA803" s="1" t="s">
        <v>975</v>
      </c>
      <c r="AB803" s="1">
        <v>3202962905</v>
      </c>
    </row>
    <row r="804" spans="1:28" ht="13.8">
      <c r="A804" s="331">
        <v>35656</v>
      </c>
      <c r="B804" s="331">
        <v>25970</v>
      </c>
      <c r="C804" s="115">
        <v>46059</v>
      </c>
      <c r="D804" s="1" t="s">
        <v>1768</v>
      </c>
      <c r="E804" s="1" t="s">
        <v>1769</v>
      </c>
      <c r="F804" s="1" t="s">
        <v>134</v>
      </c>
      <c r="G804" s="1" t="s">
        <v>271</v>
      </c>
      <c r="H804" s="1" t="s">
        <v>272</v>
      </c>
      <c r="I804" s="1" t="s">
        <v>1230</v>
      </c>
      <c r="J804" s="1" t="s">
        <v>210</v>
      </c>
      <c r="K804" s="1" t="s">
        <v>1231</v>
      </c>
      <c r="L804" s="2">
        <v>280000</v>
      </c>
      <c r="M804" s="2">
        <v>42959</v>
      </c>
      <c r="N804" s="2">
        <v>19312.03</v>
      </c>
      <c r="O804" s="2">
        <v>0</v>
      </c>
      <c r="P804" s="2">
        <v>0</v>
      </c>
      <c r="Q804" s="2">
        <v>7987.97</v>
      </c>
      <c r="R804" s="2">
        <v>0</v>
      </c>
      <c r="S804" s="2">
        <v>217728.97</v>
      </c>
      <c r="T804" s="3">
        <v>0.77760346428571003</v>
      </c>
      <c r="U804" s="1"/>
      <c r="V804" s="1" t="s">
        <v>1770</v>
      </c>
      <c r="W804" s="1" t="s">
        <v>202</v>
      </c>
      <c r="X804" s="1" t="s">
        <v>213</v>
      </c>
      <c r="Y804" s="1">
        <v>19</v>
      </c>
      <c r="Z804" s="1" t="s">
        <v>1771</v>
      </c>
      <c r="AA804" s="1" t="s">
        <v>975</v>
      </c>
      <c r="AB804" s="1">
        <v>3147065563</v>
      </c>
    </row>
    <row r="805" spans="1:28" ht="13.8">
      <c r="A805" s="331">
        <v>35656</v>
      </c>
      <c r="B805" s="331">
        <v>26379</v>
      </c>
      <c r="C805" s="115">
        <v>46066</v>
      </c>
      <c r="D805" s="1" t="s">
        <v>1768</v>
      </c>
      <c r="E805" s="1" t="s">
        <v>1769</v>
      </c>
      <c r="F805" s="1" t="s">
        <v>106</v>
      </c>
      <c r="G805" s="1" t="s">
        <v>271</v>
      </c>
      <c r="H805" s="1" t="s">
        <v>272</v>
      </c>
      <c r="I805" s="1" t="s">
        <v>1230</v>
      </c>
      <c r="J805" s="1" t="s">
        <v>210</v>
      </c>
      <c r="K805" s="1" t="s">
        <v>1231</v>
      </c>
      <c r="L805" s="2">
        <v>0</v>
      </c>
      <c r="M805" s="2">
        <v>0</v>
      </c>
      <c r="N805" s="2">
        <v>2090.85</v>
      </c>
      <c r="O805" s="2">
        <v>0</v>
      </c>
      <c r="P805" s="2">
        <v>0</v>
      </c>
      <c r="Q805" s="2">
        <v>2109.15</v>
      </c>
      <c r="R805" s="2">
        <v>0</v>
      </c>
      <c r="S805" s="2">
        <v>-2090.85</v>
      </c>
      <c r="T805" s="3">
        <v>0</v>
      </c>
      <c r="U805" s="1"/>
      <c r="V805" s="1"/>
      <c r="W805" s="1" t="s">
        <v>63</v>
      </c>
      <c r="X805" s="1" t="s">
        <v>213</v>
      </c>
      <c r="Y805" s="1">
        <v>19</v>
      </c>
      <c r="Z805" s="1"/>
      <c r="AA805" s="1" t="s">
        <v>975</v>
      </c>
      <c r="AB805" s="1">
        <v>3147065563</v>
      </c>
    </row>
    <row r="806" spans="1:28" ht="13.8">
      <c r="A806" s="331">
        <v>35737</v>
      </c>
      <c r="B806" s="331">
        <v>25224</v>
      </c>
      <c r="C806" s="115">
        <v>46058</v>
      </c>
      <c r="D806" s="1" t="s">
        <v>599</v>
      </c>
      <c r="E806" s="1" t="s">
        <v>600</v>
      </c>
      <c r="F806" s="1" t="s">
        <v>132</v>
      </c>
      <c r="G806" s="1" t="s">
        <v>242</v>
      </c>
      <c r="H806" s="1" t="s">
        <v>243</v>
      </c>
      <c r="I806" s="1" t="s">
        <v>1236</v>
      </c>
      <c r="J806" s="1" t="s">
        <v>200</v>
      </c>
      <c r="K806" s="1" t="s">
        <v>1237</v>
      </c>
      <c r="L806" s="2">
        <v>112500</v>
      </c>
      <c r="M806" s="2">
        <v>18742.5</v>
      </c>
      <c r="N806" s="2">
        <v>0</v>
      </c>
      <c r="O806" s="2">
        <v>2250</v>
      </c>
      <c r="P806" s="2">
        <v>0</v>
      </c>
      <c r="Q806" s="2">
        <v>0</v>
      </c>
      <c r="R806" s="2">
        <v>0</v>
      </c>
      <c r="S806" s="2">
        <v>91507.5</v>
      </c>
      <c r="T806" s="3">
        <v>0.81340000000000001</v>
      </c>
      <c r="U806" s="1"/>
      <c r="V806" s="1" t="s">
        <v>607</v>
      </c>
      <c r="W806" s="1" t="s">
        <v>203</v>
      </c>
      <c r="X806" s="1" t="s">
        <v>213</v>
      </c>
      <c r="Y806" s="1">
        <v>34</v>
      </c>
      <c r="Z806" s="1" t="s">
        <v>608</v>
      </c>
      <c r="AA806" s="1" t="s">
        <v>975</v>
      </c>
      <c r="AB806" s="1">
        <v>3143114962</v>
      </c>
    </row>
    <row r="807" spans="1:28" ht="13.8">
      <c r="A807" s="331">
        <v>35849</v>
      </c>
      <c r="B807" s="331">
        <v>25448</v>
      </c>
      <c r="C807" s="115">
        <v>46058</v>
      </c>
      <c r="D807" s="1" t="s">
        <v>1333</v>
      </c>
      <c r="E807" s="1" t="s">
        <v>1334</v>
      </c>
      <c r="F807" s="1" t="s">
        <v>1086</v>
      </c>
      <c r="G807" s="1" t="s">
        <v>271</v>
      </c>
      <c r="H807" s="1" t="s">
        <v>272</v>
      </c>
      <c r="I807" s="1" t="s">
        <v>1230</v>
      </c>
      <c r="J807" s="1" t="s">
        <v>210</v>
      </c>
      <c r="K807" s="1" t="s">
        <v>1231</v>
      </c>
      <c r="L807" s="2">
        <v>280000</v>
      </c>
      <c r="M807" s="2">
        <v>36225</v>
      </c>
      <c r="N807" s="2">
        <v>23882.79</v>
      </c>
      <c r="O807" s="2">
        <v>5600</v>
      </c>
      <c r="P807" s="2">
        <v>0</v>
      </c>
      <c r="Q807" s="2">
        <v>9017.2099999999991</v>
      </c>
      <c r="R807" s="2">
        <v>0</v>
      </c>
      <c r="S807" s="2">
        <v>214292.21</v>
      </c>
      <c r="T807" s="3">
        <v>0.76532932142857002</v>
      </c>
      <c r="U807" s="1"/>
      <c r="V807" s="1" t="s">
        <v>1772</v>
      </c>
      <c r="W807" s="1" t="s">
        <v>202</v>
      </c>
      <c r="X807" s="1" t="s">
        <v>277</v>
      </c>
      <c r="Y807" s="1">
        <v>18</v>
      </c>
      <c r="Z807" s="1" t="s">
        <v>1773</v>
      </c>
      <c r="AA807" s="1" t="s">
        <v>975</v>
      </c>
      <c r="AB807" s="1">
        <v>3127676559</v>
      </c>
    </row>
    <row r="808" spans="1:28" ht="13.8">
      <c r="A808" s="331">
        <v>35857</v>
      </c>
      <c r="B808" s="331">
        <v>26019</v>
      </c>
      <c r="C808" s="115">
        <v>46057</v>
      </c>
      <c r="D808" s="1" t="s">
        <v>1760</v>
      </c>
      <c r="E808" s="1" t="s">
        <v>1761</v>
      </c>
      <c r="F808" s="1" t="s">
        <v>122</v>
      </c>
      <c r="G808" s="1">
        <v>389319</v>
      </c>
      <c r="H808" s="1" t="s">
        <v>1774</v>
      </c>
      <c r="I808" s="1" t="s">
        <v>1775</v>
      </c>
      <c r="J808" s="1" t="s">
        <v>1749</v>
      </c>
      <c r="K808" s="1"/>
      <c r="L808" s="2">
        <v>10000</v>
      </c>
      <c r="M808" s="2">
        <v>267.41000000000003</v>
      </c>
      <c r="N808" s="2">
        <v>7000.4</v>
      </c>
      <c r="O808" s="2">
        <v>200</v>
      </c>
      <c r="P808" s="2">
        <v>0</v>
      </c>
      <c r="Q808" s="2">
        <v>1226.5999999999999</v>
      </c>
      <c r="R808" s="2">
        <v>0</v>
      </c>
      <c r="S808" s="2">
        <v>2532.19</v>
      </c>
      <c r="T808" s="3">
        <v>0.25321900000000003</v>
      </c>
      <c r="U808" s="1"/>
      <c r="V808" s="1" t="s">
        <v>1776</v>
      </c>
      <c r="W808" s="1" t="s">
        <v>202</v>
      </c>
      <c r="X808" s="1" t="s">
        <v>225</v>
      </c>
      <c r="Y808" s="1">
        <v>31</v>
      </c>
      <c r="Z808" s="1" t="s">
        <v>1777</v>
      </c>
      <c r="AA808" s="1" t="s">
        <v>975</v>
      </c>
      <c r="AB808" s="1">
        <v>3218347913</v>
      </c>
    </row>
    <row r="809" spans="1:28" ht="13.8">
      <c r="A809" s="331">
        <v>35893</v>
      </c>
      <c r="B809" s="331">
        <v>25510</v>
      </c>
      <c r="C809" s="115">
        <v>46055</v>
      </c>
      <c r="D809" s="1" t="s">
        <v>895</v>
      </c>
      <c r="E809" s="1" t="s">
        <v>896</v>
      </c>
      <c r="F809" s="1" t="s">
        <v>134</v>
      </c>
      <c r="G809" s="1" t="s">
        <v>271</v>
      </c>
      <c r="H809" s="1" t="s">
        <v>272</v>
      </c>
      <c r="I809" s="1" t="s">
        <v>1230</v>
      </c>
      <c r="J809" s="1" t="s">
        <v>210</v>
      </c>
      <c r="K809" s="1" t="s">
        <v>1231</v>
      </c>
      <c r="L809" s="2">
        <v>280000</v>
      </c>
      <c r="M809" s="2">
        <v>38318</v>
      </c>
      <c r="N809" s="2">
        <v>38624.06</v>
      </c>
      <c r="O809" s="2">
        <v>0</v>
      </c>
      <c r="P809" s="2">
        <v>0</v>
      </c>
      <c r="Q809" s="2">
        <v>15975.94</v>
      </c>
      <c r="R809" s="2">
        <v>0</v>
      </c>
      <c r="S809" s="2">
        <v>203057.94</v>
      </c>
      <c r="T809" s="3">
        <v>0.72520692857142999</v>
      </c>
      <c r="U809" s="1"/>
      <c r="V809" s="1" t="s">
        <v>1240</v>
      </c>
      <c r="W809" s="1" t="s">
        <v>202</v>
      </c>
      <c r="X809" s="1" t="s">
        <v>213</v>
      </c>
      <c r="Y809" s="1">
        <v>15</v>
      </c>
      <c r="Z809" s="1" t="s">
        <v>1241</v>
      </c>
      <c r="AA809" s="1" t="s">
        <v>975</v>
      </c>
      <c r="AB809" s="1">
        <v>3011196577</v>
      </c>
    </row>
    <row r="810" spans="1:28" ht="13.8">
      <c r="A810" s="331">
        <v>35897</v>
      </c>
      <c r="B810" s="331">
        <v>25519</v>
      </c>
      <c r="C810" s="115">
        <v>46056</v>
      </c>
      <c r="D810" s="1" t="s">
        <v>1196</v>
      </c>
      <c r="E810" s="1" t="s">
        <v>1197</v>
      </c>
      <c r="F810" s="1" t="s">
        <v>134</v>
      </c>
      <c r="G810" s="1" t="s">
        <v>271</v>
      </c>
      <c r="H810" s="1" t="s">
        <v>272</v>
      </c>
      <c r="I810" s="1" t="s">
        <v>1230</v>
      </c>
      <c r="J810" s="1" t="s">
        <v>210</v>
      </c>
      <c r="K810" s="1" t="s">
        <v>1231</v>
      </c>
      <c r="L810" s="2">
        <v>0</v>
      </c>
      <c r="M810" s="2">
        <v>0</v>
      </c>
      <c r="N810" s="2">
        <v>24589.46</v>
      </c>
      <c r="O810" s="2">
        <v>0</v>
      </c>
      <c r="P810" s="2">
        <v>0</v>
      </c>
      <c r="Q810" s="2">
        <v>12710.54</v>
      </c>
      <c r="R810" s="2">
        <v>0</v>
      </c>
      <c r="S810" s="2">
        <v>-24589.46</v>
      </c>
      <c r="T810" s="3">
        <v>0</v>
      </c>
      <c r="U810" s="1"/>
      <c r="V810" s="1"/>
      <c r="W810" s="1" t="s">
        <v>63</v>
      </c>
      <c r="X810" s="1" t="s">
        <v>204</v>
      </c>
      <c r="Y810" s="1">
        <v>78</v>
      </c>
      <c r="Z810" s="1"/>
      <c r="AA810" s="1" t="s">
        <v>975</v>
      </c>
      <c r="AB810" s="1">
        <v>3112781679</v>
      </c>
    </row>
    <row r="811" spans="1:28" ht="13.8">
      <c r="A811" s="331">
        <v>35938</v>
      </c>
      <c r="B811" s="331">
        <v>25593</v>
      </c>
      <c r="C811" s="115">
        <v>46056</v>
      </c>
      <c r="D811" s="1" t="s">
        <v>1263</v>
      </c>
      <c r="E811" s="1" t="s">
        <v>1264</v>
      </c>
      <c r="F811" s="1" t="s">
        <v>106</v>
      </c>
      <c r="G811" s="1" t="s">
        <v>197</v>
      </c>
      <c r="H811" s="1" t="s">
        <v>198</v>
      </c>
      <c r="I811" s="1" t="s">
        <v>1236</v>
      </c>
      <c r="J811" s="1" t="s">
        <v>200</v>
      </c>
      <c r="K811" s="1" t="s">
        <v>1237</v>
      </c>
      <c r="L811" s="2">
        <v>90000</v>
      </c>
      <c r="M811" s="2">
        <v>14994</v>
      </c>
      <c r="N811" s="2">
        <v>0</v>
      </c>
      <c r="O811" s="2">
        <v>1800</v>
      </c>
      <c r="P811" s="2">
        <v>0</v>
      </c>
      <c r="Q811" s="2">
        <v>0</v>
      </c>
      <c r="R811" s="2">
        <v>0</v>
      </c>
      <c r="S811" s="2">
        <v>73206</v>
      </c>
      <c r="T811" s="3">
        <v>0.81340000000000001</v>
      </c>
      <c r="U811" s="1"/>
      <c r="V811" s="1" t="s">
        <v>1265</v>
      </c>
      <c r="W811" s="1" t="s">
        <v>202</v>
      </c>
      <c r="X811" s="1" t="s">
        <v>225</v>
      </c>
      <c r="Y811" s="1">
        <v>28</v>
      </c>
      <c r="Z811" s="1" t="s">
        <v>1266</v>
      </c>
      <c r="AA811" s="1" t="s">
        <v>975</v>
      </c>
      <c r="AB811" s="1">
        <v>3167830305</v>
      </c>
    </row>
    <row r="812" spans="1:28" ht="13.8">
      <c r="A812" s="331">
        <v>35938</v>
      </c>
      <c r="B812" s="331">
        <v>25594</v>
      </c>
      <c r="C812" s="115">
        <v>46056</v>
      </c>
      <c r="D812" s="1" t="s">
        <v>1263</v>
      </c>
      <c r="E812" s="1" t="s">
        <v>1264</v>
      </c>
      <c r="F812" s="1" t="s">
        <v>106</v>
      </c>
      <c r="G812" s="1" t="s">
        <v>381</v>
      </c>
      <c r="H812" s="1" t="s">
        <v>382</v>
      </c>
      <c r="I812" s="1" t="s">
        <v>1236</v>
      </c>
      <c r="J812" s="1" t="s">
        <v>200</v>
      </c>
      <c r="K812" s="1" t="s">
        <v>1237</v>
      </c>
      <c r="L812" s="2">
        <v>260000</v>
      </c>
      <c r="M812" s="2">
        <v>43316</v>
      </c>
      <c r="N812" s="2">
        <v>0</v>
      </c>
      <c r="O812" s="2">
        <v>5200</v>
      </c>
      <c r="P812" s="2">
        <v>0</v>
      </c>
      <c r="Q812" s="2">
        <v>0</v>
      </c>
      <c r="R812" s="2">
        <v>0</v>
      </c>
      <c r="S812" s="2">
        <v>211484</v>
      </c>
      <c r="T812" s="3">
        <v>0.81340000000000001</v>
      </c>
      <c r="U812" s="1"/>
      <c r="V812" s="1" t="s">
        <v>1265</v>
      </c>
      <c r="W812" s="1" t="s">
        <v>202</v>
      </c>
      <c r="X812" s="1" t="s">
        <v>225</v>
      </c>
      <c r="Y812" s="1">
        <v>28</v>
      </c>
      <c r="Z812" s="1" t="s">
        <v>1266</v>
      </c>
      <c r="AA812" s="1" t="s">
        <v>975</v>
      </c>
      <c r="AB812" s="1">
        <v>3167830305</v>
      </c>
    </row>
    <row r="813" spans="1:28" ht="13.8">
      <c r="A813" s="331">
        <v>35982</v>
      </c>
      <c r="B813" s="331">
        <v>25684</v>
      </c>
      <c r="C813" s="115">
        <v>46056</v>
      </c>
      <c r="D813" s="1" t="s">
        <v>1242</v>
      </c>
      <c r="E813" s="1" t="s">
        <v>1243</v>
      </c>
      <c r="F813" s="1" t="s">
        <v>106</v>
      </c>
      <c r="G813" s="1" t="s">
        <v>197</v>
      </c>
      <c r="H813" s="1" t="s">
        <v>198</v>
      </c>
      <c r="I813" s="1" t="s">
        <v>1236</v>
      </c>
      <c r="J813" s="1" t="s">
        <v>200</v>
      </c>
      <c r="K813" s="1" t="s">
        <v>1237</v>
      </c>
      <c r="L813" s="2">
        <v>90000</v>
      </c>
      <c r="M813" s="2">
        <v>14994</v>
      </c>
      <c r="N813" s="2">
        <v>0</v>
      </c>
      <c r="O813" s="2">
        <v>1800</v>
      </c>
      <c r="P813" s="2">
        <v>0</v>
      </c>
      <c r="Q813" s="2">
        <v>0</v>
      </c>
      <c r="R813" s="2">
        <v>0</v>
      </c>
      <c r="S813" s="2">
        <v>73206</v>
      </c>
      <c r="T813" s="3">
        <v>0.81340000000000001</v>
      </c>
      <c r="U813" s="1"/>
      <c r="V813" s="1" t="s">
        <v>1244</v>
      </c>
      <c r="W813" s="1" t="s">
        <v>202</v>
      </c>
      <c r="X813" s="1" t="s">
        <v>213</v>
      </c>
      <c r="Y813" s="1">
        <v>32</v>
      </c>
      <c r="Z813" s="1" t="s">
        <v>1245</v>
      </c>
      <c r="AA813" s="1" t="s">
        <v>1246</v>
      </c>
      <c r="AB813" s="1">
        <v>3043483463</v>
      </c>
    </row>
    <row r="814" spans="1:28" ht="13.8">
      <c r="A814" s="331">
        <v>36049</v>
      </c>
      <c r="B814" s="331">
        <v>25815</v>
      </c>
      <c r="C814" s="115">
        <v>46055</v>
      </c>
      <c r="D814" s="1" t="s">
        <v>986</v>
      </c>
      <c r="E814" s="1" t="s">
        <v>987</v>
      </c>
      <c r="F814" s="1" t="s">
        <v>132</v>
      </c>
      <c r="G814" s="1" t="s">
        <v>271</v>
      </c>
      <c r="H814" s="1" t="s">
        <v>272</v>
      </c>
      <c r="I814" s="1" t="s">
        <v>1230</v>
      </c>
      <c r="J814" s="1" t="s">
        <v>210</v>
      </c>
      <c r="K814" s="1" t="s">
        <v>1231</v>
      </c>
      <c r="L814" s="2">
        <v>280000</v>
      </c>
      <c r="M814" s="2">
        <v>41293</v>
      </c>
      <c r="N814" s="2">
        <v>21402.880000000001</v>
      </c>
      <c r="O814" s="2">
        <v>5600</v>
      </c>
      <c r="P814" s="2">
        <v>0</v>
      </c>
      <c r="Q814" s="2">
        <v>10097.120000000001</v>
      </c>
      <c r="R814" s="2">
        <v>0</v>
      </c>
      <c r="S814" s="2">
        <v>211704.12</v>
      </c>
      <c r="T814" s="3">
        <v>0.75608614285714004</v>
      </c>
      <c r="U814" s="1"/>
      <c r="V814" s="1" t="s">
        <v>1232</v>
      </c>
      <c r="W814" s="1" t="s">
        <v>202</v>
      </c>
      <c r="X814" s="1" t="s">
        <v>213</v>
      </c>
      <c r="Y814" s="1">
        <v>35</v>
      </c>
      <c r="Z814" s="1" t="s">
        <v>1233</v>
      </c>
      <c r="AA814" s="1" t="s">
        <v>975</v>
      </c>
      <c r="AB814" s="1" t="s">
        <v>990</v>
      </c>
    </row>
    <row r="815" spans="1:28" ht="13.8">
      <c r="A815" s="332">
        <v>36059</v>
      </c>
      <c r="B815" s="332">
        <v>25833</v>
      </c>
      <c r="C815" s="38">
        <v>46059</v>
      </c>
      <c r="D815" s="4" t="s">
        <v>858</v>
      </c>
      <c r="E815" s="4" t="s">
        <v>859</v>
      </c>
      <c r="F815" s="4" t="s">
        <v>1086</v>
      </c>
      <c r="G815" s="4" t="s">
        <v>271</v>
      </c>
      <c r="H815" s="4" t="s">
        <v>272</v>
      </c>
      <c r="I815" s="4" t="s">
        <v>1230</v>
      </c>
      <c r="J815" s="4" t="s">
        <v>210</v>
      </c>
      <c r="K815" s="4" t="s">
        <v>1231</v>
      </c>
      <c r="L815" s="5">
        <v>280000</v>
      </c>
      <c r="M815" s="5">
        <v>41160</v>
      </c>
      <c r="N815" s="5">
        <v>0</v>
      </c>
      <c r="O815" s="5">
        <v>5600</v>
      </c>
      <c r="P815" s="5">
        <v>0</v>
      </c>
      <c r="Q815" s="5">
        <v>0</v>
      </c>
      <c r="R815" s="5">
        <v>0</v>
      </c>
      <c r="S815" s="5">
        <v>233240</v>
      </c>
      <c r="T815" s="6" t="s">
        <v>224</v>
      </c>
      <c r="U815" s="1"/>
      <c r="V815" s="1" t="s">
        <v>1778</v>
      </c>
      <c r="W815" s="1" t="s">
        <v>202</v>
      </c>
      <c r="X815" s="1" t="s">
        <v>277</v>
      </c>
      <c r="Y815" s="1">
        <v>24</v>
      </c>
      <c r="Z815" s="1" t="s">
        <v>1779</v>
      </c>
      <c r="AA815" s="1" t="s">
        <v>975</v>
      </c>
      <c r="AB815" s="1">
        <v>3212808037</v>
      </c>
    </row>
    <row r="816" spans="1:28" ht="13.8">
      <c r="A816" s="331">
        <v>36059</v>
      </c>
      <c r="B816" s="331">
        <v>26136</v>
      </c>
      <c r="C816" s="115">
        <v>46059</v>
      </c>
      <c r="D816" s="1" t="s">
        <v>858</v>
      </c>
      <c r="E816" s="1" t="s">
        <v>859</v>
      </c>
      <c r="F816" s="1" t="s">
        <v>1086</v>
      </c>
      <c r="G816" s="1" t="s">
        <v>231</v>
      </c>
      <c r="H816" s="1" t="s">
        <v>232</v>
      </c>
      <c r="I816" s="1" t="s">
        <v>1236</v>
      </c>
      <c r="J816" s="1" t="s">
        <v>200</v>
      </c>
      <c r="K816" s="1" t="s">
        <v>1237</v>
      </c>
      <c r="L816" s="2">
        <v>87500</v>
      </c>
      <c r="M816" s="2">
        <v>12862.5</v>
      </c>
      <c r="N816" s="2">
        <v>0</v>
      </c>
      <c r="O816" s="2">
        <v>1750</v>
      </c>
      <c r="P816" s="2">
        <v>0</v>
      </c>
      <c r="Q816" s="2">
        <v>0</v>
      </c>
      <c r="R816" s="2">
        <v>0</v>
      </c>
      <c r="S816" s="2">
        <v>72887.5</v>
      </c>
      <c r="T816" s="3">
        <v>0.83299999999999996</v>
      </c>
      <c r="U816" s="1"/>
      <c r="V816" s="1" t="s">
        <v>1780</v>
      </c>
      <c r="W816" s="1" t="s">
        <v>202</v>
      </c>
      <c r="X816" s="1" t="s">
        <v>277</v>
      </c>
      <c r="Y816" s="1">
        <v>24</v>
      </c>
      <c r="Z816" s="1" t="s">
        <v>1781</v>
      </c>
      <c r="AA816" s="1" t="s">
        <v>975</v>
      </c>
      <c r="AB816" s="1">
        <v>3212808037</v>
      </c>
    </row>
    <row r="817" spans="1:28" ht="13.8">
      <c r="A817" s="331">
        <v>36059</v>
      </c>
      <c r="B817" s="331">
        <v>26139</v>
      </c>
      <c r="C817" s="115">
        <v>46059</v>
      </c>
      <c r="D817" s="1" t="s">
        <v>858</v>
      </c>
      <c r="E817" s="1" t="s">
        <v>859</v>
      </c>
      <c r="F817" s="1" t="s">
        <v>1086</v>
      </c>
      <c r="G817" s="1" t="s">
        <v>231</v>
      </c>
      <c r="H817" s="1" t="s">
        <v>232</v>
      </c>
      <c r="I817" s="1" t="s">
        <v>1236</v>
      </c>
      <c r="J817" s="1" t="s">
        <v>200</v>
      </c>
      <c r="K817" s="1" t="s">
        <v>1237</v>
      </c>
      <c r="L817" s="2">
        <v>87500</v>
      </c>
      <c r="M817" s="2">
        <v>12862.5</v>
      </c>
      <c r="N817" s="2">
        <v>0</v>
      </c>
      <c r="O817" s="2">
        <v>1750</v>
      </c>
      <c r="P817" s="2">
        <v>0</v>
      </c>
      <c r="Q817" s="2">
        <v>0</v>
      </c>
      <c r="R817" s="2">
        <v>0</v>
      </c>
      <c r="S817" s="2">
        <v>72887.5</v>
      </c>
      <c r="T817" s="3">
        <v>0.83299999999999996</v>
      </c>
      <c r="U817" s="1"/>
      <c r="V817" s="1" t="s">
        <v>1780</v>
      </c>
      <c r="W817" s="1" t="s">
        <v>202</v>
      </c>
      <c r="X817" s="1" t="s">
        <v>277</v>
      </c>
      <c r="Y817" s="1">
        <v>24</v>
      </c>
      <c r="Z817" s="1" t="s">
        <v>1781</v>
      </c>
      <c r="AA817" s="1" t="s">
        <v>975</v>
      </c>
      <c r="AB817" s="1">
        <v>3212808037</v>
      </c>
    </row>
    <row r="818" spans="1:28" ht="13.8">
      <c r="A818" s="331">
        <v>36101</v>
      </c>
      <c r="B818" s="331">
        <v>25892</v>
      </c>
      <c r="C818" s="115">
        <v>46056</v>
      </c>
      <c r="D818" s="1" t="s">
        <v>1247</v>
      </c>
      <c r="E818" s="1" t="s">
        <v>1248</v>
      </c>
      <c r="F818" s="1" t="s">
        <v>106</v>
      </c>
      <c r="G818" s="1" t="s">
        <v>197</v>
      </c>
      <c r="H818" s="1" t="s">
        <v>198</v>
      </c>
      <c r="I818" s="1" t="s">
        <v>1236</v>
      </c>
      <c r="J818" s="1" t="s">
        <v>200</v>
      </c>
      <c r="K818" s="1" t="s">
        <v>1237</v>
      </c>
      <c r="L818" s="2">
        <v>90000</v>
      </c>
      <c r="M818" s="2">
        <v>1800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88200</v>
      </c>
      <c r="T818" s="3">
        <v>0.98</v>
      </c>
      <c r="U818" s="1"/>
      <c r="V818" s="1" t="s">
        <v>1249</v>
      </c>
      <c r="W818" s="1" t="s">
        <v>202</v>
      </c>
      <c r="X818" s="1" t="s">
        <v>204</v>
      </c>
      <c r="Y818" s="1">
        <v>30</v>
      </c>
      <c r="Z818" s="1" t="s">
        <v>1250</v>
      </c>
      <c r="AA818" s="1" t="s">
        <v>1246</v>
      </c>
      <c r="AB818" s="1">
        <v>3043483463</v>
      </c>
    </row>
    <row r="819" spans="1:28" ht="13.8">
      <c r="A819" s="331">
        <v>36102</v>
      </c>
      <c r="B819" s="331">
        <v>25893</v>
      </c>
      <c r="C819" s="115">
        <v>46056</v>
      </c>
      <c r="D819" s="1" t="s">
        <v>1251</v>
      </c>
      <c r="E819" s="1" t="s">
        <v>1252</v>
      </c>
      <c r="F819" s="1" t="s">
        <v>106</v>
      </c>
      <c r="G819" s="1" t="s">
        <v>197</v>
      </c>
      <c r="H819" s="1" t="s">
        <v>198</v>
      </c>
      <c r="I819" s="1" t="s">
        <v>1236</v>
      </c>
      <c r="J819" s="1" t="s">
        <v>200</v>
      </c>
      <c r="K819" s="1" t="s">
        <v>1237</v>
      </c>
      <c r="L819" s="2">
        <v>90000</v>
      </c>
      <c r="M819" s="2">
        <v>14994</v>
      </c>
      <c r="N819" s="2">
        <v>0</v>
      </c>
      <c r="O819" s="2">
        <v>1800</v>
      </c>
      <c r="P819" s="2">
        <v>0</v>
      </c>
      <c r="Q819" s="2">
        <v>0</v>
      </c>
      <c r="R819" s="2">
        <v>0</v>
      </c>
      <c r="S819" s="2">
        <v>73206</v>
      </c>
      <c r="T819" s="3">
        <v>0.81340000000000001</v>
      </c>
      <c r="U819" s="1"/>
      <c r="V819" s="1" t="s">
        <v>1253</v>
      </c>
      <c r="W819" s="1" t="s">
        <v>202</v>
      </c>
      <c r="X819" s="1" t="s">
        <v>225</v>
      </c>
      <c r="Y819" s="1">
        <v>23</v>
      </c>
      <c r="Z819" s="1" t="s">
        <v>1254</v>
      </c>
      <c r="AA819" s="1" t="s">
        <v>1246</v>
      </c>
      <c r="AB819" s="1">
        <v>3043483463</v>
      </c>
    </row>
    <row r="820" spans="1:28" ht="13.8">
      <c r="A820" s="331">
        <v>36105</v>
      </c>
      <c r="B820" s="331">
        <v>25897</v>
      </c>
      <c r="C820" s="115">
        <v>46061</v>
      </c>
      <c r="D820" s="1" t="s">
        <v>903</v>
      </c>
      <c r="E820" s="1" t="s">
        <v>904</v>
      </c>
      <c r="F820" s="1" t="s">
        <v>134</v>
      </c>
      <c r="G820" s="1" t="s">
        <v>586</v>
      </c>
      <c r="H820" s="1" t="s">
        <v>587</v>
      </c>
      <c r="I820" s="1" t="s">
        <v>1257</v>
      </c>
      <c r="J820" s="1" t="s">
        <v>200</v>
      </c>
      <c r="K820" s="1" t="s">
        <v>1258</v>
      </c>
      <c r="L820" s="2">
        <v>500000</v>
      </c>
      <c r="M820" s="2">
        <v>47584.36</v>
      </c>
      <c r="N820" s="2">
        <v>137398.63</v>
      </c>
      <c r="O820" s="2">
        <v>10000</v>
      </c>
      <c r="P820" s="2">
        <v>0</v>
      </c>
      <c r="Q820" s="2">
        <v>72693.37</v>
      </c>
      <c r="R820" s="2">
        <v>0</v>
      </c>
      <c r="S820" s="2">
        <v>305017.01</v>
      </c>
      <c r="T820" s="3">
        <v>0.61003401999999995</v>
      </c>
      <c r="U820" s="1"/>
      <c r="V820" s="1" t="s">
        <v>1782</v>
      </c>
      <c r="W820" s="1" t="s">
        <v>202</v>
      </c>
      <c r="X820" s="1" t="s">
        <v>225</v>
      </c>
      <c r="Y820" s="1">
        <v>27</v>
      </c>
      <c r="Z820" s="1" t="s">
        <v>1783</v>
      </c>
      <c r="AA820" s="1" t="s">
        <v>975</v>
      </c>
      <c r="AB820" s="1">
        <v>3208535155</v>
      </c>
    </row>
    <row r="821" spans="1:28" ht="13.8">
      <c r="A821" s="331">
        <v>36106</v>
      </c>
      <c r="B821" s="331">
        <v>25898</v>
      </c>
      <c r="C821" s="115">
        <v>46056</v>
      </c>
      <c r="D821" s="1" t="s">
        <v>1127</v>
      </c>
      <c r="E821" s="1" t="s">
        <v>1128</v>
      </c>
      <c r="F821" s="1" t="s">
        <v>106</v>
      </c>
      <c r="G821" s="1" t="s">
        <v>1255</v>
      </c>
      <c r="H821" s="1" t="s">
        <v>1256</v>
      </c>
      <c r="I821" s="1" t="s">
        <v>1257</v>
      </c>
      <c r="J821" s="1" t="s">
        <v>200</v>
      </c>
      <c r="K821" s="1" t="s">
        <v>1258</v>
      </c>
      <c r="L821" s="2">
        <v>1056000</v>
      </c>
      <c r="M821" s="2">
        <v>133129.72</v>
      </c>
      <c r="N821" s="2">
        <v>177125.5</v>
      </c>
      <c r="O821" s="2">
        <v>21120</v>
      </c>
      <c r="P821" s="2">
        <v>0</v>
      </c>
      <c r="Q821" s="2">
        <v>74638.5</v>
      </c>
      <c r="R821" s="2">
        <v>0</v>
      </c>
      <c r="S821" s="2">
        <v>724624.78</v>
      </c>
      <c r="T821" s="3">
        <v>0.68619770833333005</v>
      </c>
      <c r="U821" s="1"/>
      <c r="V821" s="1" t="s">
        <v>1259</v>
      </c>
      <c r="W821" s="1" t="s">
        <v>202</v>
      </c>
      <c r="X821" s="1" t="s">
        <v>225</v>
      </c>
      <c r="Y821" s="1">
        <v>56</v>
      </c>
      <c r="Z821" s="1" t="s">
        <v>1260</v>
      </c>
      <c r="AA821" s="1" t="s">
        <v>975</v>
      </c>
      <c r="AB821" s="1">
        <v>3163034459</v>
      </c>
    </row>
    <row r="822" spans="1:28" ht="13.8">
      <c r="A822" s="331">
        <v>36114</v>
      </c>
      <c r="B822" s="331">
        <v>25907</v>
      </c>
      <c r="C822" s="115">
        <v>46057</v>
      </c>
      <c r="D822" s="1" t="s">
        <v>1784</v>
      </c>
      <c r="E822" s="1" t="s">
        <v>1785</v>
      </c>
      <c r="F822" s="1" t="s">
        <v>1086</v>
      </c>
      <c r="G822" s="1" t="s">
        <v>271</v>
      </c>
      <c r="H822" s="1" t="s">
        <v>272</v>
      </c>
      <c r="I822" s="1" t="s">
        <v>1230</v>
      </c>
      <c r="J822" s="1" t="s">
        <v>210</v>
      </c>
      <c r="K822" s="1" t="s">
        <v>1231</v>
      </c>
      <c r="L822" s="2">
        <v>280000</v>
      </c>
      <c r="M822" s="2">
        <v>36759.300000000003</v>
      </c>
      <c r="N822" s="2">
        <v>23899.52</v>
      </c>
      <c r="O822" s="2">
        <v>5600</v>
      </c>
      <c r="P822" s="2">
        <v>0</v>
      </c>
      <c r="Q822" s="2">
        <v>5438.48</v>
      </c>
      <c r="R822" s="2">
        <v>0</v>
      </c>
      <c r="S822" s="2">
        <v>213741.18</v>
      </c>
      <c r="T822" s="3">
        <v>0.76336135714286002</v>
      </c>
      <c r="U822" s="1"/>
      <c r="V822" s="1" t="s">
        <v>1786</v>
      </c>
      <c r="W822" s="1" t="s">
        <v>202</v>
      </c>
      <c r="X822" s="1" t="s">
        <v>672</v>
      </c>
      <c r="Y822" s="1">
        <v>26</v>
      </c>
      <c r="Z822" s="1" t="s">
        <v>1787</v>
      </c>
      <c r="AA822" s="1" t="s">
        <v>975</v>
      </c>
      <c r="AB822" s="1">
        <v>3104374026</v>
      </c>
    </row>
    <row r="823" spans="1:28" ht="13.8">
      <c r="A823" s="331">
        <v>36115</v>
      </c>
      <c r="B823" s="331">
        <v>25908</v>
      </c>
      <c r="C823" s="115">
        <v>46057</v>
      </c>
      <c r="D823" s="1" t="s">
        <v>1784</v>
      </c>
      <c r="E823" s="1" t="s">
        <v>1785</v>
      </c>
      <c r="F823" s="1" t="s">
        <v>1086</v>
      </c>
      <c r="G823" s="1">
        <v>389320</v>
      </c>
      <c r="H823" s="1" t="s">
        <v>1788</v>
      </c>
      <c r="I823" s="1" t="s">
        <v>1775</v>
      </c>
      <c r="J823" s="1" t="s">
        <v>1749</v>
      </c>
      <c r="K823" s="1"/>
      <c r="L823" s="2">
        <v>300000</v>
      </c>
      <c r="M823" s="2">
        <v>23445</v>
      </c>
      <c r="N823" s="2">
        <v>112094.12</v>
      </c>
      <c r="O823" s="2">
        <v>6000</v>
      </c>
      <c r="P823" s="2">
        <v>0</v>
      </c>
      <c r="Q823" s="2">
        <v>25605.88</v>
      </c>
      <c r="R823" s="2">
        <v>0</v>
      </c>
      <c r="S823" s="2">
        <v>158460.88</v>
      </c>
      <c r="T823" s="3">
        <v>0.52820293333333002</v>
      </c>
      <c r="U823" s="1"/>
      <c r="V823" s="1" t="s">
        <v>1789</v>
      </c>
      <c r="W823" s="1" t="s">
        <v>202</v>
      </c>
      <c r="X823" s="1" t="s">
        <v>672</v>
      </c>
      <c r="Y823" s="1">
        <v>26</v>
      </c>
      <c r="Z823" s="1" t="s">
        <v>1790</v>
      </c>
      <c r="AA823" s="1" t="s">
        <v>975</v>
      </c>
      <c r="AB823" s="1">
        <v>3104374026</v>
      </c>
    </row>
    <row r="824" spans="1:28" ht="13.8">
      <c r="A824" s="332">
        <v>36116</v>
      </c>
      <c r="B824" s="332">
        <v>25909</v>
      </c>
      <c r="C824" s="38">
        <v>46065</v>
      </c>
      <c r="D824" s="4" t="s">
        <v>914</v>
      </c>
      <c r="E824" s="4" t="s">
        <v>1294</v>
      </c>
      <c r="F824" s="4" t="s">
        <v>134</v>
      </c>
      <c r="G824" s="4" t="s">
        <v>271</v>
      </c>
      <c r="H824" s="4" t="s">
        <v>272</v>
      </c>
      <c r="I824" s="4" t="s">
        <v>1230</v>
      </c>
      <c r="J824" s="4" t="s">
        <v>210</v>
      </c>
      <c r="K824" s="4" t="s">
        <v>1231</v>
      </c>
      <c r="L824" s="5">
        <v>200000</v>
      </c>
      <c r="M824" s="5">
        <v>23549.08</v>
      </c>
      <c r="N824" s="5">
        <v>30355.66</v>
      </c>
      <c r="O824" s="5">
        <v>4000</v>
      </c>
      <c r="P824" s="5">
        <v>0</v>
      </c>
      <c r="Q824" s="5">
        <v>27120.34</v>
      </c>
      <c r="R824" s="5">
        <v>0</v>
      </c>
      <c r="S824" s="5">
        <v>142095.26</v>
      </c>
      <c r="T824" s="6" t="s">
        <v>224</v>
      </c>
      <c r="U824" s="1"/>
      <c r="V824" s="1" t="s">
        <v>2274</v>
      </c>
      <c r="W824" s="1" t="s">
        <v>202</v>
      </c>
      <c r="X824" s="1" t="s">
        <v>225</v>
      </c>
      <c r="Y824" s="1">
        <v>56</v>
      </c>
      <c r="Z824" s="1" t="s">
        <v>2275</v>
      </c>
      <c r="AA824" s="1" t="s">
        <v>975</v>
      </c>
      <c r="AB824" s="1">
        <v>3003494934</v>
      </c>
    </row>
    <row r="825" spans="1:28" ht="13.8">
      <c r="A825" s="331">
        <v>36139</v>
      </c>
      <c r="B825" s="331">
        <v>25953</v>
      </c>
      <c r="C825" s="115">
        <v>46057</v>
      </c>
      <c r="D825" s="1" t="s">
        <v>1791</v>
      </c>
      <c r="E825" s="1" t="s">
        <v>1792</v>
      </c>
      <c r="F825" s="1" t="s">
        <v>132</v>
      </c>
      <c r="G825" s="1" t="s">
        <v>536</v>
      </c>
      <c r="H825" s="1" t="s">
        <v>537</v>
      </c>
      <c r="I825" s="1" t="s">
        <v>1257</v>
      </c>
      <c r="J825" s="1" t="s">
        <v>200</v>
      </c>
      <c r="K825" s="1" t="s">
        <v>1258</v>
      </c>
      <c r="L825" s="2">
        <v>1056000</v>
      </c>
      <c r="M825" s="2">
        <v>134059.62</v>
      </c>
      <c r="N825" s="2">
        <v>163669.75</v>
      </c>
      <c r="O825" s="2">
        <v>21120</v>
      </c>
      <c r="P825" s="2">
        <v>0</v>
      </c>
      <c r="Q825" s="2">
        <v>82624.25</v>
      </c>
      <c r="R825" s="2">
        <v>0</v>
      </c>
      <c r="S825" s="2">
        <v>737150.63</v>
      </c>
      <c r="T825" s="3">
        <v>0.69805930871211996</v>
      </c>
      <c r="U825" s="1"/>
      <c r="V825" s="1" t="s">
        <v>1793</v>
      </c>
      <c r="W825" s="1" t="s">
        <v>202</v>
      </c>
      <c r="X825" s="1" t="s">
        <v>204</v>
      </c>
      <c r="Y825" s="1">
        <v>49</v>
      </c>
      <c r="Z825" s="1" t="s">
        <v>1794</v>
      </c>
      <c r="AA825" s="1" t="s">
        <v>975</v>
      </c>
      <c r="AB825" s="1">
        <v>3105193566</v>
      </c>
    </row>
    <row r="826" spans="1:28" ht="13.8">
      <c r="A826" s="331">
        <v>36180</v>
      </c>
      <c r="B826" s="331">
        <v>26024</v>
      </c>
      <c r="C826" s="115">
        <v>46066</v>
      </c>
      <c r="D826" s="1" t="s">
        <v>1326</v>
      </c>
      <c r="E826" s="1" t="s">
        <v>2094</v>
      </c>
      <c r="F826" s="1" t="s">
        <v>132</v>
      </c>
      <c r="G826" s="1" t="s">
        <v>271</v>
      </c>
      <c r="H826" s="1" t="s">
        <v>272</v>
      </c>
      <c r="I826" s="1" t="s">
        <v>1230</v>
      </c>
      <c r="J826" s="1" t="s">
        <v>210</v>
      </c>
      <c r="K826" s="1" t="s">
        <v>1231</v>
      </c>
      <c r="L826" s="2">
        <v>280000</v>
      </c>
      <c r="M826" s="2">
        <v>41599</v>
      </c>
      <c r="N826" s="2">
        <v>22823.86</v>
      </c>
      <c r="O826" s="2">
        <v>5600</v>
      </c>
      <c r="P826" s="2">
        <v>0</v>
      </c>
      <c r="Q826" s="2">
        <v>6876.14</v>
      </c>
      <c r="R826" s="2">
        <v>0</v>
      </c>
      <c r="S826" s="2">
        <v>209977.14</v>
      </c>
      <c r="T826" s="3">
        <v>0.74991835714286004</v>
      </c>
      <c r="U826" s="1"/>
      <c r="V826" s="1" t="s">
        <v>2556</v>
      </c>
      <c r="W826" s="1" t="s">
        <v>202</v>
      </c>
      <c r="X826" s="1" t="s">
        <v>225</v>
      </c>
      <c r="Y826" s="1">
        <v>57</v>
      </c>
      <c r="Z826" s="1" t="s">
        <v>2557</v>
      </c>
      <c r="AA826" s="1" t="s">
        <v>975</v>
      </c>
      <c r="AB826" s="1">
        <v>5044510574</v>
      </c>
    </row>
    <row r="827" spans="1:28" ht="13.8">
      <c r="A827" s="331">
        <v>36201</v>
      </c>
      <c r="B827" s="331">
        <v>26070</v>
      </c>
      <c r="C827" s="115">
        <v>46065</v>
      </c>
      <c r="D827" s="1" t="s">
        <v>1274</v>
      </c>
      <c r="E827" s="1" t="s">
        <v>1275</v>
      </c>
      <c r="F827" s="1" t="s">
        <v>134</v>
      </c>
      <c r="G827" s="1" t="s">
        <v>233</v>
      </c>
      <c r="H827" s="1" t="s">
        <v>234</v>
      </c>
      <c r="I827" s="1" t="s">
        <v>1236</v>
      </c>
      <c r="J827" s="1" t="s">
        <v>200</v>
      </c>
      <c r="K827" s="1" t="s">
        <v>1237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3">
        <v>0</v>
      </c>
      <c r="U827" s="1"/>
      <c r="V827" s="1"/>
      <c r="W827" s="1" t="s">
        <v>63</v>
      </c>
      <c r="X827" s="1" t="s">
        <v>225</v>
      </c>
      <c r="Y827" s="1">
        <v>23</v>
      </c>
      <c r="Z827" s="1"/>
      <c r="AA827" s="1" t="s">
        <v>975</v>
      </c>
      <c r="AB827" s="1">
        <v>3007016628</v>
      </c>
    </row>
    <row r="828" spans="1:28" ht="13.8">
      <c r="A828" s="331">
        <v>36201</v>
      </c>
      <c r="B828" s="331">
        <v>26463</v>
      </c>
      <c r="C828" s="115">
        <v>46065</v>
      </c>
      <c r="D828" s="1" t="s">
        <v>1274</v>
      </c>
      <c r="E828" s="1" t="s">
        <v>1275</v>
      </c>
      <c r="F828" s="1" t="s">
        <v>134</v>
      </c>
      <c r="G828" s="1" t="s">
        <v>197</v>
      </c>
      <c r="H828" s="1" t="s">
        <v>198</v>
      </c>
      <c r="I828" s="1" t="s">
        <v>1236</v>
      </c>
      <c r="J828" s="1" t="s">
        <v>200</v>
      </c>
      <c r="K828" s="1" t="s">
        <v>1237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3">
        <v>0</v>
      </c>
      <c r="U828" s="1"/>
      <c r="V828" s="1"/>
      <c r="W828" s="1" t="s">
        <v>63</v>
      </c>
      <c r="X828" s="1" t="s">
        <v>225</v>
      </c>
      <c r="Y828" s="1">
        <v>23</v>
      </c>
      <c r="Z828" s="1"/>
      <c r="AA828" s="1" t="s">
        <v>975</v>
      </c>
      <c r="AB828" s="1">
        <v>3007016628</v>
      </c>
    </row>
    <row r="829" spans="1:28" ht="13.8">
      <c r="A829" s="331">
        <v>36264</v>
      </c>
      <c r="B829" s="331">
        <v>26203</v>
      </c>
      <c r="C829" s="115">
        <v>46068</v>
      </c>
      <c r="D829" s="1" t="s">
        <v>1400</v>
      </c>
      <c r="E829" s="1" t="s">
        <v>1401</v>
      </c>
      <c r="F829" s="1" t="s">
        <v>122</v>
      </c>
      <c r="G829" s="1" t="s">
        <v>271</v>
      </c>
      <c r="H829" s="1" t="s">
        <v>272</v>
      </c>
      <c r="I829" s="1" t="s">
        <v>1230</v>
      </c>
      <c r="J829" s="1" t="s">
        <v>210</v>
      </c>
      <c r="K829" s="1" t="s">
        <v>1231</v>
      </c>
      <c r="L829" s="2">
        <v>280000</v>
      </c>
      <c r="M829" s="2">
        <v>41599</v>
      </c>
      <c r="N829" s="2">
        <v>22823.86</v>
      </c>
      <c r="O829" s="2">
        <v>5600</v>
      </c>
      <c r="P829" s="2">
        <v>0</v>
      </c>
      <c r="Q829" s="2">
        <v>6876.14</v>
      </c>
      <c r="R829" s="2">
        <v>0</v>
      </c>
      <c r="S829" s="2">
        <v>209977.14</v>
      </c>
      <c r="T829" s="3">
        <v>0.74991835714286004</v>
      </c>
      <c r="U829" s="1"/>
      <c r="V829" s="1" t="s">
        <v>2558</v>
      </c>
      <c r="W829" s="1" t="s">
        <v>202</v>
      </c>
      <c r="X829" s="1" t="s">
        <v>213</v>
      </c>
      <c r="Y829" s="1">
        <v>17</v>
      </c>
      <c r="Z829" s="1" t="s">
        <v>2559</v>
      </c>
      <c r="AA829" s="1" t="s">
        <v>975</v>
      </c>
      <c r="AB829" s="1">
        <v>3205278918</v>
      </c>
    </row>
    <row r="830" spans="1:28" ht="13.8">
      <c r="A830" s="331">
        <v>36286</v>
      </c>
      <c r="B830" s="331">
        <v>26246</v>
      </c>
      <c r="C830" s="115">
        <v>46063</v>
      </c>
      <c r="D830" s="1" t="s">
        <v>1950</v>
      </c>
      <c r="E830" s="1" t="s">
        <v>1951</v>
      </c>
      <c r="F830" s="1" t="s">
        <v>132</v>
      </c>
      <c r="G830" s="1" t="s">
        <v>271</v>
      </c>
      <c r="H830" s="1" t="s">
        <v>272</v>
      </c>
      <c r="I830" s="1" t="s">
        <v>1230</v>
      </c>
      <c r="J830" s="1" t="s">
        <v>210</v>
      </c>
      <c r="K830" s="1" t="s">
        <v>1231</v>
      </c>
      <c r="L830" s="2">
        <v>280000</v>
      </c>
      <c r="M830" s="2">
        <v>41048.54</v>
      </c>
      <c r="N830" s="2">
        <v>26640.28</v>
      </c>
      <c r="O830" s="2">
        <v>5600</v>
      </c>
      <c r="P830" s="2">
        <v>0</v>
      </c>
      <c r="Q830" s="2">
        <v>6297.72</v>
      </c>
      <c r="R830" s="2">
        <v>0</v>
      </c>
      <c r="S830" s="2">
        <v>206711.18</v>
      </c>
      <c r="T830" s="3">
        <v>0.73825421428571003</v>
      </c>
      <c r="U830" s="1"/>
      <c r="V830" s="1" t="s">
        <v>1969</v>
      </c>
      <c r="W830" s="1" t="s">
        <v>202</v>
      </c>
      <c r="X830" s="1" t="s">
        <v>213</v>
      </c>
      <c r="Y830" s="1">
        <v>22</v>
      </c>
      <c r="Z830" s="1" t="s">
        <v>1970</v>
      </c>
      <c r="AA830" s="1" t="s">
        <v>975</v>
      </c>
      <c r="AB830" s="1">
        <v>3136800351</v>
      </c>
    </row>
    <row r="831" spans="1:28" ht="13.8">
      <c r="A831" s="331">
        <v>36295</v>
      </c>
      <c r="B831" s="331">
        <v>26258</v>
      </c>
      <c r="C831" s="115">
        <v>46063</v>
      </c>
      <c r="D831" s="1" t="s">
        <v>1393</v>
      </c>
      <c r="E831" s="1" t="s">
        <v>1394</v>
      </c>
      <c r="F831" s="1" t="s">
        <v>134</v>
      </c>
      <c r="G831" s="1" t="s">
        <v>271</v>
      </c>
      <c r="H831" s="1" t="s">
        <v>272</v>
      </c>
      <c r="I831" s="1" t="s">
        <v>1230</v>
      </c>
      <c r="J831" s="1" t="s">
        <v>210</v>
      </c>
      <c r="K831" s="1" t="s">
        <v>1231</v>
      </c>
      <c r="L831" s="2">
        <v>280000</v>
      </c>
      <c r="M831" s="2">
        <v>33490</v>
      </c>
      <c r="N831" s="2">
        <v>54510.14</v>
      </c>
      <c r="O831" s="2">
        <v>5600</v>
      </c>
      <c r="P831" s="2">
        <v>0</v>
      </c>
      <c r="Q831" s="2">
        <v>22889.86</v>
      </c>
      <c r="R831" s="2">
        <v>0</v>
      </c>
      <c r="S831" s="2">
        <v>186399.86</v>
      </c>
      <c r="T831" s="3">
        <v>0.66571378571428996</v>
      </c>
      <c r="U831" s="1"/>
      <c r="V831" s="1" t="s">
        <v>1971</v>
      </c>
      <c r="W831" s="1" t="s">
        <v>202</v>
      </c>
      <c r="X831" s="1" t="s">
        <v>225</v>
      </c>
      <c r="Y831" s="1">
        <v>22</v>
      </c>
      <c r="Z831" s="1" t="s">
        <v>1972</v>
      </c>
      <c r="AA831" s="1" t="s">
        <v>975</v>
      </c>
      <c r="AB831" s="1">
        <v>3218845932</v>
      </c>
    </row>
    <row r="832" spans="1:28" ht="13.8">
      <c r="A832" s="332">
        <v>36309</v>
      </c>
      <c r="B832" s="332">
        <v>26283</v>
      </c>
      <c r="C832" s="38">
        <v>46066</v>
      </c>
      <c r="D832" s="4" t="s">
        <v>2023</v>
      </c>
      <c r="E832" s="4" t="s">
        <v>2024</v>
      </c>
      <c r="F832" s="4" t="s">
        <v>134</v>
      </c>
      <c r="G832" s="4" t="s">
        <v>271</v>
      </c>
      <c r="H832" s="4" t="s">
        <v>272</v>
      </c>
      <c r="I832" s="4" t="s">
        <v>1230</v>
      </c>
      <c r="J832" s="4" t="s">
        <v>210</v>
      </c>
      <c r="K832" s="4" t="s">
        <v>1231</v>
      </c>
      <c r="L832" s="5">
        <v>280000</v>
      </c>
      <c r="M832" s="5">
        <v>46648</v>
      </c>
      <c r="N832" s="5">
        <v>0</v>
      </c>
      <c r="O832" s="5">
        <v>5600</v>
      </c>
      <c r="P832" s="5">
        <v>0</v>
      </c>
      <c r="Q832" s="5">
        <v>0</v>
      </c>
      <c r="R832" s="5">
        <v>0</v>
      </c>
      <c r="S832" s="5">
        <v>227752</v>
      </c>
      <c r="T832" s="6" t="s">
        <v>224</v>
      </c>
      <c r="U832" s="1"/>
      <c r="V832" s="1" t="s">
        <v>2096</v>
      </c>
      <c r="W832" s="1" t="s">
        <v>202</v>
      </c>
      <c r="X832" s="1" t="s">
        <v>225</v>
      </c>
      <c r="Y832" s="1">
        <v>19</v>
      </c>
      <c r="Z832" s="1" t="s">
        <v>2097</v>
      </c>
      <c r="AA832" s="1" t="s">
        <v>975</v>
      </c>
      <c r="AB832" s="1">
        <v>3124862027</v>
      </c>
    </row>
    <row r="833" spans="1:28" ht="13.8">
      <c r="A833" s="331">
        <v>36344</v>
      </c>
      <c r="B833" s="331">
        <v>26347</v>
      </c>
      <c r="C833" s="115">
        <v>46063</v>
      </c>
      <c r="D833" s="1" t="s">
        <v>1315</v>
      </c>
      <c r="E833" s="1" t="s">
        <v>1316</v>
      </c>
      <c r="F833" s="1" t="s">
        <v>122</v>
      </c>
      <c r="G833" s="1" t="s">
        <v>271</v>
      </c>
      <c r="H833" s="1" t="s">
        <v>272</v>
      </c>
      <c r="I833" s="1" t="s">
        <v>1230</v>
      </c>
      <c r="J833" s="1" t="s">
        <v>210</v>
      </c>
      <c r="K833" s="1" t="s">
        <v>1231</v>
      </c>
      <c r="L833" s="2">
        <v>280000</v>
      </c>
      <c r="M833" s="2">
        <v>41786</v>
      </c>
      <c r="N833" s="2">
        <v>26249.81</v>
      </c>
      <c r="O833" s="2">
        <v>0</v>
      </c>
      <c r="P833" s="2">
        <v>0</v>
      </c>
      <c r="Q833" s="2">
        <v>7950.19</v>
      </c>
      <c r="R833" s="2">
        <v>0</v>
      </c>
      <c r="S833" s="2">
        <v>211964.19</v>
      </c>
      <c r="T833" s="3">
        <v>0.75701496428571002</v>
      </c>
      <c r="U833" s="1"/>
      <c r="V833" s="1" t="s">
        <v>1973</v>
      </c>
      <c r="W833" s="1" t="s">
        <v>202</v>
      </c>
      <c r="X833" s="1" t="s">
        <v>225</v>
      </c>
      <c r="Y833" s="1">
        <v>34</v>
      </c>
      <c r="Z833" s="1" t="s">
        <v>1974</v>
      </c>
      <c r="AA833" s="1" t="s">
        <v>975</v>
      </c>
      <c r="AB833" s="1" t="s">
        <v>1975</v>
      </c>
    </row>
    <row r="834" spans="1:28" ht="13.8">
      <c r="A834" s="331">
        <v>36351</v>
      </c>
      <c r="B834" s="331">
        <v>26359</v>
      </c>
      <c r="C834" s="115">
        <v>46070</v>
      </c>
      <c r="D834" s="1" t="s">
        <v>2059</v>
      </c>
      <c r="E834" s="1" t="s">
        <v>2060</v>
      </c>
      <c r="F834" s="1" t="s">
        <v>106</v>
      </c>
      <c r="G834" s="1" t="s">
        <v>954</v>
      </c>
      <c r="H834" s="1" t="s">
        <v>955</v>
      </c>
      <c r="I834" s="1" t="s">
        <v>1230</v>
      </c>
      <c r="J834" s="1" t="s">
        <v>210</v>
      </c>
      <c r="K834" s="1"/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3">
        <v>0</v>
      </c>
      <c r="U834" s="1"/>
      <c r="V834" s="1"/>
      <c r="W834" s="1" t="s">
        <v>63</v>
      </c>
      <c r="X834" s="1" t="s">
        <v>213</v>
      </c>
      <c r="Y834" s="1">
        <v>35</v>
      </c>
      <c r="Z834" s="1"/>
      <c r="AA834" s="1" t="s">
        <v>975</v>
      </c>
      <c r="AB834" s="1">
        <v>3006680782</v>
      </c>
    </row>
    <row r="835" spans="1:28" ht="13.8">
      <c r="A835" s="331">
        <v>36351</v>
      </c>
      <c r="B835" s="331">
        <v>26360</v>
      </c>
      <c r="C835" s="115">
        <v>46070</v>
      </c>
      <c r="D835" s="1" t="s">
        <v>2059</v>
      </c>
      <c r="E835" s="1" t="s">
        <v>2060</v>
      </c>
      <c r="F835" s="1" t="s">
        <v>106</v>
      </c>
      <c r="G835" s="1" t="s">
        <v>1286</v>
      </c>
      <c r="H835" s="1" t="s">
        <v>1287</v>
      </c>
      <c r="I835" s="1" t="s">
        <v>1089</v>
      </c>
      <c r="J835" s="1" t="s">
        <v>200</v>
      </c>
      <c r="K835" s="1" t="s">
        <v>1089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3">
        <v>0</v>
      </c>
      <c r="U835" s="1"/>
      <c r="V835" s="1"/>
      <c r="W835" s="1" t="s">
        <v>63</v>
      </c>
      <c r="X835" s="1" t="s">
        <v>213</v>
      </c>
      <c r="Y835" s="1">
        <v>35</v>
      </c>
      <c r="Z835" s="1"/>
      <c r="AA835" s="1" t="s">
        <v>975</v>
      </c>
      <c r="AB835" s="1">
        <v>3006680782</v>
      </c>
    </row>
    <row r="836" spans="1:28" ht="13.8">
      <c r="A836" s="331">
        <v>36363</v>
      </c>
      <c r="B836" s="331">
        <v>26383</v>
      </c>
      <c r="C836" s="115">
        <v>46065</v>
      </c>
      <c r="D836" s="1" t="s">
        <v>2084</v>
      </c>
      <c r="E836" s="1" t="s">
        <v>2085</v>
      </c>
      <c r="F836" s="1" t="s">
        <v>122</v>
      </c>
      <c r="G836" s="1" t="s">
        <v>271</v>
      </c>
      <c r="H836" s="1" t="s">
        <v>272</v>
      </c>
      <c r="I836" s="1" t="s">
        <v>1230</v>
      </c>
      <c r="J836" s="1" t="s">
        <v>210</v>
      </c>
      <c r="K836" s="1" t="s">
        <v>1231</v>
      </c>
      <c r="L836" s="2">
        <v>280000</v>
      </c>
      <c r="M836" s="2">
        <v>40834</v>
      </c>
      <c r="N836" s="2">
        <v>20874.080000000002</v>
      </c>
      <c r="O836" s="2">
        <v>5600</v>
      </c>
      <c r="P836" s="2">
        <v>0</v>
      </c>
      <c r="Q836" s="2">
        <v>13325.92</v>
      </c>
      <c r="R836" s="2">
        <v>0</v>
      </c>
      <c r="S836" s="2">
        <v>212691.92</v>
      </c>
      <c r="T836" s="3">
        <v>0.75961400000000001</v>
      </c>
      <c r="U836" s="1"/>
      <c r="V836" s="1" t="s">
        <v>2276</v>
      </c>
      <c r="W836" s="1" t="s">
        <v>202</v>
      </c>
      <c r="X836" s="1" t="s">
        <v>225</v>
      </c>
      <c r="Y836" s="1">
        <v>34</v>
      </c>
      <c r="Z836" s="1" t="s">
        <v>2277</v>
      </c>
      <c r="AA836" s="1" t="s">
        <v>975</v>
      </c>
      <c r="AB836" s="1">
        <v>3143038304</v>
      </c>
    </row>
    <row r="837" spans="1:28" ht="13.8">
      <c r="A837" s="331">
        <v>36421</v>
      </c>
      <c r="B837" s="331">
        <v>26481</v>
      </c>
      <c r="C837" s="115">
        <v>46066</v>
      </c>
      <c r="D837" s="1" t="s">
        <v>565</v>
      </c>
      <c r="E837" s="1" t="s">
        <v>566</v>
      </c>
      <c r="F837" s="1" t="s">
        <v>106</v>
      </c>
      <c r="G837" s="1" t="s">
        <v>381</v>
      </c>
      <c r="H837" s="1" t="s">
        <v>382</v>
      </c>
      <c r="I837" s="1" t="s">
        <v>1236</v>
      </c>
      <c r="J837" s="1" t="s">
        <v>200</v>
      </c>
      <c r="K837" s="1" t="s">
        <v>1237</v>
      </c>
      <c r="L837" s="2">
        <v>260000</v>
      </c>
      <c r="M837" s="2">
        <v>43316</v>
      </c>
      <c r="N837" s="2">
        <v>0</v>
      </c>
      <c r="O837" s="2">
        <v>5200</v>
      </c>
      <c r="P837" s="2">
        <v>0</v>
      </c>
      <c r="Q837" s="2">
        <v>0</v>
      </c>
      <c r="R837" s="2">
        <v>0</v>
      </c>
      <c r="S837" s="2">
        <v>211484</v>
      </c>
      <c r="T837" s="3">
        <v>0.81340000000000001</v>
      </c>
      <c r="U837" s="1"/>
      <c r="V837" s="1" t="s">
        <v>2560</v>
      </c>
      <c r="W837" s="1" t="s">
        <v>202</v>
      </c>
      <c r="X837" s="1" t="s">
        <v>277</v>
      </c>
      <c r="Y837" s="1">
        <v>30</v>
      </c>
      <c r="Z837" s="1" t="s">
        <v>2561</v>
      </c>
      <c r="AA837" s="1" t="s">
        <v>1007</v>
      </c>
      <c r="AB837" s="1">
        <v>8582205610</v>
      </c>
    </row>
    <row r="838" spans="1:28" ht="13.8">
      <c r="A838" s="331">
        <v>36421</v>
      </c>
      <c r="B838" s="331">
        <v>26547</v>
      </c>
      <c r="C838" s="115">
        <v>46066</v>
      </c>
      <c r="D838" s="1" t="s">
        <v>565</v>
      </c>
      <c r="E838" s="1" t="s">
        <v>566</v>
      </c>
      <c r="F838" s="1" t="s">
        <v>106</v>
      </c>
      <c r="G838" s="1" t="s">
        <v>197</v>
      </c>
      <c r="H838" s="1" t="s">
        <v>198</v>
      </c>
      <c r="I838" s="1" t="s">
        <v>1236</v>
      </c>
      <c r="J838" s="1" t="s">
        <v>200</v>
      </c>
      <c r="K838" s="1" t="s">
        <v>1237</v>
      </c>
      <c r="L838" s="2">
        <v>90000</v>
      </c>
      <c r="M838" s="2">
        <v>14994</v>
      </c>
      <c r="N838" s="2">
        <v>0</v>
      </c>
      <c r="O838" s="2">
        <v>1800</v>
      </c>
      <c r="P838" s="2">
        <v>0</v>
      </c>
      <c r="Q838" s="2">
        <v>0</v>
      </c>
      <c r="R838" s="2">
        <v>0</v>
      </c>
      <c r="S838" s="2">
        <v>73206</v>
      </c>
      <c r="T838" s="3">
        <v>0.81340000000000001</v>
      </c>
      <c r="U838" s="1"/>
      <c r="V838" s="1" t="s">
        <v>2560</v>
      </c>
      <c r="W838" s="1" t="s">
        <v>202</v>
      </c>
      <c r="X838" s="1" t="s">
        <v>277</v>
      </c>
      <c r="Y838" s="1">
        <v>30</v>
      </c>
      <c r="Z838" s="1" t="s">
        <v>2561</v>
      </c>
      <c r="AA838" s="1" t="s">
        <v>1007</v>
      </c>
      <c r="AB838" s="1">
        <v>8582205610</v>
      </c>
    </row>
    <row r="839" spans="1:28" ht="13.8">
      <c r="A839" s="331">
        <v>36421</v>
      </c>
      <c r="B839" s="331">
        <v>26549</v>
      </c>
      <c r="C839" s="115">
        <v>46066</v>
      </c>
      <c r="D839" s="1" t="s">
        <v>565</v>
      </c>
      <c r="E839" s="1" t="s">
        <v>566</v>
      </c>
      <c r="F839" s="1" t="s">
        <v>106</v>
      </c>
      <c r="G839" s="1" t="s">
        <v>197</v>
      </c>
      <c r="H839" s="1" t="s">
        <v>198</v>
      </c>
      <c r="I839" s="1" t="s">
        <v>1236</v>
      </c>
      <c r="J839" s="1" t="s">
        <v>200</v>
      </c>
      <c r="K839" s="1" t="s">
        <v>1237</v>
      </c>
      <c r="L839" s="2">
        <v>90000</v>
      </c>
      <c r="M839" s="2">
        <v>14994</v>
      </c>
      <c r="N839" s="2">
        <v>0</v>
      </c>
      <c r="O839" s="2">
        <v>1800</v>
      </c>
      <c r="P839" s="2">
        <v>0</v>
      </c>
      <c r="Q839" s="2">
        <v>0</v>
      </c>
      <c r="R839" s="2">
        <v>0</v>
      </c>
      <c r="S839" s="2">
        <v>73206</v>
      </c>
      <c r="T839" s="3">
        <v>0.81340000000000001</v>
      </c>
      <c r="U839" s="1"/>
      <c r="V839" s="1" t="s">
        <v>2560</v>
      </c>
      <c r="W839" s="1" t="s">
        <v>202</v>
      </c>
      <c r="X839" s="1" t="s">
        <v>277</v>
      </c>
      <c r="Y839" s="1">
        <v>30</v>
      </c>
      <c r="Z839" s="1" t="s">
        <v>2561</v>
      </c>
      <c r="AA839" s="1" t="s">
        <v>1007</v>
      </c>
      <c r="AB839" s="1">
        <v>8582205610</v>
      </c>
    </row>
    <row r="840" spans="1:28" ht="13.8">
      <c r="A840" s="331">
        <v>36437</v>
      </c>
      <c r="B840" s="331">
        <v>26514</v>
      </c>
      <c r="C840" s="115">
        <v>46070</v>
      </c>
      <c r="D840" s="1" t="s">
        <v>2325</v>
      </c>
      <c r="E840" s="1" t="s">
        <v>2326</v>
      </c>
      <c r="F840" s="1" t="s">
        <v>106</v>
      </c>
      <c r="G840" s="1" t="s">
        <v>197</v>
      </c>
      <c r="H840" s="1" t="s">
        <v>198</v>
      </c>
      <c r="I840" s="1" t="s">
        <v>1236</v>
      </c>
      <c r="J840" s="1" t="s">
        <v>200</v>
      </c>
      <c r="K840" s="1" t="s">
        <v>1237</v>
      </c>
      <c r="L840" s="2">
        <v>90000</v>
      </c>
      <c r="M840" s="2">
        <v>14994</v>
      </c>
      <c r="N840" s="2">
        <v>0</v>
      </c>
      <c r="O840" s="2">
        <v>1800</v>
      </c>
      <c r="P840" s="2">
        <v>0</v>
      </c>
      <c r="Q840" s="2">
        <v>0</v>
      </c>
      <c r="R840" s="2">
        <v>0</v>
      </c>
      <c r="S840" s="2">
        <v>73206</v>
      </c>
      <c r="T840" s="3">
        <v>0.81340000000000001</v>
      </c>
      <c r="U840" s="1"/>
      <c r="V840" s="1" t="s">
        <v>2875</v>
      </c>
      <c r="W840" s="1" t="s">
        <v>202</v>
      </c>
      <c r="X840" s="1" t="s">
        <v>213</v>
      </c>
      <c r="Y840" s="1">
        <v>41</v>
      </c>
      <c r="Z840" s="1" t="s">
        <v>2876</v>
      </c>
      <c r="AA840" s="1" t="s">
        <v>975</v>
      </c>
      <c r="AB840" s="1">
        <v>3023918724</v>
      </c>
    </row>
    <row r="841" spans="1:28" ht="13.8">
      <c r="A841" s="331">
        <v>36441</v>
      </c>
      <c r="B841" s="331">
        <v>26518</v>
      </c>
      <c r="C841" s="115">
        <v>46069</v>
      </c>
      <c r="D841" s="1" t="s">
        <v>291</v>
      </c>
      <c r="E841" s="1" t="s">
        <v>292</v>
      </c>
      <c r="F841" s="1" t="s">
        <v>132</v>
      </c>
      <c r="G841" s="1" t="s">
        <v>233</v>
      </c>
      <c r="H841" s="1" t="s">
        <v>234</v>
      </c>
      <c r="I841" s="1" t="s">
        <v>1236</v>
      </c>
      <c r="J841" s="1" t="s">
        <v>200</v>
      </c>
      <c r="K841" s="1" t="s">
        <v>1237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3">
        <v>0</v>
      </c>
      <c r="U841" s="1"/>
      <c r="V841" s="1"/>
      <c r="W841" s="1" t="s">
        <v>63</v>
      </c>
      <c r="X841" s="1" t="s">
        <v>277</v>
      </c>
      <c r="Y841" s="1">
        <v>32</v>
      </c>
      <c r="Z841" s="1"/>
      <c r="AA841" s="1" t="s">
        <v>975</v>
      </c>
      <c r="AB841" s="1">
        <v>3008891617</v>
      </c>
    </row>
    <row r="842" spans="1:28" ht="13.8">
      <c r="A842" s="331">
        <v>36445</v>
      </c>
      <c r="B842" s="331">
        <v>26526</v>
      </c>
      <c r="C842" s="115">
        <v>46071</v>
      </c>
      <c r="D842" s="1" t="s">
        <v>619</v>
      </c>
      <c r="E842" s="1" t="s">
        <v>620</v>
      </c>
      <c r="F842" s="1" t="s">
        <v>132</v>
      </c>
      <c r="G842" s="1" t="s">
        <v>2335</v>
      </c>
      <c r="H842" s="1" t="s">
        <v>2336</v>
      </c>
      <c r="I842" s="1" t="s">
        <v>1257</v>
      </c>
      <c r="J842" s="1" t="s">
        <v>200</v>
      </c>
      <c r="K842" s="1" t="s">
        <v>1258</v>
      </c>
      <c r="L842" s="2">
        <v>980000</v>
      </c>
      <c r="M842" s="2">
        <v>125580.02</v>
      </c>
      <c r="N842" s="2">
        <v>161678.51</v>
      </c>
      <c r="O842" s="2">
        <v>0</v>
      </c>
      <c r="P842" s="2">
        <v>0</v>
      </c>
      <c r="Q842" s="2">
        <v>79615.490000000005</v>
      </c>
      <c r="R842" s="2">
        <v>0</v>
      </c>
      <c r="S842" s="2">
        <v>692741.47</v>
      </c>
      <c r="T842" s="3">
        <v>0.70687905102041004</v>
      </c>
      <c r="U842" s="1"/>
      <c r="V842" s="1" t="s">
        <v>2877</v>
      </c>
      <c r="W842" s="1" t="s">
        <v>202</v>
      </c>
      <c r="X842" s="1" t="s">
        <v>319</v>
      </c>
      <c r="Y842" s="1">
        <v>38</v>
      </c>
      <c r="Z842" s="1" t="s">
        <v>2878</v>
      </c>
      <c r="AA842" s="1" t="s">
        <v>975</v>
      </c>
      <c r="AB842" s="1">
        <v>3104272963</v>
      </c>
    </row>
    <row r="843" spans="1:28" ht="13.8">
      <c r="A843" s="331">
        <v>36449</v>
      </c>
      <c r="B843" s="331">
        <v>26534</v>
      </c>
      <c r="C843" s="115">
        <v>46069</v>
      </c>
      <c r="D843" s="1" t="s">
        <v>843</v>
      </c>
      <c r="E843" s="1" t="s">
        <v>844</v>
      </c>
      <c r="F843" s="1" t="s">
        <v>106</v>
      </c>
      <c r="G843" s="1" t="s">
        <v>954</v>
      </c>
      <c r="H843" s="1" t="s">
        <v>955</v>
      </c>
      <c r="I843" s="1" t="s">
        <v>1230</v>
      </c>
      <c r="J843" s="1" t="s">
        <v>210</v>
      </c>
      <c r="K843" s="1"/>
      <c r="L843" s="2">
        <v>360000</v>
      </c>
      <c r="M843" s="2">
        <v>58721.91</v>
      </c>
      <c r="N843" s="2">
        <v>5267.85</v>
      </c>
      <c r="O843" s="2">
        <v>7200</v>
      </c>
      <c r="P843" s="2">
        <v>0</v>
      </c>
      <c r="Q843" s="2">
        <v>2109.15</v>
      </c>
      <c r="R843" s="2">
        <v>0</v>
      </c>
      <c r="S843" s="2">
        <v>288810.23999999999</v>
      </c>
      <c r="T843" s="3">
        <v>0.80225066666667</v>
      </c>
      <c r="U843" s="1"/>
      <c r="V843" s="1" t="s">
        <v>2879</v>
      </c>
      <c r="W843" s="1" t="s">
        <v>202</v>
      </c>
      <c r="X843" s="1" t="s">
        <v>277</v>
      </c>
      <c r="Y843" s="1">
        <v>69</v>
      </c>
      <c r="Z843" s="1" t="s">
        <v>2880</v>
      </c>
      <c r="AA843" s="1" t="s">
        <v>975</v>
      </c>
      <c r="AB843" s="1">
        <v>3137482276</v>
      </c>
    </row>
    <row r="844" spans="1:28" ht="13.8">
      <c r="A844" s="331">
        <v>36456</v>
      </c>
      <c r="B844" s="331">
        <v>26546</v>
      </c>
      <c r="C844" s="115">
        <v>46071</v>
      </c>
      <c r="D844" s="1" t="s">
        <v>2881</v>
      </c>
      <c r="E844" s="1" t="s">
        <v>2882</v>
      </c>
      <c r="F844" s="1" t="s">
        <v>106</v>
      </c>
      <c r="G844" s="1" t="s">
        <v>586</v>
      </c>
      <c r="H844" s="1" t="s">
        <v>587</v>
      </c>
      <c r="I844" s="1" t="s">
        <v>1257</v>
      </c>
      <c r="J844" s="1" t="s">
        <v>200</v>
      </c>
      <c r="K844" s="1" t="s">
        <v>1258</v>
      </c>
      <c r="L844" s="2">
        <v>0</v>
      </c>
      <c r="M844" s="2">
        <v>0</v>
      </c>
      <c r="N844" s="2">
        <v>160074.10999999999</v>
      </c>
      <c r="O844" s="2">
        <v>0</v>
      </c>
      <c r="P844" s="2">
        <v>0</v>
      </c>
      <c r="Q844" s="2">
        <v>75219.89</v>
      </c>
      <c r="R844" s="2">
        <v>0</v>
      </c>
      <c r="S844" s="2">
        <v>-160074.10999999999</v>
      </c>
      <c r="T844" s="3">
        <v>0</v>
      </c>
      <c r="U844" s="1"/>
      <c r="V844" s="1"/>
      <c r="W844" s="1" t="s">
        <v>63</v>
      </c>
      <c r="X844" s="1" t="s">
        <v>225</v>
      </c>
      <c r="Y844" s="1">
        <v>26</v>
      </c>
      <c r="Z844" s="1"/>
      <c r="AA844" s="1" t="s">
        <v>975</v>
      </c>
      <c r="AB844" s="1">
        <v>3235080430</v>
      </c>
    </row>
    <row r="845" spans="1:28" ht="13.8">
      <c r="A845" s="331">
        <v>36460</v>
      </c>
      <c r="B845" s="331">
        <v>26552</v>
      </c>
      <c r="C845" s="115">
        <v>46067</v>
      </c>
      <c r="D845" s="1" t="s">
        <v>800</v>
      </c>
      <c r="E845" s="1" t="s">
        <v>801</v>
      </c>
      <c r="F845" s="1" t="s">
        <v>106</v>
      </c>
      <c r="G845" s="1" t="s">
        <v>233</v>
      </c>
      <c r="H845" s="1" t="s">
        <v>234</v>
      </c>
      <c r="I845" s="1" t="s">
        <v>1236</v>
      </c>
      <c r="J845" s="1" t="s">
        <v>200</v>
      </c>
      <c r="K845" s="1" t="s">
        <v>1237</v>
      </c>
      <c r="L845" s="2">
        <v>60000</v>
      </c>
      <c r="M845" s="2">
        <v>9996</v>
      </c>
      <c r="N845" s="2">
        <v>0</v>
      </c>
      <c r="O845" s="2">
        <v>1200</v>
      </c>
      <c r="P845" s="2">
        <v>0</v>
      </c>
      <c r="Q845" s="2">
        <v>0</v>
      </c>
      <c r="R845" s="2">
        <v>0</v>
      </c>
      <c r="S845" s="2">
        <v>48804</v>
      </c>
      <c r="T845" s="3">
        <v>0.81340000000000001</v>
      </c>
      <c r="U845" s="1"/>
      <c r="V845" s="1" t="s">
        <v>2562</v>
      </c>
      <c r="W845" s="1" t="s">
        <v>202</v>
      </c>
      <c r="X845" s="1" t="s">
        <v>225</v>
      </c>
      <c r="Y845" s="1">
        <v>28</v>
      </c>
      <c r="Z845" s="1" t="s">
        <v>2563</v>
      </c>
      <c r="AA845" s="1" t="s">
        <v>975</v>
      </c>
      <c r="AB845" s="1">
        <v>3015971862</v>
      </c>
    </row>
    <row r="846" spans="1:28" ht="13.8">
      <c r="A846" s="331">
        <v>36471</v>
      </c>
      <c r="B846" s="331">
        <v>26573</v>
      </c>
      <c r="C846" s="115">
        <v>46067</v>
      </c>
      <c r="D846" s="1" t="s">
        <v>2121</v>
      </c>
      <c r="E846" s="1" t="s">
        <v>2122</v>
      </c>
      <c r="F846" s="1" t="s">
        <v>122</v>
      </c>
      <c r="G846" s="1" t="s">
        <v>1255</v>
      </c>
      <c r="H846" s="1" t="s">
        <v>1256</v>
      </c>
      <c r="I846" s="1" t="s">
        <v>1257</v>
      </c>
      <c r="J846" s="1" t="s">
        <v>200</v>
      </c>
      <c r="K846" s="1" t="s">
        <v>1258</v>
      </c>
      <c r="L846" s="2">
        <v>880000</v>
      </c>
      <c r="M846" s="2">
        <v>115148.48</v>
      </c>
      <c r="N846" s="2">
        <v>150552.99</v>
      </c>
      <c r="O846" s="2">
        <v>0</v>
      </c>
      <c r="P846" s="2">
        <v>0</v>
      </c>
      <c r="Q846" s="2">
        <v>52103.01</v>
      </c>
      <c r="R846" s="2">
        <v>0</v>
      </c>
      <c r="S846" s="2">
        <v>614298.53</v>
      </c>
      <c r="T846" s="3">
        <v>0.69806651136363995</v>
      </c>
      <c r="U846" s="1"/>
      <c r="V846" s="1" t="s">
        <v>2564</v>
      </c>
      <c r="W846" s="1" t="s">
        <v>202</v>
      </c>
      <c r="X846" s="1" t="s">
        <v>213</v>
      </c>
      <c r="Y846" s="1">
        <v>46</v>
      </c>
      <c r="Z846" s="1" t="s">
        <v>2565</v>
      </c>
      <c r="AA846" s="1" t="s">
        <v>975</v>
      </c>
      <c r="AB846" s="1">
        <v>3163434239</v>
      </c>
    </row>
    <row r="847" spans="1:28" ht="13.8">
      <c r="A847" s="331">
        <v>36484</v>
      </c>
      <c r="B847" s="331">
        <v>26607</v>
      </c>
      <c r="C847" s="115">
        <v>46069</v>
      </c>
      <c r="D847" s="1" t="s">
        <v>777</v>
      </c>
      <c r="E847" s="1" t="s">
        <v>778</v>
      </c>
      <c r="F847" s="1" t="s">
        <v>106</v>
      </c>
      <c r="G847" s="1" t="s">
        <v>586</v>
      </c>
      <c r="H847" s="1" t="s">
        <v>587</v>
      </c>
      <c r="I847" s="1" t="s">
        <v>1257</v>
      </c>
      <c r="J847" s="1" t="s">
        <v>200</v>
      </c>
      <c r="K847" s="1" t="s">
        <v>1258</v>
      </c>
      <c r="L847" s="2">
        <v>750000</v>
      </c>
      <c r="M847" s="2">
        <v>87568.02</v>
      </c>
      <c r="N847" s="2">
        <v>148462.14000000001</v>
      </c>
      <c r="O847" s="2">
        <v>15000</v>
      </c>
      <c r="P847" s="2">
        <v>0</v>
      </c>
      <c r="Q847" s="2">
        <v>71431.86</v>
      </c>
      <c r="R847" s="2">
        <v>0</v>
      </c>
      <c r="S847" s="2">
        <v>498969.84</v>
      </c>
      <c r="T847" s="3">
        <v>0.66529311999999996</v>
      </c>
      <c r="U847" s="1"/>
      <c r="V847" s="1" t="s">
        <v>2353</v>
      </c>
      <c r="W847" s="1" t="s">
        <v>202</v>
      </c>
      <c r="X847" s="1" t="s">
        <v>277</v>
      </c>
      <c r="Y847" s="1">
        <v>22</v>
      </c>
      <c r="Z847" s="1" t="s">
        <v>2354</v>
      </c>
      <c r="AA847" s="1" t="s">
        <v>975</v>
      </c>
      <c r="AB847" s="1">
        <v>3043483463</v>
      </c>
    </row>
    <row r="848" spans="1:28" ht="13.8">
      <c r="A848" s="331">
        <v>36505</v>
      </c>
      <c r="B848" s="331">
        <v>26649</v>
      </c>
      <c r="C848" s="115">
        <v>46070</v>
      </c>
      <c r="D848" s="1" t="s">
        <v>2324</v>
      </c>
      <c r="E848" s="1" t="s">
        <v>2650</v>
      </c>
      <c r="F848" s="1" t="s">
        <v>106</v>
      </c>
      <c r="G848" s="1" t="s">
        <v>271</v>
      </c>
      <c r="H848" s="1" t="s">
        <v>272</v>
      </c>
      <c r="I848" s="1" t="s">
        <v>1230</v>
      </c>
      <c r="J848" s="1" t="s">
        <v>210</v>
      </c>
      <c r="K848" s="1" t="s">
        <v>1231</v>
      </c>
      <c r="L848" s="2">
        <v>280000</v>
      </c>
      <c r="M848" s="2">
        <v>42075</v>
      </c>
      <c r="N848" s="2">
        <v>20443.580000000002</v>
      </c>
      <c r="O848" s="2">
        <v>5600</v>
      </c>
      <c r="P848" s="2">
        <v>0</v>
      </c>
      <c r="Q848" s="2">
        <v>6456.42</v>
      </c>
      <c r="R848" s="2">
        <v>0</v>
      </c>
      <c r="S848" s="2">
        <v>211881.42</v>
      </c>
      <c r="T848" s="3">
        <v>0.75671935714285998</v>
      </c>
      <c r="U848" s="1"/>
      <c r="V848" s="1" t="s">
        <v>2883</v>
      </c>
      <c r="W848" s="1" t="s">
        <v>202</v>
      </c>
      <c r="X848" s="1" t="s">
        <v>213</v>
      </c>
      <c r="Y848" s="1">
        <v>40</v>
      </c>
      <c r="Z848" s="1" t="s">
        <v>2884</v>
      </c>
      <c r="AA848" s="1" t="s">
        <v>1007</v>
      </c>
      <c r="AB848" s="1">
        <v>3137647922</v>
      </c>
    </row>
    <row r="849" spans="1:28" ht="13.8">
      <c r="A849" s="331">
        <v>36515</v>
      </c>
      <c r="B849" s="331">
        <v>26662</v>
      </c>
      <c r="C849" s="115">
        <v>46070</v>
      </c>
      <c r="D849" s="1" t="s">
        <v>2885</v>
      </c>
      <c r="E849" s="1" t="s">
        <v>2886</v>
      </c>
      <c r="F849" s="1" t="s">
        <v>122</v>
      </c>
      <c r="G849" s="1" t="s">
        <v>271</v>
      </c>
      <c r="H849" s="1" t="s">
        <v>272</v>
      </c>
      <c r="I849" s="1" t="s">
        <v>1230</v>
      </c>
      <c r="J849" s="1" t="s">
        <v>210</v>
      </c>
      <c r="K849" s="1" t="s">
        <v>1231</v>
      </c>
      <c r="L849" s="2">
        <v>280000</v>
      </c>
      <c r="M849" s="2">
        <v>40834</v>
      </c>
      <c r="N849" s="2">
        <v>20874.080000000002</v>
      </c>
      <c r="O849" s="2">
        <v>5600</v>
      </c>
      <c r="P849" s="2">
        <v>0</v>
      </c>
      <c r="Q849" s="2">
        <v>13325.92</v>
      </c>
      <c r="R849" s="2">
        <v>0</v>
      </c>
      <c r="S849" s="2">
        <v>212691.92</v>
      </c>
      <c r="T849" s="3">
        <v>0.75961400000000001</v>
      </c>
      <c r="U849" s="1"/>
      <c r="V849" s="1" t="s">
        <v>2887</v>
      </c>
      <c r="W849" s="1" t="s">
        <v>202</v>
      </c>
      <c r="X849" s="1" t="s">
        <v>225</v>
      </c>
      <c r="Y849" s="1">
        <v>37</v>
      </c>
      <c r="Z849" s="1" t="s">
        <v>2888</v>
      </c>
      <c r="AA849" s="1" t="s">
        <v>975</v>
      </c>
      <c r="AB849" s="1">
        <v>3137647922</v>
      </c>
    </row>
    <row r="850" spans="1:28" ht="13.8">
      <c r="A850" s="332">
        <v>36580</v>
      </c>
      <c r="B850" s="332">
        <v>26774</v>
      </c>
      <c r="C850" s="38">
        <v>46072</v>
      </c>
      <c r="D850" s="4" t="s">
        <v>2113</v>
      </c>
      <c r="E850" s="4" t="s">
        <v>2114</v>
      </c>
      <c r="F850" s="4" t="s">
        <v>132</v>
      </c>
      <c r="G850" s="4" t="s">
        <v>271</v>
      </c>
      <c r="H850" s="4" t="s">
        <v>272</v>
      </c>
      <c r="I850" s="4" t="s">
        <v>1230</v>
      </c>
      <c r="J850" s="4" t="s">
        <v>210</v>
      </c>
      <c r="K850" s="4" t="s">
        <v>1231</v>
      </c>
      <c r="L850" s="5">
        <v>280000</v>
      </c>
      <c r="M850" s="5">
        <v>46648</v>
      </c>
      <c r="N850" s="5">
        <v>0</v>
      </c>
      <c r="O850" s="5">
        <v>5600</v>
      </c>
      <c r="P850" s="5">
        <v>0</v>
      </c>
      <c r="Q850" s="5">
        <v>0</v>
      </c>
      <c r="R850" s="5">
        <v>0</v>
      </c>
      <c r="S850" s="5">
        <v>227752</v>
      </c>
      <c r="T850" s="6" t="s">
        <v>224</v>
      </c>
      <c r="U850" s="1"/>
      <c r="V850" s="1" t="s">
        <v>2889</v>
      </c>
      <c r="W850" s="1" t="s">
        <v>202</v>
      </c>
      <c r="X850" s="1" t="s">
        <v>225</v>
      </c>
      <c r="Y850" s="1">
        <v>39</v>
      </c>
      <c r="Z850" s="1" t="s">
        <v>2890</v>
      </c>
      <c r="AA850" s="1" t="s">
        <v>975</v>
      </c>
      <c r="AB850" s="1" t="s">
        <v>2715</v>
      </c>
    </row>
    <row r="851" spans="1:28" ht="13.8">
      <c r="A851" s="261"/>
      <c r="B851" s="261"/>
      <c r="C851" s="115"/>
      <c r="D851" s="1"/>
      <c r="E851" s="1"/>
      <c r="F851" s="1"/>
      <c r="G851" s="1"/>
      <c r="H851" s="1"/>
      <c r="I851" s="1"/>
      <c r="J851" s="1"/>
      <c r="K851" s="1"/>
      <c r="L851" s="2"/>
      <c r="M851" s="2"/>
      <c r="N851" s="2"/>
      <c r="O851" s="2"/>
      <c r="P851" s="2"/>
      <c r="Q851" s="2"/>
      <c r="R851" s="2"/>
      <c r="S851" s="2"/>
      <c r="T851" s="3"/>
      <c r="U851" s="1"/>
      <c r="V851" s="1"/>
      <c r="W851" s="1"/>
      <c r="X851" s="1"/>
      <c r="Y851" s="1"/>
      <c r="Z851" s="1"/>
      <c r="AA851" s="1"/>
      <c r="AB851" s="1"/>
    </row>
    <row r="852" spans="1:28" ht="13.8">
      <c r="A852" s="261"/>
      <c r="B852" s="261"/>
      <c r="C852" s="115"/>
      <c r="D852" s="1"/>
      <c r="E852" s="1"/>
      <c r="F852" s="1"/>
      <c r="G852" s="1"/>
      <c r="H852" s="1"/>
      <c r="I852" s="1"/>
      <c r="J852" s="1"/>
      <c r="K852" s="1"/>
      <c r="L852" s="2"/>
      <c r="M852" s="2"/>
      <c r="N852" s="2"/>
      <c r="O852" s="2"/>
      <c r="P852" s="2"/>
      <c r="Q852" s="2"/>
      <c r="R852" s="2"/>
      <c r="S852" s="2"/>
      <c r="T852" s="3"/>
      <c r="U852" s="1"/>
      <c r="V852" s="1"/>
      <c r="W852" s="1"/>
      <c r="X852" s="1"/>
      <c r="Y852" s="1"/>
      <c r="Z852" s="1"/>
      <c r="AA852" s="1"/>
      <c r="AB852" s="1"/>
    </row>
    <row r="853" spans="1:28" ht="13.8">
      <c r="A853" s="261"/>
      <c r="B853" s="261"/>
      <c r="C853" s="115"/>
      <c r="D853" s="1"/>
      <c r="E853" s="1"/>
      <c r="F853" s="1"/>
      <c r="G853" s="1"/>
      <c r="H853" s="1"/>
      <c r="I853" s="1"/>
      <c r="J853" s="1"/>
      <c r="K853" s="1"/>
      <c r="L853" s="2"/>
      <c r="M853" s="2"/>
      <c r="N853" s="2"/>
      <c r="O853" s="2"/>
      <c r="P853" s="2"/>
      <c r="Q853" s="2"/>
      <c r="R853" s="2"/>
      <c r="S853" s="2"/>
      <c r="T853" s="3"/>
      <c r="U853" s="1"/>
      <c r="V853" s="1"/>
      <c r="W853" s="1"/>
      <c r="X853" s="1"/>
      <c r="Y853" s="1"/>
      <c r="Z853" s="1"/>
      <c r="AA853" s="1"/>
      <c r="AB853" s="1"/>
    </row>
    <row r="854" spans="1:28" ht="13.8">
      <c r="A854" s="261"/>
      <c r="B854" s="261"/>
      <c r="C854" s="115"/>
      <c r="D854" s="1"/>
      <c r="E854" s="1"/>
      <c r="F854" s="1"/>
      <c r="G854" s="1"/>
      <c r="H854" s="1"/>
      <c r="I854" s="1"/>
      <c r="J854" s="1"/>
      <c r="K854" s="1"/>
      <c r="L854" s="2"/>
      <c r="M854" s="2"/>
      <c r="N854" s="2"/>
      <c r="O854" s="2"/>
      <c r="P854" s="2"/>
      <c r="Q854" s="2"/>
      <c r="R854" s="2"/>
      <c r="S854" s="2"/>
      <c r="T854" s="3"/>
      <c r="U854" s="1"/>
      <c r="V854" s="1"/>
      <c r="W854" s="1"/>
      <c r="X854" s="1"/>
      <c r="Y854" s="1"/>
      <c r="Z854" s="1"/>
      <c r="AA854" s="1"/>
      <c r="AB854" s="1"/>
    </row>
    <row r="855" spans="1:28" ht="13.8">
      <c r="A855" s="261"/>
      <c r="B855" s="261"/>
      <c r="C855" s="115"/>
      <c r="D855" s="1"/>
      <c r="E855" s="1"/>
      <c r="F855" s="1"/>
      <c r="G855" s="1"/>
      <c r="H855" s="1"/>
      <c r="I855" s="1"/>
      <c r="J855" s="1"/>
      <c r="K855" s="1"/>
      <c r="L855" s="2"/>
      <c r="M855" s="2"/>
      <c r="N855" s="2"/>
      <c r="O855" s="2"/>
      <c r="P855" s="2"/>
      <c r="Q855" s="2"/>
      <c r="R855" s="2"/>
      <c r="S855" s="2"/>
      <c r="T855" s="3"/>
      <c r="U855" s="1"/>
      <c r="V855" s="1"/>
      <c r="W855" s="1"/>
      <c r="X855" s="1"/>
      <c r="Y855" s="1"/>
      <c r="Z855" s="1"/>
      <c r="AA855" s="1"/>
      <c r="AB855" s="1"/>
    </row>
    <row r="856" spans="1:28" ht="13.8">
      <c r="A856" s="261"/>
      <c r="B856" s="261"/>
      <c r="C856" s="115"/>
      <c r="D856" s="1"/>
      <c r="E856" s="1"/>
      <c r="F856" s="1"/>
      <c r="G856" s="1"/>
      <c r="H856" s="1"/>
      <c r="I856" s="1"/>
      <c r="J856" s="1"/>
      <c r="K856" s="1"/>
      <c r="L856" s="2"/>
      <c r="M856" s="2"/>
      <c r="N856" s="2"/>
      <c r="O856" s="2"/>
      <c r="P856" s="2"/>
      <c r="Q856" s="2"/>
      <c r="R856" s="2"/>
      <c r="S856" s="2"/>
      <c r="T856" s="3"/>
      <c r="U856" s="1"/>
      <c r="V856" s="1"/>
      <c r="W856" s="1"/>
      <c r="X856" s="1"/>
      <c r="Y856" s="1"/>
      <c r="Z856" s="1"/>
      <c r="AA856" s="1"/>
      <c r="AB856" s="1"/>
    </row>
    <row r="857" spans="1:28" ht="13.8">
      <c r="A857" s="261"/>
      <c r="B857" s="261"/>
      <c r="C857" s="115"/>
      <c r="D857" s="1"/>
      <c r="E857" s="1"/>
      <c r="F857" s="1"/>
      <c r="G857" s="1"/>
      <c r="H857" s="1"/>
      <c r="I857" s="1"/>
      <c r="J857" s="1"/>
      <c r="K857" s="1"/>
      <c r="L857" s="2"/>
      <c r="M857" s="2"/>
      <c r="N857" s="2"/>
      <c r="O857" s="2"/>
      <c r="P857" s="2"/>
      <c r="Q857" s="2"/>
      <c r="R857" s="2"/>
      <c r="S857" s="2"/>
      <c r="T857" s="3"/>
      <c r="U857" s="1"/>
      <c r="V857" s="1"/>
      <c r="W857" s="1"/>
      <c r="X857" s="1"/>
      <c r="Y857" s="1"/>
      <c r="Z857" s="1"/>
      <c r="AA857" s="1"/>
      <c r="AB857" s="1"/>
    </row>
    <row r="858" spans="1:28" ht="13.8">
      <c r="A858" s="261"/>
      <c r="B858" s="261"/>
      <c r="C858" s="115"/>
      <c r="D858" s="1"/>
      <c r="E858" s="1"/>
      <c r="F858" s="1"/>
      <c r="G858" s="1"/>
      <c r="H858" s="1"/>
      <c r="I858" s="1"/>
      <c r="J858" s="1"/>
      <c r="K858" s="1"/>
      <c r="L858" s="2"/>
      <c r="M858" s="2"/>
      <c r="N858" s="2"/>
      <c r="O858" s="2"/>
      <c r="P858" s="2"/>
      <c r="Q858" s="2"/>
      <c r="R858" s="2"/>
      <c r="S858" s="2"/>
      <c r="T858" s="3"/>
      <c r="U858" s="1"/>
      <c r="V858" s="1"/>
      <c r="W858" s="1"/>
      <c r="X858" s="1"/>
      <c r="Y858" s="1"/>
      <c r="Z858" s="1"/>
      <c r="AA858" s="1"/>
      <c r="AB858" s="1"/>
    </row>
    <row r="859" spans="1:28" ht="13.8">
      <c r="A859" s="261"/>
      <c r="B859" s="261"/>
      <c r="C859" s="115"/>
      <c r="D859" s="1"/>
      <c r="E859" s="1"/>
      <c r="F859" s="1"/>
      <c r="G859" s="1"/>
      <c r="H859" s="1"/>
      <c r="I859" s="1"/>
      <c r="J859" s="1"/>
      <c r="K859" s="1"/>
      <c r="L859" s="2"/>
      <c r="M859" s="2"/>
      <c r="N859" s="2"/>
      <c r="O859" s="2"/>
      <c r="P859" s="2"/>
      <c r="Q859" s="2"/>
      <c r="R859" s="2"/>
      <c r="S859" s="2"/>
      <c r="T859" s="3"/>
      <c r="U859" s="1"/>
      <c r="V859" s="1"/>
      <c r="W859" s="1"/>
      <c r="X859" s="1"/>
      <c r="Y859" s="1"/>
      <c r="Z859" s="1"/>
      <c r="AA859" s="1"/>
      <c r="AB859" s="1"/>
    </row>
    <row r="860" spans="1:28" ht="13.8">
      <c r="A860" s="261"/>
      <c r="B860" s="261"/>
      <c r="C860" s="115"/>
      <c r="D860" s="1"/>
      <c r="E860" s="1"/>
      <c r="F860" s="1"/>
      <c r="G860" s="1"/>
      <c r="H860" s="1"/>
      <c r="I860" s="1"/>
      <c r="J860" s="1"/>
      <c r="K860" s="1"/>
      <c r="L860" s="2"/>
      <c r="M860" s="2"/>
      <c r="N860" s="2"/>
      <c r="O860" s="2"/>
      <c r="P860" s="2"/>
      <c r="Q860" s="2"/>
      <c r="R860" s="2"/>
      <c r="S860" s="2"/>
      <c r="T860" s="3"/>
      <c r="U860" s="1"/>
      <c r="V860" s="1"/>
      <c r="W860" s="1"/>
      <c r="X860" s="1"/>
      <c r="Y860" s="1"/>
      <c r="Z860" s="1"/>
      <c r="AA860" s="1"/>
      <c r="AB860" s="1"/>
    </row>
    <row r="861" spans="1:28" ht="13.8">
      <c r="A861" s="261"/>
      <c r="B861" s="261"/>
      <c r="C861" s="115"/>
      <c r="D861" s="1"/>
      <c r="E861" s="1"/>
      <c r="F861" s="1"/>
      <c r="G861" s="1"/>
      <c r="H861" s="1"/>
      <c r="I861" s="1"/>
      <c r="J861" s="1"/>
      <c r="K861" s="1"/>
      <c r="L861" s="2"/>
      <c r="M861" s="2"/>
      <c r="N861" s="2"/>
      <c r="O861" s="2"/>
      <c r="P861" s="2"/>
      <c r="Q861" s="2"/>
      <c r="R861" s="2"/>
      <c r="S861" s="2"/>
      <c r="T861" s="3"/>
      <c r="U861" s="1"/>
      <c r="V861" s="1"/>
      <c r="W861" s="1"/>
      <c r="X861" s="1"/>
      <c r="Y861" s="1"/>
      <c r="Z861" s="1"/>
      <c r="AA861" s="1"/>
      <c r="AB861" s="1"/>
    </row>
    <row r="862" spans="1:28" ht="13.8">
      <c r="A862" s="261"/>
      <c r="B862" s="261"/>
      <c r="C862" s="115"/>
      <c r="D862" s="1"/>
      <c r="E862" s="1"/>
      <c r="F862" s="1"/>
      <c r="G862" s="1"/>
      <c r="H862" s="1"/>
      <c r="I862" s="1"/>
      <c r="J862" s="1"/>
      <c r="K862" s="1"/>
      <c r="L862" s="2"/>
      <c r="M862" s="2"/>
      <c r="N862" s="2"/>
      <c r="O862" s="2"/>
      <c r="P862" s="2"/>
      <c r="Q862" s="2"/>
      <c r="R862" s="2"/>
      <c r="S862" s="2"/>
      <c r="T862" s="3"/>
      <c r="U862" s="1"/>
      <c r="V862" s="1"/>
      <c r="W862" s="1"/>
      <c r="X862" s="1"/>
      <c r="Y862" s="1"/>
      <c r="Z862" s="1"/>
      <c r="AA862" s="1"/>
      <c r="AB862" s="1"/>
    </row>
    <row r="863" spans="1:28" ht="13.8">
      <c r="A863" s="261"/>
      <c r="B863" s="261"/>
      <c r="C863" s="115"/>
      <c r="D863" s="1"/>
      <c r="E863" s="1"/>
      <c r="F863" s="1"/>
      <c r="G863" s="1"/>
      <c r="H863" s="1"/>
      <c r="I863" s="1"/>
      <c r="J863" s="1"/>
      <c r="K863" s="1"/>
      <c r="L863" s="2"/>
      <c r="M863" s="2"/>
      <c r="N863" s="2"/>
      <c r="O863" s="2"/>
      <c r="P863" s="2"/>
      <c r="Q863" s="2"/>
      <c r="R863" s="2"/>
      <c r="S863" s="2"/>
      <c r="T863" s="3"/>
      <c r="U863" s="1"/>
      <c r="V863" s="1"/>
      <c r="W863" s="1"/>
      <c r="X863" s="1"/>
      <c r="Y863" s="1"/>
      <c r="Z863" s="1"/>
      <c r="AA863" s="1"/>
      <c r="AB863" s="1"/>
    </row>
    <row r="864" spans="1:28" ht="13.8">
      <c r="A864" s="261"/>
      <c r="B864" s="261"/>
      <c r="C864" s="115"/>
      <c r="D864" s="1"/>
      <c r="E864" s="1"/>
      <c r="F864" s="1"/>
      <c r="G864" s="1"/>
      <c r="H864" s="1"/>
      <c r="I864" s="1"/>
      <c r="J864" s="1"/>
      <c r="K864" s="1"/>
      <c r="L864" s="2"/>
      <c r="M864" s="2"/>
      <c r="N864" s="2"/>
      <c r="O864" s="2"/>
      <c r="P864" s="2"/>
      <c r="Q864" s="2"/>
      <c r="R864" s="2"/>
      <c r="S864" s="2"/>
      <c r="T864" s="3"/>
      <c r="U864" s="1"/>
      <c r="V864" s="1"/>
      <c r="W864" s="1"/>
      <c r="X864" s="1"/>
      <c r="Y864" s="1"/>
      <c r="Z864" s="1"/>
      <c r="AA864" s="1"/>
      <c r="AB864" s="1"/>
    </row>
    <row r="865" spans="1:28" ht="13.8">
      <c r="A865" s="261"/>
      <c r="B865" s="261"/>
      <c r="C865" s="115"/>
      <c r="D865" s="1"/>
      <c r="E865" s="1"/>
      <c r="F865" s="1"/>
      <c r="G865" s="1"/>
      <c r="H865" s="1"/>
      <c r="I865" s="1"/>
      <c r="J865" s="1"/>
      <c r="K865" s="1"/>
      <c r="L865" s="2"/>
      <c r="M865" s="2"/>
      <c r="N865" s="2"/>
      <c r="O865" s="2"/>
      <c r="P865" s="2"/>
      <c r="Q865" s="2"/>
      <c r="R865" s="2"/>
      <c r="S865" s="2"/>
      <c r="T865" s="3"/>
      <c r="U865" s="1"/>
      <c r="V865" s="1"/>
      <c r="W865" s="1"/>
      <c r="X865" s="1"/>
      <c r="Y865" s="1"/>
      <c r="Z865" s="1"/>
      <c r="AA865" s="1"/>
      <c r="AB865" s="1"/>
    </row>
    <row r="866" spans="1:28" ht="13.8">
      <c r="A866" s="261"/>
      <c r="B866" s="261"/>
      <c r="C866" s="115"/>
      <c r="D866" s="1"/>
      <c r="E866" s="1"/>
      <c r="F866" s="1"/>
      <c r="G866" s="1"/>
      <c r="H866" s="1"/>
      <c r="I866" s="1"/>
      <c r="J866" s="1"/>
      <c r="K866" s="1"/>
      <c r="L866" s="2"/>
      <c r="M866" s="2"/>
      <c r="N866" s="2"/>
      <c r="O866" s="2"/>
      <c r="P866" s="2"/>
      <c r="Q866" s="2"/>
      <c r="R866" s="2"/>
      <c r="S866" s="2"/>
      <c r="T866" s="3"/>
      <c r="U866" s="1"/>
      <c r="V866" s="1"/>
      <c r="W866" s="1"/>
      <c r="X866" s="1"/>
      <c r="Y866" s="1"/>
      <c r="Z866" s="1"/>
      <c r="AA866" s="1"/>
      <c r="AB866" s="1"/>
    </row>
    <row r="867" spans="1:28" ht="13.8">
      <c r="A867" s="261"/>
      <c r="B867" s="261"/>
      <c r="C867" s="115"/>
      <c r="D867" s="1"/>
      <c r="E867" s="1"/>
      <c r="F867" s="1"/>
      <c r="G867" s="1"/>
      <c r="H867" s="1"/>
      <c r="I867" s="1"/>
      <c r="J867" s="1"/>
      <c r="K867" s="1"/>
      <c r="L867" s="2"/>
      <c r="M867" s="2"/>
      <c r="N867" s="2"/>
      <c r="O867" s="2"/>
      <c r="P867" s="2"/>
      <c r="Q867" s="2"/>
      <c r="R867" s="2"/>
      <c r="S867" s="2"/>
      <c r="T867" s="3"/>
      <c r="U867" s="1"/>
      <c r="V867" s="1"/>
      <c r="W867" s="1"/>
      <c r="X867" s="1"/>
      <c r="Y867" s="1"/>
      <c r="Z867" s="1"/>
      <c r="AA867" s="1"/>
      <c r="AB867" s="1"/>
    </row>
    <row r="868" spans="1:28" ht="13.8">
      <c r="A868" s="261"/>
      <c r="B868" s="261"/>
      <c r="C868" s="115"/>
      <c r="D868" s="1"/>
      <c r="E868" s="1"/>
      <c r="F868" s="1"/>
      <c r="G868" s="1"/>
      <c r="H868" s="1"/>
      <c r="I868" s="1"/>
      <c r="J868" s="1"/>
      <c r="K868" s="1"/>
      <c r="L868" s="2"/>
      <c r="M868" s="2"/>
      <c r="N868" s="2"/>
      <c r="O868" s="2"/>
      <c r="P868" s="2"/>
      <c r="Q868" s="2"/>
      <c r="R868" s="2"/>
      <c r="S868" s="2"/>
      <c r="T868" s="3"/>
      <c r="U868" s="1"/>
      <c r="V868" s="1"/>
      <c r="W868" s="1"/>
      <c r="X868" s="1"/>
      <c r="Y868" s="1"/>
      <c r="Z868" s="1"/>
      <c r="AA868" s="1"/>
      <c r="AB868" s="1"/>
    </row>
    <row r="869" spans="1:28" ht="13.8">
      <c r="A869" s="261"/>
      <c r="B869" s="261"/>
      <c r="C869" s="115"/>
      <c r="D869" s="1"/>
      <c r="E869" s="1"/>
      <c r="F869" s="1"/>
      <c r="G869" s="1"/>
      <c r="H869" s="1"/>
      <c r="I869" s="1"/>
      <c r="J869" s="1"/>
      <c r="K869" s="1"/>
      <c r="L869" s="2"/>
      <c r="M869" s="2"/>
      <c r="N869" s="2"/>
      <c r="O869" s="2"/>
      <c r="P869" s="2"/>
      <c r="Q869" s="2"/>
      <c r="R869" s="2"/>
      <c r="S869" s="2"/>
      <c r="T869" s="3"/>
      <c r="U869" s="1"/>
      <c r="V869" s="1"/>
      <c r="W869" s="1"/>
      <c r="X869" s="1"/>
      <c r="Y869" s="1"/>
      <c r="Z869" s="1"/>
      <c r="AA869" s="1"/>
      <c r="AB869" s="1"/>
    </row>
    <row r="870" spans="1:28" ht="13.8">
      <c r="A870" s="261"/>
      <c r="B870" s="261"/>
      <c r="C870" s="115"/>
      <c r="D870" s="1"/>
      <c r="E870" s="1"/>
      <c r="F870" s="1"/>
      <c r="G870" s="1"/>
      <c r="H870" s="1"/>
      <c r="I870" s="1"/>
      <c r="J870" s="1"/>
      <c r="K870" s="1"/>
      <c r="L870" s="2"/>
      <c r="M870" s="2"/>
      <c r="N870" s="2"/>
      <c r="O870" s="2"/>
      <c r="P870" s="2"/>
      <c r="Q870" s="2"/>
      <c r="R870" s="2"/>
      <c r="S870" s="2"/>
      <c r="T870" s="3"/>
      <c r="U870" s="1"/>
      <c r="V870" s="1"/>
      <c r="W870" s="1"/>
      <c r="X870" s="1"/>
      <c r="Y870" s="1"/>
      <c r="Z870" s="1"/>
      <c r="AA870" s="1"/>
      <c r="AB870" s="1"/>
    </row>
    <row r="871" spans="1:28" ht="13.8">
      <c r="A871" s="261"/>
      <c r="B871" s="261"/>
      <c r="C871" s="115"/>
      <c r="D871" s="1"/>
      <c r="E871" s="1"/>
      <c r="F871" s="1"/>
      <c r="G871" s="1"/>
      <c r="H871" s="1"/>
      <c r="I871" s="1"/>
      <c r="J871" s="1"/>
      <c r="K871" s="1"/>
      <c r="L871" s="2"/>
      <c r="M871" s="2"/>
      <c r="N871" s="2"/>
      <c r="O871" s="2"/>
      <c r="P871" s="2"/>
      <c r="Q871" s="2"/>
      <c r="R871" s="2"/>
      <c r="S871" s="2"/>
      <c r="T871" s="3"/>
      <c r="U871" s="1"/>
      <c r="V871" s="1"/>
      <c r="W871" s="1"/>
      <c r="X871" s="1"/>
      <c r="Y871" s="1"/>
      <c r="Z871" s="1"/>
      <c r="AA871" s="1"/>
      <c r="AB871" s="1"/>
    </row>
    <row r="872" spans="1:28" ht="13.8">
      <c r="A872" s="261"/>
      <c r="B872" s="261"/>
      <c r="C872" s="115"/>
      <c r="D872" s="1"/>
      <c r="E872" s="1"/>
      <c r="F872" s="1"/>
      <c r="G872" s="1"/>
      <c r="H872" s="1"/>
      <c r="I872" s="1"/>
      <c r="J872" s="1"/>
      <c r="K872" s="1"/>
      <c r="L872" s="2"/>
      <c r="M872" s="2"/>
      <c r="N872" s="2"/>
      <c r="O872" s="2"/>
      <c r="P872" s="2"/>
      <c r="Q872" s="2"/>
      <c r="R872" s="2"/>
      <c r="S872" s="2"/>
      <c r="T872" s="3"/>
      <c r="U872" s="1"/>
      <c r="V872" s="1"/>
      <c r="W872" s="1"/>
      <c r="X872" s="1"/>
      <c r="Y872" s="1"/>
      <c r="Z872" s="1"/>
      <c r="AA872" s="1"/>
      <c r="AB872" s="1"/>
    </row>
    <row r="873" spans="1:28" ht="13.8">
      <c r="A873" s="261"/>
      <c r="B873" s="261"/>
      <c r="C873" s="115"/>
      <c r="D873" s="1"/>
      <c r="E873" s="1"/>
      <c r="F873" s="1"/>
      <c r="G873" s="1"/>
      <c r="H873" s="1"/>
      <c r="I873" s="1"/>
      <c r="J873" s="1"/>
      <c r="K873" s="1"/>
      <c r="L873" s="2"/>
      <c r="M873" s="2"/>
      <c r="N873" s="2"/>
      <c r="O873" s="2"/>
      <c r="P873" s="2"/>
      <c r="Q873" s="2"/>
      <c r="R873" s="2"/>
      <c r="S873" s="2"/>
      <c r="T873" s="3"/>
      <c r="U873" s="1"/>
      <c r="V873" s="1"/>
      <c r="W873" s="1"/>
      <c r="X873" s="1"/>
      <c r="Y873" s="1"/>
      <c r="Z873" s="1"/>
      <c r="AA873" s="1"/>
      <c r="AB873" s="1"/>
    </row>
    <row r="874" spans="1:28" ht="13.8">
      <c r="A874" s="261"/>
      <c r="B874" s="261"/>
      <c r="C874" s="115"/>
      <c r="D874" s="1"/>
      <c r="E874" s="1"/>
      <c r="F874" s="1"/>
      <c r="G874" s="1"/>
      <c r="H874" s="1"/>
      <c r="I874" s="1"/>
      <c r="J874" s="1"/>
      <c r="K874" s="1"/>
      <c r="L874" s="2"/>
      <c r="M874" s="2"/>
      <c r="N874" s="2"/>
      <c r="O874" s="2"/>
      <c r="P874" s="2"/>
      <c r="Q874" s="2"/>
      <c r="R874" s="2"/>
      <c r="S874" s="2"/>
      <c r="T874" s="3"/>
      <c r="U874" s="1"/>
      <c r="V874" s="1"/>
      <c r="W874" s="1"/>
      <c r="X874" s="1"/>
      <c r="Y874" s="1"/>
      <c r="Z874" s="1"/>
      <c r="AA874" s="1"/>
      <c r="AB874" s="1"/>
    </row>
    <row r="875" spans="1:28" ht="13.8">
      <c r="A875" s="261"/>
      <c r="B875" s="261"/>
      <c r="C875" s="115"/>
      <c r="D875" s="1"/>
      <c r="E875" s="1"/>
      <c r="F875" s="1"/>
      <c r="G875" s="1"/>
      <c r="H875" s="1"/>
      <c r="I875" s="1"/>
      <c r="J875" s="1"/>
      <c r="K875" s="1"/>
      <c r="L875" s="2"/>
      <c r="M875" s="2"/>
      <c r="N875" s="2"/>
      <c r="O875" s="2"/>
      <c r="P875" s="2"/>
      <c r="Q875" s="2"/>
      <c r="R875" s="2"/>
      <c r="S875" s="2"/>
      <c r="T875" s="3"/>
      <c r="U875" s="1"/>
      <c r="V875" s="1"/>
      <c r="W875" s="1"/>
      <c r="X875" s="1"/>
      <c r="Y875" s="1"/>
      <c r="Z875" s="1"/>
      <c r="AA875" s="1"/>
      <c r="AB875" s="1"/>
    </row>
    <row r="876" spans="1:28" ht="13.8">
      <c r="A876" s="261"/>
      <c r="B876" s="261"/>
      <c r="C876" s="115"/>
      <c r="D876" s="1"/>
      <c r="E876" s="1"/>
      <c r="F876" s="1"/>
      <c r="G876" s="1"/>
      <c r="H876" s="1"/>
      <c r="I876" s="1"/>
      <c r="J876" s="1"/>
      <c r="K876" s="1"/>
      <c r="L876" s="2"/>
      <c r="M876" s="2"/>
      <c r="N876" s="2"/>
      <c r="O876" s="2"/>
      <c r="P876" s="2"/>
      <c r="Q876" s="2"/>
      <c r="R876" s="2"/>
      <c r="S876" s="2"/>
      <c r="T876" s="3"/>
      <c r="U876" s="1"/>
      <c r="V876" s="1"/>
      <c r="W876" s="1"/>
      <c r="X876" s="1"/>
      <c r="Y876" s="1"/>
      <c r="Z876" s="1"/>
      <c r="AA876" s="1"/>
      <c r="AB876" s="1"/>
    </row>
    <row r="877" spans="1:28" ht="13.8">
      <c r="A877" s="261"/>
      <c r="B877" s="261"/>
      <c r="C877" s="115"/>
      <c r="D877" s="1"/>
      <c r="E877" s="1"/>
      <c r="F877" s="1"/>
      <c r="G877" s="1"/>
      <c r="H877" s="1"/>
      <c r="I877" s="1"/>
      <c r="J877" s="1"/>
      <c r="K877" s="1"/>
      <c r="L877" s="2"/>
      <c r="M877" s="2"/>
      <c r="N877" s="2"/>
      <c r="O877" s="2"/>
      <c r="P877" s="2"/>
      <c r="Q877" s="2"/>
      <c r="R877" s="2"/>
      <c r="S877" s="2"/>
      <c r="T877" s="3"/>
      <c r="U877" s="1"/>
      <c r="V877" s="1"/>
      <c r="W877" s="1"/>
      <c r="X877" s="1"/>
      <c r="Y877" s="1"/>
      <c r="Z877" s="1"/>
      <c r="AA877" s="1"/>
      <c r="AB877" s="1"/>
    </row>
    <row r="878" spans="1:28" ht="13.8">
      <c r="A878" s="261"/>
      <c r="B878" s="261"/>
      <c r="C878" s="115"/>
      <c r="D878" s="1"/>
      <c r="E878" s="1"/>
      <c r="F878" s="1"/>
      <c r="G878" s="1"/>
      <c r="H878" s="1"/>
      <c r="I878" s="1"/>
      <c r="J878" s="1"/>
      <c r="K878" s="1"/>
      <c r="L878" s="2"/>
      <c r="M878" s="2"/>
      <c r="N878" s="2"/>
      <c r="O878" s="2"/>
      <c r="P878" s="2"/>
      <c r="Q878" s="2"/>
      <c r="R878" s="2"/>
      <c r="S878" s="2"/>
      <c r="T878" s="3"/>
      <c r="U878" s="1"/>
      <c r="V878" s="1"/>
      <c r="W878" s="1"/>
      <c r="X878" s="1"/>
      <c r="Y878" s="1"/>
      <c r="Z878" s="1"/>
      <c r="AA878" s="1"/>
      <c r="AB878" s="1"/>
    </row>
    <row r="879" spans="1:28" ht="13.8">
      <c r="A879" s="261"/>
      <c r="B879" s="261"/>
      <c r="C879" s="115"/>
      <c r="D879" s="1"/>
      <c r="E879" s="1"/>
      <c r="F879" s="1"/>
      <c r="G879" s="1"/>
      <c r="H879" s="1"/>
      <c r="I879" s="1"/>
      <c r="J879" s="1"/>
      <c r="K879" s="1"/>
      <c r="L879" s="2"/>
      <c r="M879" s="2"/>
      <c r="N879" s="2"/>
      <c r="O879" s="2"/>
      <c r="P879" s="2"/>
      <c r="Q879" s="2"/>
      <c r="R879" s="2"/>
      <c r="S879" s="2"/>
      <c r="T879" s="3"/>
      <c r="U879" s="1"/>
      <c r="V879" s="1"/>
      <c r="W879" s="1"/>
      <c r="X879" s="1"/>
      <c r="Y879" s="1"/>
      <c r="Z879" s="1"/>
      <c r="AA879" s="1"/>
      <c r="AB879" s="1"/>
    </row>
    <row r="880" spans="1:28" ht="13.8">
      <c r="A880" s="261"/>
      <c r="B880" s="261"/>
      <c r="C880" s="115"/>
      <c r="D880" s="1"/>
      <c r="E880" s="1"/>
      <c r="F880" s="1"/>
      <c r="G880" s="1"/>
      <c r="H880" s="1"/>
      <c r="I880" s="1"/>
      <c r="J880" s="1"/>
      <c r="K880" s="1"/>
      <c r="L880" s="2"/>
      <c r="M880" s="2"/>
      <c r="N880" s="2"/>
      <c r="O880" s="2"/>
      <c r="P880" s="2"/>
      <c r="Q880" s="2"/>
      <c r="R880" s="2"/>
      <c r="S880" s="2"/>
      <c r="T880" s="3"/>
      <c r="U880" s="1"/>
      <c r="V880" s="1"/>
      <c r="W880" s="1"/>
      <c r="X880" s="1"/>
      <c r="Y880" s="1"/>
      <c r="Z880" s="1"/>
      <c r="AA880" s="1"/>
      <c r="AB880" s="1"/>
    </row>
    <row r="881" spans="1:28" ht="13.8">
      <c r="A881" s="261"/>
      <c r="B881" s="261"/>
      <c r="C881" s="115"/>
      <c r="D881" s="1"/>
      <c r="E881" s="1"/>
      <c r="F881" s="1"/>
      <c r="G881" s="1"/>
      <c r="H881" s="1"/>
      <c r="I881" s="1"/>
      <c r="J881" s="1"/>
      <c r="K881" s="1"/>
      <c r="L881" s="2"/>
      <c r="M881" s="2"/>
      <c r="N881" s="2"/>
      <c r="O881" s="2"/>
      <c r="P881" s="2"/>
      <c r="Q881" s="2"/>
      <c r="R881" s="2"/>
      <c r="S881" s="2"/>
      <c r="T881" s="3"/>
      <c r="U881" s="1"/>
      <c r="V881" s="1"/>
      <c r="W881" s="1"/>
      <c r="X881" s="1"/>
      <c r="Y881" s="1"/>
      <c r="Z881" s="1"/>
      <c r="AA881" s="1"/>
      <c r="AB881" s="1"/>
    </row>
    <row r="882" spans="1:28" ht="13.8">
      <c r="A882" s="261"/>
      <c r="B882" s="261"/>
      <c r="C882" s="115"/>
      <c r="D882" s="1"/>
      <c r="E882" s="1"/>
      <c r="F882" s="1"/>
      <c r="G882" s="1"/>
      <c r="H882" s="1"/>
      <c r="I882" s="1"/>
      <c r="J882" s="1"/>
      <c r="K882" s="1"/>
      <c r="L882" s="2"/>
      <c r="M882" s="2"/>
      <c r="N882" s="2"/>
      <c r="O882" s="2"/>
      <c r="P882" s="2"/>
      <c r="Q882" s="2"/>
      <c r="R882" s="2"/>
      <c r="S882" s="2"/>
      <c r="T882" s="3"/>
      <c r="U882" s="1"/>
      <c r="V882" s="1"/>
      <c r="W882" s="1"/>
      <c r="X882" s="1"/>
      <c r="Y882" s="1"/>
      <c r="Z882" s="1"/>
      <c r="AA882" s="1"/>
      <c r="AB882" s="1"/>
    </row>
    <row r="883" spans="1:28" ht="13.8">
      <c r="A883" s="261"/>
      <c r="B883" s="261"/>
      <c r="C883" s="115"/>
      <c r="D883" s="1"/>
      <c r="E883" s="1"/>
      <c r="F883" s="1"/>
      <c r="G883" s="1"/>
      <c r="H883" s="1"/>
      <c r="I883" s="1"/>
      <c r="J883" s="1"/>
      <c r="K883" s="1"/>
      <c r="L883" s="2"/>
      <c r="M883" s="2"/>
      <c r="N883" s="2"/>
      <c r="O883" s="2"/>
      <c r="P883" s="2"/>
      <c r="Q883" s="2"/>
      <c r="R883" s="2"/>
      <c r="S883" s="2"/>
      <c r="T883" s="3"/>
      <c r="U883" s="1"/>
      <c r="V883" s="1"/>
      <c r="W883" s="1"/>
      <c r="X883" s="1"/>
      <c r="Y883" s="1"/>
      <c r="Z883" s="1"/>
      <c r="AA883" s="1"/>
      <c r="AB883" s="1"/>
    </row>
    <row r="884" spans="1:28" ht="13.8">
      <c r="A884" s="261"/>
      <c r="B884" s="261"/>
      <c r="C884" s="115"/>
      <c r="D884" s="1"/>
      <c r="E884" s="1"/>
      <c r="F884" s="1"/>
      <c r="G884" s="1"/>
      <c r="H884" s="1"/>
      <c r="I884" s="1"/>
      <c r="J884" s="1"/>
      <c r="K884" s="1"/>
      <c r="L884" s="2"/>
      <c r="M884" s="2"/>
      <c r="N884" s="2"/>
      <c r="O884" s="2"/>
      <c r="P884" s="2"/>
      <c r="Q884" s="2"/>
      <c r="R884" s="2"/>
      <c r="S884" s="2"/>
      <c r="T884" s="3"/>
      <c r="U884" s="1"/>
      <c r="V884" s="1"/>
      <c r="W884" s="1"/>
      <c r="X884" s="1"/>
      <c r="Y884" s="1"/>
      <c r="Z884" s="1"/>
      <c r="AA884" s="1"/>
      <c r="AB884" s="1"/>
    </row>
    <row r="885" spans="1:28" ht="13.8">
      <c r="A885" s="261"/>
      <c r="B885" s="261"/>
      <c r="C885" s="115"/>
      <c r="D885" s="1"/>
      <c r="E885" s="1"/>
      <c r="F885" s="1"/>
      <c r="G885" s="1"/>
      <c r="H885" s="1"/>
      <c r="I885" s="1"/>
      <c r="J885" s="1"/>
      <c r="K885" s="1"/>
      <c r="L885" s="2"/>
      <c r="M885" s="2"/>
      <c r="N885" s="2"/>
      <c r="O885" s="2"/>
      <c r="P885" s="2"/>
      <c r="Q885" s="2"/>
      <c r="R885" s="2"/>
      <c r="S885" s="2"/>
      <c r="T885" s="3"/>
      <c r="U885" s="1"/>
      <c r="V885" s="1"/>
      <c r="W885" s="1"/>
      <c r="X885" s="1"/>
      <c r="Y885" s="1"/>
      <c r="Z885" s="1"/>
      <c r="AA885" s="1"/>
      <c r="AB885" s="1"/>
    </row>
    <row r="886" spans="1:28" ht="13.8">
      <c r="A886" s="261"/>
      <c r="B886" s="261"/>
      <c r="C886" s="115"/>
      <c r="D886" s="1"/>
      <c r="E886" s="1"/>
      <c r="F886" s="1"/>
      <c r="G886" s="1"/>
      <c r="H886" s="1"/>
      <c r="I886" s="1"/>
      <c r="J886" s="1"/>
      <c r="K886" s="1"/>
      <c r="L886" s="2"/>
      <c r="M886" s="2"/>
      <c r="N886" s="2"/>
      <c r="O886" s="2"/>
      <c r="P886" s="2"/>
      <c r="Q886" s="2"/>
      <c r="R886" s="2"/>
      <c r="S886" s="2"/>
      <c r="T886" s="3"/>
      <c r="U886" s="1"/>
      <c r="V886" s="1"/>
      <c r="W886" s="1"/>
      <c r="X886" s="1"/>
      <c r="Y886" s="1"/>
      <c r="Z886" s="1"/>
      <c r="AA886" s="1"/>
      <c r="AB886" s="1"/>
    </row>
    <row r="887" spans="1:28" ht="13.8">
      <c r="A887" s="261"/>
      <c r="B887" s="261"/>
      <c r="C887" s="115"/>
      <c r="D887" s="1"/>
      <c r="E887" s="1"/>
      <c r="F887" s="1"/>
      <c r="G887" s="1"/>
      <c r="H887" s="1"/>
      <c r="I887" s="1"/>
      <c r="J887" s="1"/>
      <c r="K887" s="1"/>
      <c r="L887" s="2"/>
      <c r="M887" s="2"/>
      <c r="N887" s="2"/>
      <c r="O887" s="2"/>
      <c r="P887" s="2"/>
      <c r="Q887" s="2"/>
      <c r="R887" s="2"/>
      <c r="S887" s="2"/>
      <c r="T887" s="3"/>
      <c r="U887" s="1"/>
      <c r="V887" s="1"/>
      <c r="W887" s="1"/>
      <c r="X887" s="1"/>
      <c r="Y887" s="1"/>
      <c r="Z887" s="1"/>
      <c r="AA887" s="1"/>
      <c r="AB887" s="1"/>
    </row>
    <row r="888" spans="1:28" ht="13.8">
      <c r="A888" s="261"/>
      <c r="B888" s="261"/>
      <c r="C888" s="115"/>
      <c r="D888" s="1"/>
      <c r="E888" s="1"/>
      <c r="F888" s="1"/>
      <c r="G888" s="1"/>
      <c r="H888" s="1"/>
      <c r="I888" s="1"/>
      <c r="J888" s="1"/>
      <c r="K888" s="1"/>
      <c r="L888" s="2"/>
      <c r="M888" s="2"/>
      <c r="N888" s="2"/>
      <c r="O888" s="2"/>
      <c r="P888" s="2"/>
      <c r="Q888" s="2"/>
      <c r="R888" s="2"/>
      <c r="S888" s="2"/>
      <c r="T888" s="3"/>
      <c r="U888" s="1"/>
      <c r="V888" s="1"/>
      <c r="W888" s="1"/>
      <c r="X888" s="1"/>
      <c r="Y888" s="1"/>
      <c r="Z888" s="1"/>
      <c r="AA888" s="1"/>
      <c r="AB888" s="1"/>
    </row>
    <row r="889" spans="1:28" ht="13.8">
      <c r="A889" s="261"/>
      <c r="B889" s="261"/>
      <c r="C889" s="115"/>
      <c r="D889" s="1"/>
      <c r="E889" s="1"/>
      <c r="F889" s="1"/>
      <c r="G889" s="1"/>
      <c r="H889" s="1"/>
      <c r="I889" s="1"/>
      <c r="J889" s="1"/>
      <c r="K889" s="1"/>
      <c r="L889" s="2"/>
      <c r="M889" s="2"/>
      <c r="N889" s="2"/>
      <c r="O889" s="2"/>
      <c r="P889" s="2"/>
      <c r="Q889" s="2"/>
      <c r="R889" s="2"/>
      <c r="S889" s="2"/>
      <c r="T889" s="3"/>
      <c r="U889" s="1"/>
      <c r="V889" s="1"/>
      <c r="W889" s="1"/>
      <c r="X889" s="1"/>
      <c r="Y889" s="1"/>
      <c r="Z889" s="1"/>
      <c r="AA889" s="1"/>
      <c r="AB889" s="1"/>
    </row>
    <row r="890" spans="1:28" ht="13.8">
      <c r="A890" s="261"/>
      <c r="B890" s="261"/>
      <c r="C890" s="115"/>
      <c r="D890" s="1"/>
      <c r="E890" s="1"/>
      <c r="F890" s="1"/>
      <c r="G890" s="1"/>
      <c r="H890" s="1"/>
      <c r="I890" s="1"/>
      <c r="J890" s="1"/>
      <c r="K890" s="1"/>
      <c r="L890" s="2"/>
      <c r="M890" s="2"/>
      <c r="N890" s="2"/>
      <c r="O890" s="2"/>
      <c r="P890" s="2"/>
      <c r="Q890" s="2"/>
      <c r="R890" s="2"/>
      <c r="S890" s="2"/>
      <c r="T890" s="3"/>
      <c r="U890" s="1"/>
      <c r="V890" s="1"/>
      <c r="W890" s="1"/>
      <c r="X890" s="1"/>
      <c r="Y890" s="1"/>
      <c r="Z890" s="1"/>
      <c r="AA890" s="1"/>
      <c r="AB890" s="1"/>
    </row>
    <row r="891" spans="1:28" ht="13.8">
      <c r="A891" s="261"/>
      <c r="B891" s="261"/>
      <c r="C891" s="115"/>
      <c r="D891" s="1"/>
      <c r="E891" s="1"/>
      <c r="F891" s="1"/>
      <c r="G891" s="1"/>
      <c r="H891" s="1"/>
      <c r="I891" s="1"/>
      <c r="J891" s="1"/>
      <c r="K891" s="1"/>
      <c r="L891" s="2"/>
      <c r="M891" s="2"/>
      <c r="N891" s="2"/>
      <c r="O891" s="2"/>
      <c r="P891" s="2"/>
      <c r="Q891" s="2"/>
      <c r="R891" s="2"/>
      <c r="S891" s="2"/>
      <c r="T891" s="3"/>
      <c r="U891" s="1"/>
      <c r="V891" s="1"/>
      <c r="W891" s="1"/>
      <c r="X891" s="1"/>
      <c r="Y891" s="1"/>
      <c r="Z891" s="1"/>
      <c r="AA891" s="1"/>
      <c r="AB891" s="1"/>
    </row>
    <row r="892" spans="1:28" ht="13.8">
      <c r="A892" s="261"/>
      <c r="B892" s="261"/>
      <c r="C892" s="115"/>
      <c r="D892" s="1"/>
      <c r="E892" s="1"/>
      <c r="F892" s="1"/>
      <c r="G892" s="1"/>
      <c r="H892" s="1"/>
      <c r="I892" s="1"/>
      <c r="J892" s="1"/>
      <c r="K892" s="1"/>
      <c r="L892" s="2"/>
      <c r="M892" s="2"/>
      <c r="N892" s="2"/>
      <c r="O892" s="2"/>
      <c r="P892" s="2"/>
      <c r="Q892" s="2"/>
      <c r="R892" s="2"/>
      <c r="S892" s="2"/>
      <c r="T892" s="3"/>
      <c r="U892" s="1"/>
      <c r="V892" s="1"/>
      <c r="W892" s="1"/>
      <c r="X892" s="1"/>
      <c r="Y892" s="1"/>
      <c r="Z892" s="1"/>
      <c r="AA892" s="1"/>
      <c r="AB892" s="1"/>
    </row>
    <row r="893" spans="1:28" ht="13.8">
      <c r="A893" s="261"/>
      <c r="B893" s="261"/>
      <c r="C893" s="115"/>
      <c r="D893" s="1"/>
      <c r="E893" s="1"/>
      <c r="F893" s="1"/>
      <c r="G893" s="1"/>
      <c r="H893" s="1"/>
      <c r="I893" s="1"/>
      <c r="J893" s="1"/>
      <c r="K893" s="1"/>
      <c r="L893" s="2"/>
      <c r="M893" s="2"/>
      <c r="N893" s="2"/>
      <c r="O893" s="2"/>
      <c r="P893" s="2"/>
      <c r="Q893" s="2"/>
      <c r="R893" s="2"/>
      <c r="S893" s="2"/>
      <c r="T893" s="3"/>
      <c r="U893" s="1"/>
      <c r="V893" s="1"/>
      <c r="W893" s="1"/>
      <c r="X893" s="1"/>
      <c r="Y893" s="1"/>
      <c r="Z893" s="1"/>
      <c r="AA893" s="1"/>
      <c r="AB893" s="1"/>
    </row>
    <row r="894" spans="1:28" ht="13.8">
      <c r="A894" s="261"/>
      <c r="B894" s="261"/>
      <c r="C894" s="115"/>
      <c r="D894" s="1"/>
      <c r="E894" s="1"/>
      <c r="F894" s="1"/>
      <c r="G894" s="1"/>
      <c r="H894" s="1"/>
      <c r="I894" s="1"/>
      <c r="J894" s="1"/>
      <c r="K894" s="1"/>
      <c r="L894" s="2"/>
      <c r="M894" s="2"/>
      <c r="N894" s="2"/>
      <c r="O894" s="2"/>
      <c r="P894" s="2"/>
      <c r="Q894" s="2"/>
      <c r="R894" s="2"/>
      <c r="S894" s="2"/>
      <c r="T894" s="3"/>
      <c r="U894" s="1"/>
      <c r="V894" s="1"/>
      <c r="W894" s="1"/>
      <c r="X894" s="1"/>
      <c r="Y894" s="1"/>
      <c r="Z894" s="1"/>
      <c r="AA894" s="1"/>
      <c r="AB894" s="1"/>
    </row>
    <row r="895" spans="1:28" ht="13.8">
      <c r="A895" s="261"/>
      <c r="B895" s="261"/>
      <c r="C895" s="115"/>
      <c r="D895" s="1"/>
      <c r="E895" s="1"/>
      <c r="F895" s="1"/>
      <c r="G895" s="1"/>
      <c r="H895" s="1"/>
      <c r="I895" s="1"/>
      <c r="J895" s="1"/>
      <c r="K895" s="1"/>
      <c r="L895" s="2"/>
      <c r="M895" s="2"/>
      <c r="N895" s="2"/>
      <c r="O895" s="2"/>
      <c r="P895" s="2"/>
      <c r="Q895" s="2"/>
      <c r="R895" s="2"/>
      <c r="S895" s="2"/>
      <c r="T895" s="3"/>
      <c r="U895" s="1"/>
      <c r="V895" s="1"/>
      <c r="W895" s="1"/>
      <c r="X895" s="1"/>
      <c r="Y895" s="1"/>
      <c r="Z895" s="1"/>
      <c r="AA895" s="1"/>
      <c r="AB895" s="1"/>
    </row>
    <row r="896" spans="1:28" ht="13.8">
      <c r="A896" s="261"/>
      <c r="B896" s="261"/>
      <c r="C896" s="115"/>
      <c r="D896" s="1"/>
      <c r="E896" s="1"/>
      <c r="F896" s="1"/>
      <c r="G896" s="1"/>
      <c r="H896" s="1"/>
      <c r="I896" s="1"/>
      <c r="J896" s="1"/>
      <c r="K896" s="1"/>
      <c r="L896" s="2"/>
      <c r="M896" s="2"/>
      <c r="N896" s="2"/>
      <c r="O896" s="2"/>
      <c r="P896" s="2"/>
      <c r="Q896" s="2"/>
      <c r="R896" s="2"/>
      <c r="S896" s="2"/>
      <c r="T896" s="3"/>
      <c r="U896" s="1"/>
      <c r="V896" s="1"/>
      <c r="W896" s="1"/>
      <c r="X896" s="1"/>
      <c r="Y896" s="1"/>
      <c r="Z896" s="1"/>
      <c r="AA896" s="1"/>
      <c r="AB896" s="1"/>
    </row>
    <row r="897" spans="1:28" ht="13.8">
      <c r="A897" s="261"/>
      <c r="B897" s="261"/>
      <c r="C897" s="115"/>
      <c r="D897" s="1"/>
      <c r="E897" s="1"/>
      <c r="F897" s="1"/>
      <c r="G897" s="1"/>
      <c r="H897" s="1"/>
      <c r="I897" s="1"/>
      <c r="J897" s="1"/>
      <c r="K897" s="1"/>
      <c r="L897" s="2"/>
      <c r="M897" s="2"/>
      <c r="N897" s="2"/>
      <c r="O897" s="2"/>
      <c r="P897" s="2"/>
      <c r="Q897" s="2"/>
      <c r="R897" s="2"/>
      <c r="S897" s="2"/>
      <c r="T897" s="3"/>
      <c r="U897" s="1"/>
      <c r="V897" s="1"/>
      <c r="W897" s="1"/>
      <c r="X897" s="1"/>
      <c r="Y897" s="1"/>
      <c r="Z897" s="1"/>
      <c r="AA897" s="1"/>
      <c r="AB897" s="1"/>
    </row>
    <row r="898" spans="1:28" ht="13.8">
      <c r="A898" s="261"/>
      <c r="B898" s="261"/>
      <c r="C898" s="115"/>
      <c r="D898" s="1"/>
      <c r="E898" s="1"/>
      <c r="F898" s="1"/>
      <c r="G898" s="1"/>
      <c r="H898" s="1"/>
      <c r="I898" s="1"/>
      <c r="J898" s="1"/>
      <c r="K898" s="1"/>
      <c r="L898" s="2"/>
      <c r="M898" s="2"/>
      <c r="N898" s="2"/>
      <c r="O898" s="2"/>
      <c r="P898" s="2"/>
      <c r="Q898" s="2"/>
      <c r="R898" s="2"/>
      <c r="S898" s="2"/>
      <c r="T898" s="3"/>
      <c r="U898" s="1"/>
      <c r="V898" s="1"/>
      <c r="W898" s="1"/>
      <c r="X898" s="1"/>
      <c r="Y898" s="1"/>
      <c r="Z898" s="1"/>
      <c r="AA898" s="1"/>
      <c r="AB898" s="1"/>
    </row>
    <row r="899" spans="1:28" ht="13.8">
      <c r="A899" s="261"/>
      <c r="B899" s="261"/>
      <c r="C899" s="115"/>
      <c r="D899" s="1"/>
      <c r="E899" s="1"/>
      <c r="F899" s="1"/>
      <c r="G899" s="1"/>
      <c r="H899" s="1"/>
      <c r="I899" s="1"/>
      <c r="J899" s="1"/>
      <c r="K899" s="1"/>
      <c r="L899" s="2"/>
      <c r="M899" s="2"/>
      <c r="N899" s="2"/>
      <c r="O899" s="2"/>
      <c r="P899" s="2"/>
      <c r="Q899" s="2"/>
      <c r="R899" s="2"/>
      <c r="S899" s="2"/>
      <c r="T899" s="3"/>
      <c r="U899" s="1"/>
      <c r="V899" s="1"/>
      <c r="W899" s="1"/>
      <c r="X899" s="1"/>
      <c r="Y899" s="1"/>
      <c r="Z899" s="1"/>
      <c r="AA899" s="1"/>
      <c r="AB899" s="1"/>
    </row>
    <row r="900" spans="1:28" ht="13.8">
      <c r="A900" s="261"/>
      <c r="B900" s="261"/>
      <c r="C900" s="115"/>
      <c r="D900" s="1"/>
      <c r="E900" s="1"/>
      <c r="F900" s="1"/>
      <c r="G900" s="1"/>
      <c r="H900" s="1"/>
      <c r="I900" s="1"/>
      <c r="J900" s="1"/>
      <c r="K900" s="1"/>
      <c r="L900" s="2"/>
      <c r="M900" s="2"/>
      <c r="N900" s="2"/>
      <c r="O900" s="2"/>
      <c r="P900" s="2"/>
      <c r="Q900" s="2"/>
      <c r="R900" s="2"/>
      <c r="S900" s="2"/>
      <c r="T900" s="3"/>
      <c r="U900" s="1"/>
      <c r="V900" s="1"/>
      <c r="W900" s="1"/>
      <c r="X900" s="1"/>
      <c r="Y900" s="1"/>
      <c r="Z900" s="1"/>
      <c r="AA900" s="1"/>
      <c r="AB900" s="1"/>
    </row>
    <row r="901" spans="1:28" ht="13.8">
      <c r="A901" s="261"/>
      <c r="B901" s="261"/>
      <c r="C901" s="115"/>
      <c r="D901" s="1"/>
      <c r="E901" s="1"/>
      <c r="F901" s="1"/>
      <c r="G901" s="1"/>
      <c r="H901" s="1"/>
      <c r="I901" s="1"/>
      <c r="J901" s="1"/>
      <c r="K901" s="1"/>
      <c r="L901" s="2"/>
      <c r="M901" s="2"/>
      <c r="N901" s="2"/>
      <c r="O901" s="2"/>
      <c r="P901" s="2"/>
      <c r="Q901" s="2"/>
      <c r="R901" s="2"/>
      <c r="S901" s="2"/>
      <c r="T901" s="3"/>
      <c r="U901" s="1"/>
      <c r="V901" s="1"/>
      <c r="W901" s="1"/>
      <c r="X901" s="1"/>
      <c r="Y901" s="1"/>
      <c r="Z901" s="1"/>
      <c r="AA901" s="1"/>
      <c r="AB901" s="1"/>
    </row>
    <row r="902" spans="1:28" ht="13.8">
      <c r="A902" s="261"/>
      <c r="B902" s="261"/>
      <c r="C902" s="115"/>
      <c r="D902" s="1"/>
      <c r="E902" s="1"/>
      <c r="F902" s="1"/>
      <c r="G902" s="1"/>
      <c r="H902" s="1"/>
      <c r="I902" s="1"/>
      <c r="J902" s="1"/>
      <c r="K902" s="1"/>
      <c r="L902" s="2"/>
      <c r="M902" s="2"/>
      <c r="N902" s="2"/>
      <c r="O902" s="2"/>
      <c r="P902" s="2"/>
      <c r="Q902" s="2"/>
      <c r="R902" s="2"/>
      <c r="S902" s="2"/>
      <c r="T902" s="3"/>
      <c r="U902" s="1"/>
      <c r="V902" s="1"/>
      <c r="W902" s="1"/>
      <c r="X902" s="1"/>
      <c r="Y902" s="1"/>
      <c r="Z902" s="1"/>
      <c r="AA902" s="1"/>
      <c r="AB902" s="1"/>
    </row>
    <row r="903" spans="1:28" ht="13.8">
      <c r="A903" s="261"/>
      <c r="B903" s="261"/>
      <c r="C903" s="115"/>
      <c r="D903" s="1"/>
      <c r="E903" s="1"/>
      <c r="F903" s="1"/>
      <c r="G903" s="1"/>
      <c r="H903" s="1"/>
      <c r="I903" s="1"/>
      <c r="J903" s="1"/>
      <c r="K903" s="1"/>
      <c r="L903" s="2"/>
      <c r="M903" s="2"/>
      <c r="N903" s="2"/>
      <c r="O903" s="2"/>
      <c r="P903" s="2"/>
      <c r="Q903" s="2"/>
      <c r="R903" s="2"/>
      <c r="S903" s="2"/>
      <c r="T903" s="3"/>
      <c r="U903" s="1"/>
      <c r="V903" s="1"/>
      <c r="W903" s="1"/>
      <c r="X903" s="1"/>
      <c r="Y903" s="1"/>
      <c r="Z903" s="1"/>
      <c r="AA903" s="1"/>
      <c r="AB903" s="1"/>
    </row>
    <row r="904" spans="1:28" ht="13.8">
      <c r="A904" s="261"/>
      <c r="B904" s="261"/>
      <c r="C904" s="115"/>
      <c r="D904" s="1"/>
      <c r="E904" s="1"/>
      <c r="F904" s="1"/>
      <c r="G904" s="1"/>
      <c r="H904" s="1"/>
      <c r="I904" s="1"/>
      <c r="J904" s="1"/>
      <c r="K904" s="1"/>
      <c r="L904" s="2"/>
      <c r="M904" s="2"/>
      <c r="N904" s="2"/>
      <c r="O904" s="2"/>
      <c r="P904" s="2"/>
      <c r="Q904" s="2"/>
      <c r="R904" s="2"/>
      <c r="S904" s="2"/>
      <c r="T904" s="3"/>
      <c r="U904" s="1"/>
      <c r="V904" s="1"/>
      <c r="W904" s="1"/>
      <c r="X904" s="1"/>
      <c r="Y904" s="1"/>
      <c r="Z904" s="1"/>
      <c r="AA904" s="1"/>
      <c r="AB904" s="1"/>
    </row>
    <row r="905" spans="1:28" ht="13.8">
      <c r="A905" s="260"/>
      <c r="B905" s="260"/>
      <c r="C905" s="38"/>
      <c r="D905" s="4"/>
      <c r="E905" s="4"/>
      <c r="F905" s="4"/>
      <c r="G905" s="4"/>
      <c r="H905" s="4"/>
      <c r="I905" s="4"/>
      <c r="J905" s="4"/>
      <c r="K905" s="4"/>
      <c r="L905" s="5"/>
      <c r="M905" s="5"/>
      <c r="N905" s="5"/>
      <c r="O905" s="5"/>
      <c r="P905" s="5"/>
      <c r="Q905" s="5"/>
      <c r="R905" s="5"/>
      <c r="S905" s="5"/>
      <c r="T905" s="6"/>
      <c r="U905" s="1"/>
      <c r="V905" s="1"/>
      <c r="W905" s="1"/>
      <c r="X905" s="1"/>
      <c r="Y905" s="1"/>
      <c r="Z905" s="1"/>
      <c r="AA905" s="1"/>
      <c r="AB905" s="1"/>
    </row>
    <row r="906" spans="1:28" ht="13.8">
      <c r="A906" s="261"/>
      <c r="B906" s="261"/>
      <c r="C906" s="115"/>
      <c r="D906" s="1"/>
      <c r="E906" s="1"/>
      <c r="F906" s="1"/>
      <c r="G906" s="1"/>
      <c r="H906" s="1"/>
      <c r="I906" s="1"/>
      <c r="J906" s="1"/>
      <c r="K906" s="1"/>
      <c r="L906" s="2"/>
      <c r="M906" s="2"/>
      <c r="N906" s="2"/>
      <c r="O906" s="2"/>
      <c r="P906" s="2"/>
      <c r="Q906" s="2"/>
      <c r="R906" s="2"/>
      <c r="S906" s="2"/>
      <c r="T906" s="3"/>
      <c r="U906" s="1"/>
      <c r="V906" s="1"/>
      <c r="W906" s="1"/>
      <c r="X906" s="1"/>
      <c r="Y906" s="1"/>
      <c r="Z906" s="1"/>
      <c r="AA906" s="1"/>
      <c r="AB906" s="1"/>
    </row>
    <row r="907" spans="1:28" ht="13.8">
      <c r="A907" s="261"/>
      <c r="B907" s="261"/>
      <c r="C907" s="115"/>
      <c r="D907" s="1"/>
      <c r="E907" s="1"/>
      <c r="F907" s="1"/>
      <c r="G907" s="1"/>
      <c r="H907" s="1"/>
      <c r="I907" s="1"/>
      <c r="J907" s="1"/>
      <c r="K907" s="1"/>
      <c r="L907" s="2"/>
      <c r="M907" s="2"/>
      <c r="N907" s="2"/>
      <c r="O907" s="2"/>
      <c r="P907" s="2"/>
      <c r="Q907" s="2"/>
      <c r="R907" s="2"/>
      <c r="S907" s="2"/>
      <c r="T907" s="3"/>
      <c r="U907" s="1"/>
      <c r="V907" s="1"/>
      <c r="W907" s="1"/>
      <c r="X907" s="1"/>
      <c r="Y907" s="1"/>
      <c r="Z907" s="1"/>
      <c r="AA907" s="1"/>
      <c r="AB907" s="1"/>
    </row>
    <row r="908" spans="1:28" ht="13.8">
      <c r="A908" s="261"/>
      <c r="B908" s="261"/>
      <c r="C908" s="115"/>
      <c r="D908" s="1"/>
      <c r="E908" s="1"/>
      <c r="F908" s="1"/>
      <c r="G908" s="1"/>
      <c r="H908" s="1"/>
      <c r="I908" s="1"/>
      <c r="J908" s="1"/>
      <c r="K908" s="1"/>
      <c r="L908" s="2"/>
      <c r="M908" s="2"/>
      <c r="N908" s="2"/>
      <c r="O908" s="2"/>
      <c r="P908" s="2"/>
      <c r="Q908" s="2"/>
      <c r="R908" s="2"/>
      <c r="S908" s="2"/>
      <c r="T908" s="3"/>
      <c r="U908" s="1"/>
      <c r="V908" s="1"/>
      <c r="W908" s="1"/>
      <c r="X908" s="1"/>
      <c r="Y908" s="1"/>
      <c r="Z908" s="1"/>
      <c r="AA908" s="1"/>
      <c r="AB908" s="1"/>
    </row>
    <row r="909" spans="1:28" ht="13.8">
      <c r="A909" s="261"/>
      <c r="B909" s="261"/>
      <c r="C909" s="115"/>
      <c r="D909" s="1"/>
      <c r="E909" s="1"/>
      <c r="F909" s="1"/>
      <c r="G909" s="1"/>
      <c r="H909" s="1"/>
      <c r="I909" s="1"/>
      <c r="J909" s="1"/>
      <c r="K909" s="1"/>
      <c r="L909" s="2"/>
      <c r="M909" s="2"/>
      <c r="N909" s="2"/>
      <c r="O909" s="2"/>
      <c r="P909" s="2"/>
      <c r="Q909" s="2"/>
      <c r="R909" s="2"/>
      <c r="S909" s="2"/>
      <c r="T909" s="3"/>
      <c r="U909" s="1"/>
      <c r="V909" s="1"/>
      <c r="W909" s="1"/>
      <c r="X909" s="1"/>
      <c r="Y909" s="1"/>
      <c r="Z909" s="1"/>
      <c r="AA909" s="1"/>
      <c r="AB909" s="1"/>
    </row>
    <row r="910" spans="1:28" ht="13.8">
      <c r="A910" s="261"/>
      <c r="B910" s="261"/>
      <c r="C910" s="115"/>
      <c r="D910" s="1"/>
      <c r="E910" s="1"/>
      <c r="F910" s="1"/>
      <c r="G910" s="1"/>
      <c r="H910" s="1"/>
      <c r="I910" s="1"/>
      <c r="J910" s="1"/>
      <c r="K910" s="1"/>
      <c r="L910" s="2"/>
      <c r="M910" s="2"/>
      <c r="N910" s="2"/>
      <c r="O910" s="2"/>
      <c r="P910" s="2"/>
      <c r="Q910" s="2"/>
      <c r="R910" s="2"/>
      <c r="S910" s="2"/>
      <c r="T910" s="3"/>
      <c r="U910" s="1"/>
      <c r="V910" s="1"/>
      <c r="W910" s="1"/>
      <c r="X910" s="1"/>
      <c r="Y910" s="1"/>
      <c r="Z910" s="1"/>
      <c r="AA910" s="1"/>
      <c r="AB910" s="1"/>
    </row>
    <row r="911" spans="1:28" ht="13.8">
      <c r="A911" s="261"/>
      <c r="B911" s="261"/>
      <c r="C911" s="115"/>
      <c r="D911" s="1"/>
      <c r="E911" s="1"/>
      <c r="F911" s="1"/>
      <c r="G911" s="1"/>
      <c r="H911" s="1"/>
      <c r="I911" s="1"/>
      <c r="J911" s="1"/>
      <c r="K911" s="1"/>
      <c r="L911" s="2"/>
      <c r="M911" s="2"/>
      <c r="N911" s="2"/>
      <c r="O911" s="2"/>
      <c r="P911" s="2"/>
      <c r="Q911" s="2"/>
      <c r="R911" s="2"/>
      <c r="S911" s="2"/>
      <c r="T911" s="3"/>
      <c r="U911" s="1"/>
      <c r="V911" s="1"/>
      <c r="W911" s="1"/>
      <c r="X911" s="1"/>
      <c r="Y911" s="1"/>
      <c r="Z911" s="1"/>
      <c r="AA911" s="1"/>
      <c r="AB911" s="1"/>
    </row>
    <row r="912" spans="1:28" ht="13.8">
      <c r="A912" s="261"/>
      <c r="B912" s="261"/>
      <c r="C912" s="115"/>
      <c r="D912" s="1"/>
      <c r="E912" s="1"/>
      <c r="F912" s="1"/>
      <c r="G912" s="1"/>
      <c r="H912" s="1"/>
      <c r="I912" s="1"/>
      <c r="J912" s="1"/>
      <c r="K912" s="1"/>
      <c r="L912" s="2"/>
      <c r="M912" s="2"/>
      <c r="N912" s="2"/>
      <c r="O912" s="2"/>
      <c r="P912" s="2"/>
      <c r="Q912" s="2"/>
      <c r="R912" s="2"/>
      <c r="S912" s="2"/>
      <c r="T912" s="3"/>
      <c r="U912" s="1"/>
      <c r="V912" s="1"/>
      <c r="W912" s="1"/>
      <c r="X912" s="1"/>
      <c r="Y912" s="1"/>
      <c r="Z912" s="1"/>
      <c r="AA912" s="1"/>
      <c r="AB912" s="1"/>
    </row>
    <row r="913" spans="1:28" ht="13.8">
      <c r="A913" s="261"/>
      <c r="B913" s="261"/>
      <c r="C913" s="115"/>
      <c r="D913" s="1"/>
      <c r="E913" s="1"/>
      <c r="F913" s="1"/>
      <c r="G913" s="1"/>
      <c r="H913" s="1"/>
      <c r="I913" s="1"/>
      <c r="J913" s="1"/>
      <c r="K913" s="1"/>
      <c r="L913" s="2"/>
      <c r="M913" s="2"/>
      <c r="N913" s="2"/>
      <c r="O913" s="2"/>
      <c r="P913" s="2"/>
      <c r="Q913" s="2"/>
      <c r="R913" s="2"/>
      <c r="S913" s="2"/>
      <c r="T913" s="3"/>
      <c r="U913" s="1"/>
      <c r="V913" s="1"/>
      <c r="W913" s="1"/>
      <c r="X913" s="1"/>
      <c r="Y913" s="1"/>
      <c r="Z913" s="1"/>
      <c r="AA913" s="1"/>
      <c r="AB913" s="1"/>
    </row>
    <row r="914" spans="1:28" ht="13.8">
      <c r="A914" s="261"/>
      <c r="B914" s="261"/>
      <c r="C914" s="115"/>
      <c r="D914" s="1"/>
      <c r="E914" s="1"/>
      <c r="F914" s="1"/>
      <c r="G914" s="1"/>
      <c r="H914" s="1"/>
      <c r="I914" s="1"/>
      <c r="J914" s="1"/>
      <c r="K914" s="1"/>
      <c r="L914" s="2"/>
      <c r="M914" s="2"/>
      <c r="N914" s="2"/>
      <c r="O914" s="2"/>
      <c r="P914" s="2"/>
      <c r="Q914" s="2"/>
      <c r="R914" s="2"/>
      <c r="S914" s="2"/>
      <c r="T914" s="3"/>
      <c r="U914" s="1"/>
      <c r="V914" s="1"/>
      <c r="W914" s="1"/>
      <c r="X914" s="1"/>
      <c r="Y914" s="1"/>
      <c r="Z914" s="1"/>
      <c r="AA914" s="1"/>
      <c r="AB914" s="1"/>
    </row>
    <row r="915" spans="1:28" ht="13.8">
      <c r="A915" s="261"/>
      <c r="B915" s="261"/>
      <c r="C915" s="115"/>
      <c r="D915" s="1"/>
      <c r="E915" s="1"/>
      <c r="F915" s="1"/>
      <c r="G915" s="1"/>
      <c r="H915" s="1"/>
      <c r="I915" s="1"/>
      <c r="J915" s="1"/>
      <c r="K915" s="1"/>
      <c r="L915" s="2"/>
      <c r="M915" s="2"/>
      <c r="N915" s="2"/>
      <c r="O915" s="2"/>
      <c r="P915" s="2"/>
      <c r="Q915" s="2"/>
      <c r="R915" s="2"/>
      <c r="S915" s="2"/>
      <c r="T915" s="3"/>
      <c r="U915" s="1"/>
      <c r="V915" s="1"/>
      <c r="W915" s="1"/>
      <c r="X915" s="1"/>
      <c r="Y915" s="1"/>
      <c r="Z915" s="1"/>
      <c r="AA915" s="1"/>
      <c r="AB915" s="1"/>
    </row>
    <row r="916" spans="1:28" ht="13.8">
      <c r="A916" s="261"/>
      <c r="B916" s="261"/>
      <c r="C916" s="115"/>
      <c r="D916" s="1"/>
      <c r="E916" s="1"/>
      <c r="F916" s="1"/>
      <c r="G916" s="1"/>
      <c r="H916" s="1"/>
      <c r="I916" s="1"/>
      <c r="J916" s="1"/>
      <c r="K916" s="1"/>
      <c r="L916" s="2"/>
      <c r="M916" s="2"/>
      <c r="N916" s="2"/>
      <c r="O916" s="2"/>
      <c r="P916" s="2"/>
      <c r="Q916" s="2"/>
      <c r="R916" s="2"/>
      <c r="S916" s="2"/>
      <c r="T916" s="3"/>
      <c r="U916" s="1"/>
      <c r="V916" s="1"/>
      <c r="W916" s="1"/>
      <c r="X916" s="1"/>
      <c r="Y916" s="1"/>
      <c r="Z916" s="1"/>
      <c r="AA916" s="1"/>
      <c r="AB916" s="1"/>
    </row>
    <row r="917" spans="1:28" ht="13.8">
      <c r="A917" s="261"/>
      <c r="B917" s="261"/>
      <c r="C917" s="115"/>
      <c r="D917" s="1"/>
      <c r="E917" s="1"/>
      <c r="F917" s="1"/>
      <c r="G917" s="1"/>
      <c r="H917" s="1"/>
      <c r="I917" s="1"/>
      <c r="J917" s="1"/>
      <c r="K917" s="1"/>
      <c r="L917" s="2"/>
      <c r="M917" s="2"/>
      <c r="N917" s="2"/>
      <c r="O917" s="2"/>
      <c r="P917" s="2"/>
      <c r="Q917" s="2"/>
      <c r="R917" s="2"/>
      <c r="S917" s="2"/>
      <c r="T917" s="3"/>
      <c r="U917" s="1"/>
      <c r="V917" s="1"/>
      <c r="W917" s="1"/>
      <c r="X917" s="1"/>
      <c r="Y917" s="1"/>
      <c r="Z917" s="1"/>
      <c r="AA917" s="1"/>
      <c r="AB917" s="1"/>
    </row>
    <row r="918" spans="1:28" ht="13.8">
      <c r="A918" s="261"/>
      <c r="B918" s="261"/>
      <c r="C918" s="115"/>
      <c r="D918" s="1"/>
      <c r="E918" s="1"/>
      <c r="F918" s="1"/>
      <c r="G918" s="1"/>
      <c r="H918" s="1"/>
      <c r="I918" s="1"/>
      <c r="J918" s="1"/>
      <c r="K918" s="1"/>
      <c r="L918" s="2"/>
      <c r="M918" s="2"/>
      <c r="N918" s="2"/>
      <c r="O918" s="2"/>
      <c r="P918" s="2"/>
      <c r="Q918" s="2"/>
      <c r="R918" s="2"/>
      <c r="S918" s="2"/>
      <c r="T918" s="3"/>
      <c r="U918" s="1"/>
      <c r="V918" s="1"/>
      <c r="W918" s="1"/>
      <c r="X918" s="1"/>
      <c r="Y918" s="1"/>
      <c r="Z918" s="1"/>
      <c r="AA918" s="1"/>
      <c r="AB918" s="1"/>
    </row>
    <row r="919" spans="1:28" ht="13.8">
      <c r="A919" s="261"/>
      <c r="B919" s="261"/>
      <c r="C919" s="115"/>
      <c r="D919" s="1"/>
      <c r="E919" s="1"/>
      <c r="F919" s="1"/>
      <c r="G919" s="1"/>
      <c r="H919" s="1"/>
      <c r="I919" s="1"/>
      <c r="J919" s="1"/>
      <c r="K919" s="1"/>
      <c r="L919" s="2"/>
      <c r="M919" s="2"/>
      <c r="N919" s="2"/>
      <c r="O919" s="2"/>
      <c r="P919" s="2"/>
      <c r="Q919" s="2"/>
      <c r="R919" s="2"/>
      <c r="S919" s="2"/>
      <c r="T919" s="3"/>
      <c r="U919" s="1"/>
      <c r="V919" s="1"/>
      <c r="W919" s="1"/>
      <c r="X919" s="1"/>
      <c r="Y919" s="1"/>
      <c r="Z919" s="1"/>
      <c r="AA919" s="1"/>
      <c r="AB919" s="1"/>
    </row>
    <row r="920" spans="1:28" ht="13.8">
      <c r="A920" s="261"/>
      <c r="B920" s="261"/>
      <c r="C920" s="115"/>
      <c r="D920" s="1"/>
      <c r="E920" s="1"/>
      <c r="F920" s="1"/>
      <c r="G920" s="1"/>
      <c r="H920" s="1"/>
      <c r="I920" s="1"/>
      <c r="J920" s="1"/>
      <c r="K920" s="1"/>
      <c r="L920" s="2"/>
      <c r="M920" s="2"/>
      <c r="N920" s="2"/>
      <c r="O920" s="2"/>
      <c r="P920" s="2"/>
      <c r="Q920" s="2"/>
      <c r="R920" s="2"/>
      <c r="S920" s="2"/>
      <c r="T920" s="3"/>
      <c r="U920" s="1"/>
      <c r="V920" s="1"/>
      <c r="W920" s="1"/>
      <c r="X920" s="1"/>
      <c r="Y920" s="1"/>
      <c r="Z920" s="1"/>
      <c r="AA920" s="1"/>
      <c r="AB920" s="1"/>
    </row>
    <row r="921" spans="1:28" ht="13.8">
      <c r="A921" s="261"/>
      <c r="B921" s="261"/>
      <c r="C921" s="115"/>
      <c r="D921" s="1"/>
      <c r="E921" s="1"/>
      <c r="F921" s="1"/>
      <c r="G921" s="1"/>
      <c r="H921" s="1"/>
      <c r="I921" s="1"/>
      <c r="J921" s="1"/>
      <c r="K921" s="1"/>
      <c r="L921" s="2"/>
      <c r="M921" s="2"/>
      <c r="N921" s="2"/>
      <c r="O921" s="2"/>
      <c r="P921" s="2"/>
      <c r="Q921" s="2"/>
      <c r="R921" s="2"/>
      <c r="S921" s="2"/>
      <c r="T921" s="3"/>
      <c r="U921" s="1"/>
      <c r="V921" s="1"/>
      <c r="W921" s="1"/>
      <c r="X921" s="1"/>
      <c r="Y921" s="1"/>
      <c r="Z921" s="1"/>
      <c r="AA921" s="1"/>
      <c r="AB921" s="1"/>
    </row>
    <row r="922" spans="1:28" ht="13.8">
      <c r="A922" s="261"/>
      <c r="B922" s="261"/>
      <c r="C922" s="115"/>
      <c r="D922" s="1"/>
      <c r="E922" s="1"/>
      <c r="F922" s="1"/>
      <c r="G922" s="1"/>
      <c r="H922" s="1"/>
      <c r="I922" s="1"/>
      <c r="J922" s="1"/>
      <c r="K922" s="1"/>
      <c r="L922" s="2"/>
      <c r="M922" s="2"/>
      <c r="N922" s="2"/>
      <c r="O922" s="2"/>
      <c r="P922" s="2"/>
      <c r="Q922" s="2"/>
      <c r="R922" s="2"/>
      <c r="S922" s="2"/>
      <c r="T922" s="3"/>
      <c r="U922" s="1"/>
      <c r="V922" s="1"/>
      <c r="W922" s="1"/>
      <c r="X922" s="1"/>
      <c r="Y922" s="1"/>
      <c r="Z922" s="1"/>
      <c r="AA922" s="1"/>
      <c r="AB922" s="1"/>
    </row>
    <row r="923" spans="1:28" ht="13.8">
      <c r="A923" s="261"/>
      <c r="B923" s="261"/>
      <c r="C923" s="115"/>
      <c r="D923" s="1"/>
      <c r="E923" s="1"/>
      <c r="F923" s="1"/>
      <c r="G923" s="1"/>
      <c r="H923" s="1"/>
      <c r="I923" s="1"/>
      <c r="J923" s="1"/>
      <c r="K923" s="1"/>
      <c r="L923" s="2"/>
      <c r="M923" s="2"/>
      <c r="N923" s="2"/>
      <c r="O923" s="2"/>
      <c r="P923" s="2"/>
      <c r="Q923" s="2"/>
      <c r="R923" s="2"/>
      <c r="S923" s="2"/>
      <c r="T923" s="3"/>
      <c r="U923" s="1"/>
      <c r="V923" s="1"/>
      <c r="W923" s="1"/>
      <c r="X923" s="1"/>
      <c r="Y923" s="1"/>
      <c r="Z923" s="1"/>
      <c r="AA923" s="1"/>
      <c r="AB923" s="1"/>
    </row>
    <row r="924" spans="1:28" ht="13.8">
      <c r="A924" s="261"/>
      <c r="B924" s="261"/>
      <c r="C924" s="115"/>
      <c r="D924" s="1"/>
      <c r="E924" s="1"/>
      <c r="F924" s="1"/>
      <c r="G924" s="1"/>
      <c r="H924" s="1"/>
      <c r="I924" s="1"/>
      <c r="J924" s="1"/>
      <c r="K924" s="1"/>
      <c r="L924" s="2"/>
      <c r="M924" s="2"/>
      <c r="N924" s="2"/>
      <c r="O924" s="2"/>
      <c r="P924" s="2"/>
      <c r="Q924" s="2"/>
      <c r="R924" s="2"/>
      <c r="S924" s="2"/>
      <c r="T924" s="3"/>
      <c r="U924" s="1"/>
      <c r="V924" s="1"/>
      <c r="W924" s="1"/>
      <c r="X924" s="1"/>
      <c r="Y924" s="1"/>
      <c r="Z924" s="1"/>
      <c r="AA924" s="1"/>
      <c r="AB924" s="1"/>
    </row>
    <row r="925" spans="1:28" ht="13.8">
      <c r="A925" s="261"/>
      <c r="B925" s="261"/>
      <c r="C925" s="115"/>
      <c r="D925" s="1"/>
      <c r="E925" s="1"/>
      <c r="F925" s="1"/>
      <c r="G925" s="1"/>
      <c r="H925" s="1"/>
      <c r="I925" s="1"/>
      <c r="J925" s="1"/>
      <c r="K925" s="1"/>
      <c r="L925" s="2"/>
      <c r="M925" s="2"/>
      <c r="N925" s="2"/>
      <c r="O925" s="2"/>
      <c r="P925" s="2"/>
      <c r="Q925" s="2"/>
      <c r="R925" s="2"/>
      <c r="S925" s="2"/>
      <c r="T925" s="3"/>
      <c r="U925" s="1"/>
      <c r="V925" s="1"/>
      <c r="W925" s="1"/>
      <c r="X925" s="1"/>
      <c r="Y925" s="1"/>
      <c r="Z925" s="1"/>
      <c r="AA925" s="1"/>
      <c r="AB925" s="1"/>
    </row>
    <row r="926" spans="1:28" ht="13.8">
      <c r="A926" s="261"/>
      <c r="B926" s="261"/>
      <c r="C926" s="115"/>
      <c r="D926" s="1"/>
      <c r="E926" s="1"/>
      <c r="F926" s="1"/>
      <c r="G926" s="1"/>
      <c r="H926" s="1"/>
      <c r="I926" s="1"/>
      <c r="J926" s="1"/>
      <c r="K926" s="1"/>
      <c r="L926" s="2"/>
      <c r="M926" s="2"/>
      <c r="N926" s="2"/>
      <c r="O926" s="2"/>
      <c r="P926" s="2"/>
      <c r="Q926" s="2"/>
      <c r="R926" s="2"/>
      <c r="S926" s="2"/>
      <c r="T926" s="3"/>
      <c r="U926" s="1"/>
      <c r="V926" s="1"/>
      <c r="W926" s="1"/>
      <c r="X926" s="1"/>
      <c r="Y926" s="1"/>
      <c r="Z926" s="1"/>
      <c r="AA926" s="1"/>
      <c r="AB926" s="1"/>
    </row>
    <row r="927" spans="1:28" ht="13.8">
      <c r="A927" s="261"/>
      <c r="B927" s="261"/>
      <c r="C927" s="115"/>
      <c r="D927" s="1"/>
      <c r="E927" s="1"/>
      <c r="F927" s="1"/>
      <c r="G927" s="1"/>
      <c r="H927" s="1"/>
      <c r="I927" s="1"/>
      <c r="J927" s="1"/>
      <c r="K927" s="1"/>
      <c r="L927" s="2"/>
      <c r="M927" s="2"/>
      <c r="N927" s="2"/>
      <c r="O927" s="2"/>
      <c r="P927" s="2"/>
      <c r="Q927" s="2"/>
      <c r="R927" s="2"/>
      <c r="S927" s="2"/>
      <c r="T927" s="3"/>
      <c r="U927" s="1"/>
      <c r="V927" s="1"/>
      <c r="W927" s="1"/>
      <c r="X927" s="1"/>
      <c r="Y927" s="1"/>
      <c r="Z927" s="1"/>
      <c r="AA927" s="1"/>
      <c r="AB927" s="1"/>
    </row>
    <row r="928" spans="1:28" ht="13.8">
      <c r="A928" s="261"/>
      <c r="B928" s="261"/>
      <c r="C928" s="115"/>
      <c r="D928" s="1"/>
      <c r="E928" s="1"/>
      <c r="F928" s="1"/>
      <c r="G928" s="1"/>
      <c r="H928" s="1"/>
      <c r="I928" s="1"/>
      <c r="J928" s="1"/>
      <c r="K928" s="1"/>
      <c r="L928" s="2"/>
      <c r="M928" s="2"/>
      <c r="N928" s="2"/>
      <c r="O928" s="2"/>
      <c r="P928" s="2"/>
      <c r="Q928" s="2"/>
      <c r="R928" s="2"/>
      <c r="S928" s="2"/>
      <c r="T928" s="3"/>
      <c r="U928" s="1"/>
      <c r="V928" s="1"/>
      <c r="W928" s="1"/>
      <c r="X928" s="1"/>
      <c r="Y928" s="1"/>
      <c r="Z928" s="1"/>
      <c r="AA928" s="1"/>
      <c r="AB928" s="1"/>
    </row>
    <row r="929" spans="1:28" ht="13.8">
      <c r="A929" s="261"/>
      <c r="B929" s="261"/>
      <c r="C929" s="115"/>
      <c r="D929" s="1"/>
      <c r="E929" s="1"/>
      <c r="F929" s="1"/>
      <c r="G929" s="1"/>
      <c r="H929" s="1"/>
      <c r="I929" s="1"/>
      <c r="J929" s="1"/>
      <c r="K929" s="1"/>
      <c r="L929" s="2"/>
      <c r="M929" s="2"/>
      <c r="N929" s="2"/>
      <c r="O929" s="2"/>
      <c r="P929" s="2"/>
      <c r="Q929" s="2"/>
      <c r="R929" s="2"/>
      <c r="S929" s="2"/>
      <c r="T929" s="3"/>
      <c r="U929" s="1"/>
      <c r="V929" s="1"/>
      <c r="W929" s="1"/>
      <c r="X929" s="1"/>
      <c r="Y929" s="1"/>
      <c r="Z929" s="1"/>
      <c r="AA929" s="1"/>
      <c r="AB929" s="1"/>
    </row>
    <row r="930" spans="1:28" ht="13.8">
      <c r="A930" s="261"/>
      <c r="B930" s="261"/>
      <c r="C930" s="115"/>
      <c r="D930" s="1"/>
      <c r="E930" s="1"/>
      <c r="F930" s="1"/>
      <c r="G930" s="1"/>
      <c r="H930" s="1"/>
      <c r="I930" s="1"/>
      <c r="J930" s="1"/>
      <c r="K930" s="1"/>
      <c r="L930" s="2"/>
      <c r="M930" s="2"/>
      <c r="N930" s="2"/>
      <c r="O930" s="2"/>
      <c r="P930" s="2"/>
      <c r="Q930" s="2"/>
      <c r="R930" s="2"/>
      <c r="S930" s="2"/>
      <c r="T930" s="3"/>
      <c r="U930" s="1"/>
      <c r="V930" s="1"/>
      <c r="W930" s="1"/>
      <c r="X930" s="1"/>
      <c r="Y930" s="1"/>
      <c r="Z930" s="1"/>
      <c r="AA930" s="1"/>
      <c r="AB930" s="1"/>
    </row>
    <row r="931" spans="1:28" ht="13.8">
      <c r="A931" s="261"/>
      <c r="B931" s="261"/>
      <c r="C931" s="115"/>
      <c r="D931" s="1"/>
      <c r="E931" s="1"/>
      <c r="F931" s="1"/>
      <c r="G931" s="1"/>
      <c r="H931" s="1"/>
      <c r="I931" s="1"/>
      <c r="J931" s="1"/>
      <c r="K931" s="1"/>
      <c r="L931" s="2"/>
      <c r="M931" s="2"/>
      <c r="N931" s="2"/>
      <c r="O931" s="2"/>
      <c r="P931" s="2"/>
      <c r="Q931" s="2"/>
      <c r="R931" s="2"/>
      <c r="S931" s="2"/>
      <c r="T931" s="3"/>
      <c r="U931" s="1"/>
      <c r="V931" s="1"/>
      <c r="W931" s="1"/>
      <c r="X931" s="1"/>
      <c r="Y931" s="1"/>
      <c r="Z931" s="1"/>
      <c r="AA931" s="1"/>
      <c r="AB931" s="1"/>
    </row>
    <row r="932" spans="1:28" ht="13.8">
      <c r="A932" s="261"/>
      <c r="B932" s="261"/>
      <c r="C932" s="115"/>
      <c r="D932" s="1"/>
      <c r="E932" s="1"/>
      <c r="F932" s="1"/>
      <c r="G932" s="1"/>
      <c r="H932" s="1"/>
      <c r="I932" s="1"/>
      <c r="J932" s="1"/>
      <c r="K932" s="1"/>
      <c r="L932" s="2"/>
      <c r="M932" s="2"/>
      <c r="N932" s="2"/>
      <c r="O932" s="2"/>
      <c r="P932" s="2"/>
      <c r="Q932" s="2"/>
      <c r="R932" s="2"/>
      <c r="S932" s="2"/>
      <c r="T932" s="3"/>
      <c r="U932" s="1"/>
      <c r="V932" s="1"/>
      <c r="W932" s="1"/>
      <c r="X932" s="1"/>
      <c r="Y932" s="1"/>
      <c r="Z932" s="1"/>
      <c r="AA932" s="1"/>
      <c r="AB932" s="1"/>
    </row>
    <row r="933" spans="1:28" ht="13.8">
      <c r="A933" s="261"/>
      <c r="B933" s="261"/>
      <c r="C933" s="115"/>
      <c r="D933" s="1"/>
      <c r="E933" s="1"/>
      <c r="F933" s="1"/>
      <c r="G933" s="1"/>
      <c r="H933" s="1"/>
      <c r="I933" s="1"/>
      <c r="J933" s="1"/>
      <c r="K933" s="1"/>
      <c r="L933" s="2"/>
      <c r="M933" s="2"/>
      <c r="N933" s="2"/>
      <c r="O933" s="2"/>
      <c r="P933" s="2"/>
      <c r="Q933" s="2"/>
      <c r="R933" s="2"/>
      <c r="S933" s="2"/>
      <c r="T933" s="3"/>
      <c r="U933" s="1"/>
      <c r="V933" s="1"/>
      <c r="W933" s="1"/>
      <c r="X933" s="1"/>
      <c r="Y933" s="1"/>
      <c r="Z933" s="1"/>
      <c r="AA933" s="1"/>
      <c r="AB933" s="1"/>
    </row>
    <row r="934" spans="1:28" ht="13.8">
      <c r="A934" s="261"/>
      <c r="B934" s="261"/>
      <c r="C934" s="115"/>
      <c r="D934" s="1"/>
      <c r="E934" s="1"/>
      <c r="F934" s="1"/>
      <c r="G934" s="1"/>
      <c r="H934" s="1"/>
      <c r="I934" s="1"/>
      <c r="J934" s="1"/>
      <c r="K934" s="1"/>
      <c r="L934" s="2"/>
      <c r="M934" s="2"/>
      <c r="N934" s="2"/>
      <c r="O934" s="2"/>
      <c r="P934" s="2"/>
      <c r="Q934" s="2"/>
      <c r="R934" s="2"/>
      <c r="S934" s="2"/>
      <c r="T934" s="3"/>
      <c r="U934" s="1"/>
      <c r="V934" s="1"/>
      <c r="W934" s="1"/>
      <c r="X934" s="1"/>
      <c r="Y934" s="1"/>
      <c r="Z934" s="1"/>
      <c r="AA934" s="1"/>
      <c r="AB934" s="1"/>
    </row>
    <row r="935" spans="1:28" ht="13.8">
      <c r="A935" s="261"/>
      <c r="B935" s="261"/>
      <c r="C935" s="115"/>
      <c r="D935" s="1"/>
      <c r="E935" s="1"/>
      <c r="F935" s="1"/>
      <c r="G935" s="1"/>
      <c r="H935" s="1"/>
      <c r="I935" s="1"/>
      <c r="J935" s="1"/>
      <c r="K935" s="1"/>
      <c r="L935" s="2"/>
      <c r="M935" s="2"/>
      <c r="N935" s="2"/>
      <c r="O935" s="2"/>
      <c r="P935" s="2"/>
      <c r="Q935" s="2"/>
      <c r="R935" s="2"/>
      <c r="S935" s="2"/>
      <c r="T935" s="3"/>
      <c r="U935" s="1"/>
      <c r="V935" s="1"/>
      <c r="W935" s="1"/>
      <c r="X935" s="1"/>
      <c r="Y935" s="1"/>
      <c r="Z935" s="1"/>
      <c r="AA935" s="1"/>
      <c r="AB935" s="1"/>
    </row>
    <row r="936" spans="1:28" ht="13.8">
      <c r="A936" s="261"/>
      <c r="B936" s="261"/>
      <c r="C936" s="115"/>
      <c r="D936" s="1"/>
      <c r="E936" s="1"/>
      <c r="F936" s="1"/>
      <c r="G936" s="1"/>
      <c r="H936" s="1"/>
      <c r="I936" s="1"/>
      <c r="J936" s="1"/>
      <c r="K936" s="1"/>
      <c r="L936" s="2"/>
      <c r="M936" s="2"/>
      <c r="N936" s="2"/>
      <c r="O936" s="2"/>
      <c r="P936" s="2"/>
      <c r="Q936" s="2"/>
      <c r="R936" s="2"/>
      <c r="S936" s="2"/>
      <c r="T936" s="3"/>
      <c r="U936" s="1"/>
      <c r="V936" s="1"/>
      <c r="W936" s="1"/>
      <c r="X936" s="1"/>
      <c r="Y936" s="1"/>
      <c r="Z936" s="1"/>
      <c r="AA936" s="1"/>
      <c r="AB936" s="1"/>
    </row>
    <row r="937" spans="1:28" ht="13.8">
      <c r="A937" s="261"/>
      <c r="B937" s="261"/>
      <c r="C937" s="115"/>
      <c r="D937" s="1"/>
      <c r="E937" s="1"/>
      <c r="F937" s="1"/>
      <c r="G937" s="1"/>
      <c r="H937" s="1"/>
      <c r="I937" s="1"/>
      <c r="J937" s="1"/>
      <c r="K937" s="1"/>
      <c r="L937" s="2"/>
      <c r="M937" s="2"/>
      <c r="N937" s="2"/>
      <c r="O937" s="2"/>
      <c r="P937" s="2"/>
      <c r="Q937" s="2"/>
      <c r="R937" s="2"/>
      <c r="S937" s="2"/>
      <c r="T937" s="3"/>
      <c r="U937" s="1"/>
      <c r="V937" s="1"/>
      <c r="W937" s="1"/>
      <c r="X937" s="1"/>
      <c r="Y937" s="1"/>
      <c r="Z937" s="1"/>
      <c r="AA937" s="1"/>
      <c r="AB937" s="1"/>
    </row>
    <row r="938" spans="1:28" ht="13.8">
      <c r="A938" s="261"/>
      <c r="B938" s="261"/>
      <c r="C938" s="115"/>
      <c r="D938" s="1"/>
      <c r="E938" s="1"/>
      <c r="F938" s="1"/>
      <c r="G938" s="1"/>
      <c r="H938" s="1"/>
      <c r="I938" s="1"/>
      <c r="J938" s="1"/>
      <c r="K938" s="1"/>
      <c r="L938" s="2"/>
      <c r="M938" s="2"/>
      <c r="N938" s="2"/>
      <c r="O938" s="2"/>
      <c r="P938" s="2"/>
      <c r="Q938" s="2"/>
      <c r="R938" s="2"/>
      <c r="S938" s="2"/>
      <c r="T938" s="3"/>
      <c r="U938" s="1"/>
      <c r="V938" s="1"/>
      <c r="W938" s="1"/>
      <c r="X938" s="1"/>
      <c r="Y938" s="1"/>
      <c r="Z938" s="1"/>
      <c r="AA938" s="1"/>
      <c r="AB938" s="1"/>
    </row>
    <row r="939" spans="1:28" ht="13.8">
      <c r="A939" s="261"/>
      <c r="B939" s="261"/>
      <c r="C939" s="115"/>
      <c r="D939" s="1"/>
      <c r="E939" s="1"/>
      <c r="F939" s="1"/>
      <c r="G939" s="1"/>
      <c r="H939" s="1"/>
      <c r="I939" s="1"/>
      <c r="J939" s="1"/>
      <c r="K939" s="1"/>
      <c r="L939" s="2"/>
      <c r="M939" s="2"/>
      <c r="N939" s="2"/>
      <c r="O939" s="2"/>
      <c r="P939" s="2"/>
      <c r="Q939" s="2"/>
      <c r="R939" s="2"/>
      <c r="S939" s="2"/>
      <c r="T939" s="3"/>
      <c r="U939" s="1"/>
      <c r="V939" s="1"/>
      <c r="W939" s="1"/>
      <c r="X939" s="1"/>
      <c r="Y939" s="1"/>
      <c r="Z939" s="1"/>
      <c r="AA939" s="1"/>
      <c r="AB939" s="1"/>
    </row>
    <row r="940" spans="1:28" ht="13.8">
      <c r="A940" s="261"/>
      <c r="B940" s="261"/>
      <c r="C940" s="115"/>
      <c r="D940" s="1"/>
      <c r="E940" s="1"/>
      <c r="F940" s="1"/>
      <c r="G940" s="1"/>
      <c r="H940" s="1"/>
      <c r="I940" s="1"/>
      <c r="J940" s="1"/>
      <c r="K940" s="1"/>
      <c r="L940" s="2"/>
      <c r="M940" s="2"/>
      <c r="N940" s="2"/>
      <c r="O940" s="2"/>
      <c r="P940" s="2"/>
      <c r="Q940" s="2"/>
      <c r="R940" s="2"/>
      <c r="S940" s="2"/>
      <c r="T940" s="3"/>
      <c r="U940" s="1"/>
      <c r="V940" s="1"/>
      <c r="W940" s="1"/>
      <c r="X940" s="1"/>
      <c r="Y940" s="1"/>
      <c r="Z940" s="1"/>
      <c r="AA940" s="1"/>
      <c r="AB940" s="1"/>
    </row>
    <row r="941" spans="1:28" ht="13.8">
      <c r="A941" s="261"/>
      <c r="B941" s="261"/>
      <c r="C941" s="115"/>
      <c r="D941" s="1"/>
      <c r="E941" s="1"/>
      <c r="F941" s="1"/>
      <c r="G941" s="1"/>
      <c r="H941" s="1"/>
      <c r="I941" s="1"/>
      <c r="J941" s="1"/>
      <c r="K941" s="1"/>
      <c r="L941" s="2"/>
      <c r="M941" s="2"/>
      <c r="N941" s="2"/>
      <c r="O941" s="2"/>
      <c r="P941" s="2"/>
      <c r="Q941" s="2"/>
      <c r="R941" s="2"/>
      <c r="S941" s="2"/>
      <c r="T941" s="3"/>
      <c r="U941" s="1"/>
      <c r="V941" s="1"/>
      <c r="W941" s="1"/>
      <c r="X941" s="1"/>
      <c r="Y941" s="1"/>
      <c r="Z941" s="1"/>
      <c r="AA941" s="1"/>
      <c r="AB941" s="1"/>
    </row>
    <row r="942" spans="1:28" ht="13.8">
      <c r="A942" s="261"/>
      <c r="B942" s="261"/>
      <c r="C942" s="115"/>
      <c r="D942" s="1"/>
      <c r="E942" s="1"/>
      <c r="F942" s="1"/>
      <c r="G942" s="1"/>
      <c r="H942" s="1"/>
      <c r="I942" s="1"/>
      <c r="J942" s="1"/>
      <c r="K942" s="1"/>
      <c r="L942" s="2"/>
      <c r="M942" s="2"/>
      <c r="N942" s="2"/>
      <c r="O942" s="2"/>
      <c r="P942" s="2"/>
      <c r="Q942" s="2"/>
      <c r="R942" s="2"/>
      <c r="S942" s="2"/>
      <c r="T942" s="3"/>
      <c r="U942" s="1"/>
      <c r="V942" s="1"/>
      <c r="W942" s="1"/>
      <c r="X942" s="1"/>
      <c r="Y942" s="1"/>
      <c r="Z942" s="1"/>
      <c r="AA942" s="1"/>
      <c r="AB942" s="1"/>
    </row>
    <row r="943" spans="1:28" ht="13.8">
      <c r="A943" s="261"/>
      <c r="B943" s="261"/>
      <c r="C943" s="115"/>
      <c r="D943" s="1"/>
      <c r="E943" s="1"/>
      <c r="F943" s="1"/>
      <c r="G943" s="1"/>
      <c r="H943" s="1"/>
      <c r="I943" s="1"/>
      <c r="J943" s="1"/>
      <c r="K943" s="1"/>
      <c r="L943" s="2"/>
      <c r="M943" s="2"/>
      <c r="N943" s="2"/>
      <c r="O943" s="2"/>
      <c r="P943" s="2"/>
      <c r="Q943" s="2"/>
      <c r="R943" s="2"/>
      <c r="S943" s="2"/>
      <c r="T943" s="3"/>
      <c r="U943" s="1"/>
      <c r="V943" s="1"/>
      <c r="W943" s="1"/>
      <c r="X943" s="1"/>
      <c r="Y943" s="1"/>
      <c r="Z943" s="1"/>
      <c r="AA943" s="1"/>
      <c r="AB943" s="1"/>
    </row>
    <row r="944" spans="1:28" ht="13.8">
      <c r="A944" s="261"/>
      <c r="B944" s="261"/>
      <c r="C944" s="115"/>
      <c r="D944" s="1"/>
      <c r="E944" s="1"/>
      <c r="F944" s="1"/>
      <c r="G944" s="1"/>
      <c r="H944" s="1"/>
      <c r="I944" s="1"/>
      <c r="J944" s="1"/>
      <c r="K944" s="1"/>
      <c r="L944" s="2"/>
      <c r="M944" s="2"/>
      <c r="N944" s="2"/>
      <c r="O944" s="2"/>
      <c r="P944" s="2"/>
      <c r="Q944" s="2"/>
      <c r="R944" s="2"/>
      <c r="S944" s="2"/>
      <c r="T944" s="3"/>
      <c r="U944" s="1"/>
      <c r="V944" s="1"/>
      <c r="W944" s="1"/>
      <c r="X944" s="1"/>
      <c r="Y944" s="1"/>
      <c r="Z944" s="1"/>
      <c r="AA944" s="1"/>
      <c r="AB944" s="1"/>
    </row>
    <row r="945" spans="1:28" ht="13.8">
      <c r="A945" s="261"/>
      <c r="B945" s="261"/>
      <c r="C945" s="115"/>
      <c r="D945" s="1"/>
      <c r="E945" s="1"/>
      <c r="F945" s="1"/>
      <c r="G945" s="1"/>
      <c r="H945" s="1"/>
      <c r="I945" s="1"/>
      <c r="J945" s="1"/>
      <c r="K945" s="1"/>
      <c r="L945" s="2"/>
      <c r="M945" s="2"/>
      <c r="N945" s="2"/>
      <c r="O945" s="2"/>
      <c r="P945" s="2"/>
      <c r="Q945" s="2"/>
      <c r="R945" s="2"/>
      <c r="S945" s="2"/>
      <c r="T945" s="3"/>
      <c r="U945" s="1"/>
      <c r="V945" s="1"/>
      <c r="W945" s="1"/>
      <c r="X945" s="1"/>
      <c r="Y945" s="1"/>
      <c r="Z945" s="1"/>
      <c r="AA945" s="1"/>
      <c r="AB945" s="1"/>
    </row>
    <row r="946" spans="1:28" ht="13.8">
      <c r="A946" s="261"/>
      <c r="B946" s="261"/>
      <c r="C946" s="115"/>
      <c r="D946" s="1"/>
      <c r="E946" s="1"/>
      <c r="F946" s="1"/>
      <c r="G946" s="1"/>
      <c r="H946" s="1"/>
      <c r="I946" s="1"/>
      <c r="J946" s="1"/>
      <c r="K946" s="1"/>
      <c r="L946" s="2"/>
      <c r="M946" s="2"/>
      <c r="N946" s="2"/>
      <c r="O946" s="2"/>
      <c r="P946" s="2"/>
      <c r="Q946" s="2"/>
      <c r="R946" s="2"/>
      <c r="S946" s="2"/>
      <c r="T946" s="3"/>
      <c r="U946" s="1"/>
      <c r="V946" s="1"/>
      <c r="W946" s="1"/>
      <c r="X946" s="1"/>
      <c r="Y946" s="1"/>
      <c r="Z946" s="1"/>
      <c r="AA946" s="1"/>
      <c r="AB946" s="1"/>
    </row>
    <row r="947" spans="1:28" ht="13.8">
      <c r="A947" s="261"/>
      <c r="B947" s="261"/>
      <c r="C947" s="115"/>
      <c r="D947" s="1"/>
      <c r="E947" s="1"/>
      <c r="F947" s="1"/>
      <c r="G947" s="1"/>
      <c r="H947" s="1"/>
      <c r="I947" s="1"/>
      <c r="J947" s="1"/>
      <c r="K947" s="1"/>
      <c r="L947" s="2"/>
      <c r="M947" s="2"/>
      <c r="N947" s="2"/>
      <c r="O947" s="2"/>
      <c r="P947" s="2"/>
      <c r="Q947" s="2"/>
      <c r="R947" s="2"/>
      <c r="S947" s="2"/>
      <c r="T947" s="3"/>
      <c r="U947" s="1"/>
      <c r="V947" s="1"/>
      <c r="W947" s="1"/>
      <c r="X947" s="1"/>
      <c r="Y947" s="1"/>
      <c r="Z947" s="1"/>
      <c r="AA947" s="1"/>
      <c r="AB947" s="1"/>
    </row>
    <row r="948" spans="1:28" ht="13.8">
      <c r="A948" s="261"/>
      <c r="B948" s="261"/>
      <c r="C948" s="115"/>
      <c r="D948" s="1"/>
      <c r="E948" s="1"/>
      <c r="F948" s="1"/>
      <c r="G948" s="1"/>
      <c r="H948" s="1"/>
      <c r="I948" s="1"/>
      <c r="J948" s="1"/>
      <c r="K948" s="1"/>
      <c r="L948" s="2"/>
      <c r="M948" s="2"/>
      <c r="N948" s="2"/>
      <c r="O948" s="2"/>
      <c r="P948" s="2"/>
      <c r="Q948" s="2"/>
      <c r="R948" s="2"/>
      <c r="S948" s="2"/>
      <c r="T948" s="3"/>
      <c r="U948" s="1"/>
      <c r="V948" s="1"/>
      <c r="W948" s="1"/>
      <c r="X948" s="1"/>
      <c r="Y948" s="1"/>
      <c r="Z948" s="1"/>
      <c r="AA948" s="1"/>
      <c r="AB948" s="1"/>
    </row>
    <row r="949" spans="1:28" ht="13.8">
      <c r="A949" s="260"/>
      <c r="B949" s="260"/>
      <c r="C949" s="38"/>
      <c r="D949" s="4"/>
      <c r="E949" s="4"/>
      <c r="F949" s="4"/>
      <c r="G949" s="4"/>
      <c r="H949" s="4"/>
      <c r="I949" s="4"/>
      <c r="J949" s="4"/>
      <c r="K949" s="4"/>
      <c r="L949" s="5"/>
      <c r="M949" s="5"/>
      <c r="N949" s="5"/>
      <c r="O949" s="5"/>
      <c r="P949" s="5"/>
      <c r="Q949" s="5"/>
      <c r="R949" s="5"/>
      <c r="S949" s="5"/>
      <c r="T949" s="6"/>
      <c r="U949" s="1"/>
      <c r="V949" s="1"/>
      <c r="W949" s="1"/>
      <c r="X949" s="1"/>
      <c r="Y949" s="1"/>
      <c r="Z949" s="1"/>
      <c r="AA949" s="1"/>
      <c r="AB949" s="1"/>
    </row>
    <row r="950" spans="1:28" ht="13.8">
      <c r="A950" s="261"/>
      <c r="B950" s="261"/>
      <c r="C950" s="115"/>
      <c r="D950" s="1"/>
      <c r="E950" s="1"/>
      <c r="F950" s="1"/>
      <c r="G950" s="1"/>
      <c r="H950" s="1"/>
      <c r="I950" s="1"/>
      <c r="J950" s="1"/>
      <c r="K950" s="1"/>
      <c r="L950" s="2"/>
      <c r="M950" s="2"/>
      <c r="N950" s="2"/>
      <c r="O950" s="2"/>
      <c r="P950" s="2"/>
      <c r="Q950" s="2"/>
      <c r="R950" s="2"/>
      <c r="S950" s="2"/>
      <c r="T950" s="3"/>
      <c r="U950" s="1"/>
      <c r="V950" s="1"/>
      <c r="W950" s="1"/>
      <c r="X950" s="1"/>
      <c r="Y950" s="1"/>
      <c r="Z950" s="1"/>
      <c r="AA950" s="1"/>
      <c r="AB950" s="1"/>
    </row>
    <row r="951" spans="1:28" ht="13.8">
      <c r="A951" s="261"/>
      <c r="B951" s="261"/>
      <c r="C951" s="115"/>
      <c r="D951" s="1"/>
      <c r="E951" s="1"/>
      <c r="F951" s="1"/>
      <c r="G951" s="1"/>
      <c r="H951" s="1"/>
      <c r="I951" s="1"/>
      <c r="J951" s="1"/>
      <c r="K951" s="1"/>
      <c r="L951" s="2"/>
      <c r="M951" s="2"/>
      <c r="N951" s="2"/>
      <c r="O951" s="2"/>
      <c r="P951" s="2"/>
      <c r="Q951" s="2"/>
      <c r="R951" s="2"/>
      <c r="S951" s="2"/>
      <c r="T951" s="3"/>
      <c r="U951" s="1"/>
      <c r="V951" s="1"/>
      <c r="W951" s="1"/>
      <c r="X951" s="1"/>
      <c r="Y951" s="1"/>
      <c r="Z951" s="1"/>
      <c r="AA951" s="1"/>
      <c r="AB951" s="1"/>
    </row>
    <row r="952" spans="1:28" ht="13.8">
      <c r="A952" s="261"/>
      <c r="B952" s="261"/>
      <c r="C952" s="115"/>
      <c r="D952" s="1"/>
      <c r="E952" s="1"/>
      <c r="F952" s="1"/>
      <c r="G952" s="1"/>
      <c r="H952" s="1"/>
      <c r="I952" s="1"/>
      <c r="J952" s="1"/>
      <c r="K952" s="1"/>
      <c r="L952" s="2"/>
      <c r="M952" s="2"/>
      <c r="N952" s="2"/>
      <c r="O952" s="2"/>
      <c r="P952" s="2"/>
      <c r="Q952" s="2"/>
      <c r="R952" s="2"/>
      <c r="S952" s="2"/>
      <c r="T952" s="3"/>
      <c r="U952" s="1"/>
      <c r="V952" s="1"/>
      <c r="W952" s="1"/>
      <c r="X952" s="1"/>
      <c r="Y952" s="1"/>
      <c r="Z952" s="1"/>
      <c r="AA952" s="1"/>
      <c r="AB952" s="1"/>
    </row>
    <row r="953" spans="1:28" ht="13.8">
      <c r="A953" s="261"/>
      <c r="B953" s="261"/>
      <c r="C953" s="115"/>
      <c r="D953" s="1"/>
      <c r="E953" s="1"/>
      <c r="F953" s="1"/>
      <c r="G953" s="1"/>
      <c r="H953" s="1"/>
      <c r="I953" s="1"/>
      <c r="J953" s="1"/>
      <c r="K953" s="1"/>
      <c r="L953" s="2"/>
      <c r="M953" s="2"/>
      <c r="N953" s="2"/>
      <c r="O953" s="2"/>
      <c r="P953" s="2"/>
      <c r="Q953" s="2"/>
      <c r="R953" s="2"/>
      <c r="S953" s="2"/>
      <c r="T953" s="3"/>
      <c r="U953" s="1"/>
      <c r="V953" s="1"/>
      <c r="W953" s="1"/>
      <c r="X953" s="1"/>
      <c r="Y953" s="1"/>
      <c r="Z953" s="1"/>
      <c r="AA953" s="1"/>
      <c r="AB953" s="1"/>
    </row>
    <row r="954" spans="1:28" ht="13.8">
      <c r="A954" s="261"/>
      <c r="B954" s="261"/>
      <c r="C954" s="115"/>
      <c r="D954" s="1"/>
      <c r="E954" s="1"/>
      <c r="F954" s="1"/>
      <c r="G954" s="1"/>
      <c r="H954" s="1"/>
      <c r="I954" s="1"/>
      <c r="J954" s="1"/>
      <c r="K954" s="1"/>
      <c r="L954" s="2"/>
      <c r="M954" s="2"/>
      <c r="N954" s="2"/>
      <c r="O954" s="2"/>
      <c r="P954" s="2"/>
      <c r="Q954" s="2"/>
      <c r="R954" s="2"/>
      <c r="S954" s="2"/>
      <c r="T954" s="3"/>
      <c r="U954" s="1"/>
      <c r="V954" s="1"/>
      <c r="W954" s="1"/>
      <c r="X954" s="1"/>
      <c r="Y954" s="1"/>
      <c r="Z954" s="1"/>
      <c r="AA954" s="1"/>
      <c r="AB954" s="1"/>
    </row>
    <row r="955" spans="1:28" ht="13.8">
      <c r="A955" s="261"/>
      <c r="B955" s="261"/>
      <c r="C955" s="115"/>
      <c r="D955" s="1"/>
      <c r="E955" s="1"/>
      <c r="F955" s="1"/>
      <c r="G955" s="1"/>
      <c r="H955" s="1"/>
      <c r="I955" s="1"/>
      <c r="J955" s="1"/>
      <c r="K955" s="1"/>
      <c r="L955" s="2"/>
      <c r="M955" s="2"/>
      <c r="N955" s="2"/>
      <c r="O955" s="2"/>
      <c r="P955" s="2"/>
      <c r="Q955" s="2"/>
      <c r="R955" s="2"/>
      <c r="S955" s="2"/>
      <c r="T955" s="3"/>
      <c r="U955" s="1"/>
      <c r="V955" s="1"/>
      <c r="W955" s="1"/>
      <c r="X955" s="1"/>
      <c r="Y955" s="1"/>
      <c r="Z955" s="1"/>
      <c r="AA955" s="1"/>
      <c r="AB955" s="1"/>
    </row>
    <row r="956" spans="1:28" ht="13.8">
      <c r="A956" s="261"/>
      <c r="B956" s="261"/>
      <c r="C956" s="115"/>
      <c r="D956" s="1"/>
      <c r="E956" s="1"/>
      <c r="F956" s="1"/>
      <c r="G956" s="1"/>
      <c r="H956" s="1"/>
      <c r="I956" s="1"/>
      <c r="J956" s="1"/>
      <c r="K956" s="1"/>
      <c r="L956" s="2"/>
      <c r="M956" s="2"/>
      <c r="N956" s="2"/>
      <c r="O956" s="2"/>
      <c r="P956" s="2"/>
      <c r="Q956" s="2"/>
      <c r="R956" s="2"/>
      <c r="S956" s="2"/>
      <c r="T956" s="3"/>
      <c r="U956" s="1"/>
      <c r="V956" s="1"/>
      <c r="W956" s="1"/>
      <c r="X956" s="1"/>
      <c r="Y956" s="1"/>
      <c r="Z956" s="1"/>
      <c r="AA956" s="1"/>
      <c r="AB956" s="1"/>
    </row>
    <row r="957" spans="1:28" ht="13.8">
      <c r="A957" s="261"/>
      <c r="B957" s="261"/>
      <c r="C957" s="115"/>
      <c r="D957" s="1"/>
      <c r="E957" s="1"/>
      <c r="F957" s="1"/>
      <c r="G957" s="1"/>
      <c r="H957" s="1"/>
      <c r="I957" s="1"/>
      <c r="J957" s="1"/>
      <c r="K957" s="1"/>
      <c r="L957" s="2"/>
      <c r="M957" s="2"/>
      <c r="N957" s="2"/>
      <c r="O957" s="2"/>
      <c r="P957" s="2"/>
      <c r="Q957" s="2"/>
      <c r="R957" s="2"/>
      <c r="S957" s="2"/>
      <c r="T957" s="3"/>
      <c r="U957" s="1"/>
      <c r="V957" s="1"/>
      <c r="W957" s="1"/>
      <c r="X957" s="1"/>
      <c r="Y957" s="1"/>
      <c r="Z957" s="1"/>
      <c r="AA957" s="1"/>
      <c r="AB957" s="1"/>
    </row>
    <row r="958" spans="1:28" ht="13.8">
      <c r="A958" s="261"/>
      <c r="B958" s="261"/>
      <c r="C958" s="115"/>
      <c r="D958" s="1"/>
      <c r="E958" s="1"/>
      <c r="F958" s="1"/>
      <c r="G958" s="1"/>
      <c r="H958" s="1"/>
      <c r="I958" s="1"/>
      <c r="J958" s="1"/>
      <c r="K958" s="1"/>
      <c r="L958" s="2"/>
      <c r="M958" s="2"/>
      <c r="N958" s="2"/>
      <c r="O958" s="2"/>
      <c r="P958" s="2"/>
      <c r="Q958" s="2"/>
      <c r="R958" s="2"/>
      <c r="S958" s="2"/>
      <c r="T958" s="3"/>
      <c r="U958" s="1"/>
      <c r="V958" s="1"/>
      <c r="W958" s="1"/>
      <c r="X958" s="1"/>
      <c r="Y958" s="1"/>
      <c r="Z958" s="1"/>
      <c r="AA958" s="1"/>
      <c r="AB958" s="1"/>
    </row>
    <row r="959" spans="1:28" ht="13.8">
      <c r="A959" s="261"/>
      <c r="B959" s="261"/>
      <c r="C959" s="115"/>
      <c r="D959" s="1"/>
      <c r="E959" s="1"/>
      <c r="F959" s="1"/>
      <c r="G959" s="1"/>
      <c r="H959" s="1"/>
      <c r="I959" s="1"/>
      <c r="J959" s="1"/>
      <c r="K959" s="1"/>
      <c r="L959" s="2"/>
      <c r="M959" s="2"/>
      <c r="N959" s="2"/>
      <c r="O959" s="2"/>
      <c r="P959" s="2"/>
      <c r="Q959" s="2"/>
      <c r="R959" s="2"/>
      <c r="S959" s="2"/>
      <c r="T959" s="3"/>
      <c r="U959" s="1"/>
      <c r="V959" s="1"/>
      <c r="W959" s="1"/>
      <c r="X959" s="1"/>
      <c r="Y959" s="1"/>
      <c r="Z959" s="1"/>
      <c r="AA959" s="1"/>
      <c r="AB959" s="1"/>
    </row>
    <row r="960" spans="1:28" ht="13.8">
      <c r="A960" s="261"/>
      <c r="B960" s="261"/>
      <c r="C960" s="115"/>
      <c r="D960" s="1"/>
      <c r="E960" s="1"/>
      <c r="F960" s="1"/>
      <c r="G960" s="1"/>
      <c r="H960" s="1"/>
      <c r="I960" s="1"/>
      <c r="J960" s="1"/>
      <c r="K960" s="1"/>
      <c r="L960" s="2"/>
      <c r="M960" s="2"/>
      <c r="N960" s="2"/>
      <c r="O960" s="2"/>
      <c r="P960" s="2"/>
      <c r="Q960" s="2"/>
      <c r="R960" s="2"/>
      <c r="S960" s="2"/>
      <c r="T960" s="3"/>
      <c r="U960" s="1"/>
      <c r="V960" s="1"/>
      <c r="W960" s="1"/>
      <c r="X960" s="1"/>
      <c r="Y960" s="1"/>
      <c r="Z960" s="1"/>
      <c r="AA960" s="1"/>
      <c r="AB960" s="1"/>
    </row>
    <row r="961" spans="1:28" ht="13.8">
      <c r="A961" s="261"/>
      <c r="B961" s="261"/>
      <c r="C961" s="115"/>
      <c r="D961" s="1"/>
      <c r="E961" s="1"/>
      <c r="F961" s="1"/>
      <c r="G961" s="1"/>
      <c r="H961" s="1"/>
      <c r="I961" s="1"/>
      <c r="J961" s="1"/>
      <c r="K961" s="1"/>
      <c r="L961" s="2"/>
      <c r="M961" s="2"/>
      <c r="N961" s="2"/>
      <c r="O961" s="2"/>
      <c r="P961" s="2"/>
      <c r="Q961" s="2"/>
      <c r="R961" s="2"/>
      <c r="S961" s="2"/>
      <c r="T961" s="3"/>
      <c r="U961" s="1"/>
      <c r="V961" s="1"/>
      <c r="W961" s="1"/>
      <c r="X961" s="1"/>
      <c r="Y961" s="1"/>
      <c r="Z961" s="1"/>
      <c r="AA961" s="1"/>
      <c r="AB961" s="1"/>
    </row>
    <row r="962" spans="1:28" ht="13.8">
      <c r="A962" s="261"/>
      <c r="B962" s="261"/>
      <c r="C962" s="115"/>
      <c r="D962" s="1"/>
      <c r="E962" s="1"/>
      <c r="F962" s="1"/>
      <c r="G962" s="1"/>
      <c r="H962" s="1"/>
      <c r="I962" s="1"/>
      <c r="J962" s="1"/>
      <c r="K962" s="1"/>
      <c r="L962" s="2"/>
      <c r="M962" s="2"/>
      <c r="N962" s="2"/>
      <c r="O962" s="2"/>
      <c r="P962" s="2"/>
      <c r="Q962" s="2"/>
      <c r="R962" s="2"/>
      <c r="S962" s="2"/>
      <c r="T962" s="3"/>
      <c r="U962" s="1"/>
      <c r="V962" s="1"/>
      <c r="W962" s="1"/>
      <c r="X962" s="1"/>
      <c r="Y962" s="1"/>
      <c r="Z962" s="1"/>
      <c r="AA962" s="1"/>
      <c r="AB962" s="1"/>
    </row>
    <row r="963" spans="1:28" ht="13.8">
      <c r="A963" s="261"/>
      <c r="B963" s="261"/>
      <c r="C963" s="115"/>
      <c r="D963" s="1"/>
      <c r="E963" s="1"/>
      <c r="F963" s="1"/>
      <c r="G963" s="1"/>
      <c r="H963" s="1"/>
      <c r="I963" s="1"/>
      <c r="J963" s="1"/>
      <c r="K963" s="1"/>
      <c r="L963" s="2"/>
      <c r="M963" s="2"/>
      <c r="N963" s="2"/>
      <c r="O963" s="2"/>
      <c r="P963" s="2"/>
      <c r="Q963" s="2"/>
      <c r="R963" s="2"/>
      <c r="S963" s="2"/>
      <c r="T963" s="3"/>
      <c r="U963" s="1"/>
      <c r="V963" s="1"/>
      <c r="W963" s="1"/>
      <c r="X963" s="1"/>
      <c r="Y963" s="1"/>
      <c r="Z963" s="1"/>
      <c r="AA963" s="1"/>
      <c r="AB963" s="1"/>
    </row>
    <row r="964" spans="1:28" ht="13.8">
      <c r="A964" s="261"/>
      <c r="B964" s="261"/>
      <c r="C964" s="115"/>
      <c r="D964" s="1"/>
      <c r="E964" s="1"/>
      <c r="F964" s="1"/>
      <c r="G964" s="1"/>
      <c r="H964" s="1"/>
      <c r="I964" s="1"/>
      <c r="J964" s="1"/>
      <c r="K964" s="1"/>
      <c r="L964" s="2"/>
      <c r="M964" s="2"/>
      <c r="N964" s="2"/>
      <c r="O964" s="2"/>
      <c r="P964" s="2"/>
      <c r="Q964" s="2"/>
      <c r="R964" s="2"/>
      <c r="S964" s="2"/>
      <c r="T964" s="3"/>
      <c r="U964" s="1"/>
      <c r="V964" s="1"/>
      <c r="W964" s="1"/>
      <c r="X964" s="1"/>
      <c r="Y964" s="1"/>
      <c r="Z964" s="1"/>
      <c r="AA964" s="1"/>
      <c r="AB964" s="1"/>
    </row>
    <row r="965" spans="1:28" ht="13.8">
      <c r="A965" s="261"/>
      <c r="B965" s="261"/>
      <c r="C965" s="115"/>
      <c r="D965" s="1"/>
      <c r="E965" s="1"/>
      <c r="F965" s="1"/>
      <c r="G965" s="1"/>
      <c r="H965" s="1"/>
      <c r="I965" s="1"/>
      <c r="J965" s="1"/>
      <c r="K965" s="1"/>
      <c r="L965" s="2"/>
      <c r="M965" s="2"/>
      <c r="N965" s="2"/>
      <c r="O965" s="2"/>
      <c r="P965" s="2"/>
      <c r="Q965" s="2"/>
      <c r="R965" s="2"/>
      <c r="S965" s="2"/>
      <c r="T965" s="3"/>
      <c r="U965" s="1"/>
      <c r="V965" s="1"/>
      <c r="W965" s="1"/>
      <c r="X965" s="1"/>
      <c r="Y965" s="1"/>
      <c r="Z965" s="1"/>
      <c r="AA965" s="1"/>
      <c r="AB965" s="1"/>
    </row>
    <row r="966" spans="1:28" ht="13.8">
      <c r="A966" s="261"/>
      <c r="B966" s="261"/>
      <c r="C966" s="115"/>
      <c r="D966" s="1"/>
      <c r="E966" s="1"/>
      <c r="F966" s="1"/>
      <c r="G966" s="1"/>
      <c r="H966" s="1"/>
      <c r="I966" s="1"/>
      <c r="J966" s="1"/>
      <c r="K966" s="1"/>
      <c r="L966" s="2"/>
      <c r="M966" s="2"/>
      <c r="N966" s="2"/>
      <c r="O966" s="2"/>
      <c r="P966" s="2"/>
      <c r="Q966" s="2"/>
      <c r="R966" s="2"/>
      <c r="S966" s="2"/>
      <c r="T966" s="3"/>
      <c r="U966" s="1"/>
      <c r="V966" s="1"/>
      <c r="W966" s="1"/>
      <c r="X966" s="1"/>
      <c r="Y966" s="1"/>
      <c r="Z966" s="1"/>
      <c r="AA966" s="1"/>
      <c r="AB966" s="1"/>
    </row>
    <row r="967" spans="1:28" ht="13.8">
      <c r="A967" s="261"/>
      <c r="B967" s="261"/>
      <c r="C967" s="115"/>
      <c r="D967" s="1"/>
      <c r="E967" s="1"/>
      <c r="F967" s="1"/>
      <c r="G967" s="1"/>
      <c r="H967" s="1"/>
      <c r="I967" s="1"/>
      <c r="J967" s="1"/>
      <c r="K967" s="1"/>
      <c r="L967" s="2"/>
      <c r="M967" s="2"/>
      <c r="N967" s="2"/>
      <c r="O967" s="2"/>
      <c r="P967" s="2"/>
      <c r="Q967" s="2"/>
      <c r="R967" s="2"/>
      <c r="S967" s="2"/>
      <c r="T967" s="3"/>
      <c r="U967" s="1"/>
      <c r="V967" s="1"/>
      <c r="W967" s="1"/>
      <c r="X967" s="1"/>
      <c r="Y967" s="1"/>
      <c r="Z967" s="1"/>
      <c r="AA967" s="1"/>
      <c r="AB967" s="1"/>
    </row>
    <row r="968" spans="1:28" ht="13.8">
      <c r="A968" s="261"/>
      <c r="B968" s="261"/>
      <c r="C968" s="115"/>
      <c r="D968" s="1"/>
      <c r="E968" s="1"/>
      <c r="F968" s="1"/>
      <c r="G968" s="1"/>
      <c r="H968" s="1"/>
      <c r="I968" s="1"/>
      <c r="J968" s="1"/>
      <c r="K968" s="1"/>
      <c r="L968" s="2"/>
      <c r="M968" s="2"/>
      <c r="N968" s="2"/>
      <c r="O968" s="2"/>
      <c r="P968" s="2"/>
      <c r="Q968" s="2"/>
      <c r="R968" s="2"/>
      <c r="S968" s="2"/>
      <c r="T968" s="3"/>
      <c r="U968" s="1"/>
      <c r="V968" s="1"/>
      <c r="W968" s="1"/>
      <c r="X968" s="1"/>
      <c r="Y968" s="1"/>
      <c r="Z968" s="1"/>
      <c r="AA968" s="1"/>
      <c r="AB968" s="1"/>
    </row>
    <row r="969" spans="1:28" ht="13.8">
      <c r="A969" s="261"/>
      <c r="B969" s="261"/>
      <c r="C969" s="115"/>
      <c r="D969" s="1"/>
      <c r="E969" s="1"/>
      <c r="F969" s="1"/>
      <c r="G969" s="1"/>
      <c r="H969" s="1"/>
      <c r="I969" s="1"/>
      <c r="J969" s="1"/>
      <c r="K969" s="1"/>
      <c r="L969" s="2"/>
      <c r="M969" s="2"/>
      <c r="N969" s="2"/>
      <c r="O969" s="2"/>
      <c r="P969" s="2"/>
      <c r="Q969" s="2"/>
      <c r="R969" s="2"/>
      <c r="S969" s="2"/>
      <c r="T969" s="3"/>
      <c r="U969" s="1"/>
      <c r="V969" s="1"/>
      <c r="W969" s="1"/>
      <c r="X969" s="1"/>
      <c r="Y969" s="1"/>
      <c r="Z969" s="1"/>
      <c r="AA969" s="1"/>
      <c r="AB969" s="1"/>
    </row>
    <row r="970" spans="1:28" ht="13.8">
      <c r="A970" s="261"/>
      <c r="B970" s="261"/>
      <c r="C970" s="115"/>
      <c r="D970" s="1"/>
      <c r="E970" s="1"/>
      <c r="F970" s="1"/>
      <c r="G970" s="1"/>
      <c r="H970" s="1"/>
      <c r="I970" s="1"/>
      <c r="J970" s="1"/>
      <c r="K970" s="1"/>
      <c r="L970" s="2"/>
      <c r="M970" s="2"/>
      <c r="N970" s="2"/>
      <c r="O970" s="2"/>
      <c r="P970" s="2"/>
      <c r="Q970" s="2"/>
      <c r="R970" s="2"/>
      <c r="S970" s="2"/>
      <c r="T970" s="3"/>
      <c r="U970" s="1"/>
      <c r="V970" s="1"/>
      <c r="W970" s="1"/>
      <c r="X970" s="1"/>
      <c r="Y970" s="1"/>
      <c r="Z970" s="1"/>
      <c r="AA970" s="1"/>
      <c r="AB970" s="1"/>
    </row>
    <row r="971" spans="1:28" ht="13.8">
      <c r="A971" s="261"/>
      <c r="B971" s="261"/>
      <c r="C971" s="115"/>
      <c r="D971" s="1"/>
      <c r="E971" s="1"/>
      <c r="F971" s="1"/>
      <c r="G971" s="1"/>
      <c r="H971" s="1"/>
      <c r="I971" s="1"/>
      <c r="J971" s="1"/>
      <c r="K971" s="1"/>
      <c r="L971" s="2"/>
      <c r="M971" s="2"/>
      <c r="N971" s="2"/>
      <c r="O971" s="2"/>
      <c r="P971" s="2"/>
      <c r="Q971" s="2"/>
      <c r="R971" s="2"/>
      <c r="S971" s="2"/>
      <c r="T971" s="3"/>
      <c r="U971" s="1"/>
      <c r="V971" s="1"/>
      <c r="W971" s="1"/>
      <c r="X971" s="1"/>
      <c r="Y971" s="1"/>
      <c r="Z971" s="1"/>
      <c r="AA971" s="1"/>
      <c r="AB971" s="1"/>
    </row>
    <row r="972" spans="1:28" ht="13.8">
      <c r="A972" s="261"/>
      <c r="B972" s="261"/>
      <c r="C972" s="115"/>
      <c r="D972" s="1"/>
      <c r="E972" s="1"/>
      <c r="F972" s="1"/>
      <c r="G972" s="1"/>
      <c r="H972" s="1"/>
      <c r="I972" s="1"/>
      <c r="J972" s="1"/>
      <c r="K972" s="1"/>
      <c r="L972" s="2"/>
      <c r="M972" s="2"/>
      <c r="N972" s="2"/>
      <c r="O972" s="2"/>
      <c r="P972" s="2"/>
      <c r="Q972" s="2"/>
      <c r="R972" s="2"/>
      <c r="S972" s="2"/>
      <c r="T972" s="3"/>
      <c r="U972" s="1"/>
      <c r="V972" s="1"/>
      <c r="W972" s="1"/>
      <c r="X972" s="1"/>
      <c r="Y972" s="1"/>
      <c r="Z972" s="1"/>
      <c r="AA972" s="1"/>
      <c r="AB972" s="1"/>
    </row>
    <row r="973" spans="1:28" ht="13.8">
      <c r="A973" s="261"/>
      <c r="B973" s="261"/>
      <c r="C973" s="115"/>
      <c r="D973" s="1"/>
      <c r="E973" s="1"/>
      <c r="F973" s="1"/>
      <c r="G973" s="1"/>
      <c r="H973" s="1"/>
      <c r="I973" s="1"/>
      <c r="J973" s="1"/>
      <c r="K973" s="1"/>
      <c r="L973" s="2"/>
      <c r="M973" s="2"/>
      <c r="N973" s="2"/>
      <c r="O973" s="2"/>
      <c r="P973" s="2"/>
      <c r="Q973" s="2"/>
      <c r="R973" s="2"/>
      <c r="S973" s="2"/>
      <c r="T973" s="3"/>
      <c r="U973" s="1"/>
      <c r="V973" s="1"/>
      <c r="W973" s="1"/>
      <c r="X973" s="1"/>
      <c r="Y973" s="1"/>
      <c r="Z973" s="1"/>
      <c r="AA973" s="1"/>
      <c r="AB973" s="1"/>
    </row>
    <row r="974" spans="1:28" ht="13.8">
      <c r="A974" s="261"/>
      <c r="B974" s="261"/>
      <c r="C974" s="115"/>
      <c r="D974" s="1"/>
      <c r="E974" s="1"/>
      <c r="F974" s="1"/>
      <c r="G974" s="1"/>
      <c r="H974" s="1"/>
      <c r="I974" s="1"/>
      <c r="J974" s="1"/>
      <c r="K974" s="1"/>
      <c r="L974" s="2"/>
      <c r="M974" s="2"/>
      <c r="N974" s="2"/>
      <c r="O974" s="2"/>
      <c r="P974" s="2"/>
      <c r="Q974" s="2"/>
      <c r="R974" s="2"/>
      <c r="S974" s="2"/>
      <c r="T974" s="3"/>
      <c r="U974" s="1"/>
      <c r="V974" s="1"/>
      <c r="W974" s="1"/>
      <c r="X974" s="1"/>
      <c r="Y974" s="1"/>
      <c r="Z974" s="1"/>
      <c r="AA974" s="1"/>
      <c r="AB974" s="1"/>
    </row>
    <row r="975" spans="1:28" ht="13.8">
      <c r="A975" s="261"/>
      <c r="B975" s="261"/>
      <c r="C975" s="115"/>
      <c r="D975" s="1"/>
      <c r="E975" s="1"/>
      <c r="F975" s="1"/>
      <c r="G975" s="1"/>
      <c r="H975" s="1"/>
      <c r="I975" s="1"/>
      <c r="J975" s="1"/>
      <c r="K975" s="1"/>
      <c r="L975" s="2"/>
      <c r="M975" s="2"/>
      <c r="N975" s="2"/>
      <c r="O975" s="2"/>
      <c r="P975" s="2"/>
      <c r="Q975" s="2"/>
      <c r="R975" s="2"/>
      <c r="S975" s="2"/>
      <c r="T975" s="3"/>
      <c r="U975" s="1"/>
      <c r="V975" s="1"/>
      <c r="W975" s="1"/>
      <c r="X975" s="1"/>
      <c r="Y975" s="1"/>
      <c r="Z975" s="1"/>
      <c r="AA975" s="1"/>
      <c r="AB975" s="1"/>
    </row>
    <row r="976" spans="1:28" ht="13.8">
      <c r="A976" s="261"/>
      <c r="B976" s="261"/>
      <c r="C976" s="115"/>
      <c r="D976" s="1"/>
      <c r="E976" s="1"/>
      <c r="F976" s="1"/>
      <c r="G976" s="1"/>
      <c r="H976" s="1"/>
      <c r="I976" s="1"/>
      <c r="J976" s="1"/>
      <c r="K976" s="1"/>
      <c r="L976" s="2"/>
      <c r="M976" s="2"/>
      <c r="N976" s="2"/>
      <c r="O976" s="2"/>
      <c r="P976" s="2"/>
      <c r="Q976" s="2"/>
      <c r="R976" s="2"/>
      <c r="S976" s="2"/>
      <c r="T976" s="3"/>
      <c r="U976" s="1"/>
      <c r="V976" s="1"/>
      <c r="W976" s="1"/>
      <c r="X976" s="1"/>
      <c r="Y976" s="1"/>
      <c r="Z976" s="1"/>
      <c r="AA976" s="1"/>
      <c r="AB976" s="1"/>
    </row>
    <row r="977" spans="1:28" ht="13.8">
      <c r="A977" s="261"/>
      <c r="B977" s="261"/>
      <c r="C977" s="115"/>
      <c r="D977" s="1"/>
      <c r="E977" s="1"/>
      <c r="F977" s="1"/>
      <c r="G977" s="1"/>
      <c r="H977" s="1"/>
      <c r="I977" s="1"/>
      <c r="J977" s="1"/>
      <c r="K977" s="1"/>
      <c r="L977" s="2"/>
      <c r="M977" s="2"/>
      <c r="N977" s="2"/>
      <c r="O977" s="2"/>
      <c r="P977" s="2"/>
      <c r="Q977" s="2"/>
      <c r="R977" s="2"/>
      <c r="S977" s="2"/>
      <c r="T977" s="3"/>
      <c r="U977" s="1"/>
      <c r="V977" s="1"/>
      <c r="W977" s="1"/>
      <c r="X977" s="1"/>
      <c r="Y977" s="1"/>
      <c r="Z977" s="1"/>
      <c r="AA977" s="1"/>
      <c r="AB977" s="1"/>
    </row>
    <row r="978" spans="1:28" ht="13.8">
      <c r="A978" s="261"/>
      <c r="B978" s="261"/>
      <c r="C978" s="115"/>
      <c r="D978" s="1"/>
      <c r="E978" s="1"/>
      <c r="F978" s="1"/>
      <c r="G978" s="1"/>
      <c r="H978" s="1"/>
      <c r="I978" s="1"/>
      <c r="J978" s="1"/>
      <c r="K978" s="1"/>
      <c r="L978" s="2"/>
      <c r="M978" s="2"/>
      <c r="N978" s="2"/>
      <c r="O978" s="2"/>
      <c r="P978" s="2"/>
      <c r="Q978" s="2"/>
      <c r="R978" s="2"/>
      <c r="S978" s="2"/>
      <c r="T978" s="3"/>
      <c r="U978" s="1"/>
      <c r="V978" s="1"/>
      <c r="W978" s="1"/>
      <c r="X978" s="1"/>
      <c r="Y978" s="1"/>
      <c r="Z978" s="1"/>
      <c r="AA978" s="1"/>
      <c r="AB978" s="1"/>
    </row>
    <row r="979" spans="1:28" ht="13.8">
      <c r="A979" s="261"/>
      <c r="B979" s="261"/>
      <c r="C979" s="115"/>
      <c r="D979" s="1"/>
      <c r="E979" s="1"/>
      <c r="F979" s="1"/>
      <c r="G979" s="1"/>
      <c r="H979" s="1"/>
      <c r="I979" s="1"/>
      <c r="J979" s="1"/>
      <c r="K979" s="1"/>
      <c r="L979" s="2"/>
      <c r="M979" s="2"/>
      <c r="N979" s="2"/>
      <c r="O979" s="2"/>
      <c r="P979" s="2"/>
      <c r="Q979" s="2"/>
      <c r="R979" s="2"/>
      <c r="S979" s="2"/>
      <c r="T979" s="3"/>
      <c r="U979" s="1"/>
      <c r="V979" s="1"/>
      <c r="W979" s="1"/>
      <c r="X979" s="1"/>
      <c r="Y979" s="1"/>
      <c r="Z979" s="1"/>
      <c r="AA979" s="1"/>
      <c r="AB979" s="1"/>
    </row>
    <row r="980" spans="1:28" ht="13.8">
      <c r="A980" s="261"/>
      <c r="B980" s="261"/>
      <c r="C980" s="115"/>
      <c r="D980" s="1"/>
      <c r="E980" s="1"/>
      <c r="F980" s="1"/>
      <c r="G980" s="1"/>
      <c r="H980" s="1"/>
      <c r="I980" s="1"/>
      <c r="J980" s="1"/>
      <c r="K980" s="1"/>
      <c r="L980" s="2"/>
      <c r="M980" s="2"/>
      <c r="N980" s="2"/>
      <c r="O980" s="2"/>
      <c r="P980" s="2"/>
      <c r="Q980" s="2"/>
      <c r="R980" s="2"/>
      <c r="S980" s="2"/>
      <c r="T980" s="3"/>
      <c r="U980" s="1"/>
      <c r="V980" s="1"/>
      <c r="W980" s="1"/>
      <c r="X980" s="1"/>
      <c r="Y980" s="1"/>
      <c r="Z980" s="1"/>
      <c r="AA980" s="1"/>
      <c r="AB980" s="1"/>
    </row>
    <row r="981" spans="1:28" ht="13.8">
      <c r="A981" s="261"/>
      <c r="B981" s="261"/>
      <c r="C981" s="115"/>
      <c r="D981" s="1"/>
      <c r="E981" s="1"/>
      <c r="F981" s="1"/>
      <c r="G981" s="1"/>
      <c r="H981" s="1"/>
      <c r="I981" s="1"/>
      <c r="J981" s="1"/>
      <c r="K981" s="1"/>
      <c r="L981" s="2"/>
      <c r="M981" s="2"/>
      <c r="N981" s="2"/>
      <c r="O981" s="2"/>
      <c r="P981" s="2"/>
      <c r="Q981" s="2"/>
      <c r="R981" s="2"/>
      <c r="S981" s="2"/>
      <c r="T981" s="3"/>
      <c r="U981" s="1"/>
      <c r="V981" s="1"/>
      <c r="W981" s="1"/>
      <c r="X981" s="1"/>
      <c r="Y981" s="1"/>
      <c r="Z981" s="1"/>
      <c r="AA981" s="1"/>
      <c r="AB981" s="1"/>
    </row>
    <row r="982" spans="1:28" ht="13.8">
      <c r="A982" s="261"/>
      <c r="B982" s="261"/>
      <c r="C982" s="115"/>
      <c r="D982" s="1"/>
      <c r="E982" s="1"/>
      <c r="F982" s="1"/>
      <c r="G982" s="1"/>
      <c r="H982" s="1"/>
      <c r="I982" s="1"/>
      <c r="J982" s="1"/>
      <c r="K982" s="1"/>
      <c r="L982" s="2"/>
      <c r="M982" s="2"/>
      <c r="N982" s="2"/>
      <c r="O982" s="2"/>
      <c r="P982" s="2"/>
      <c r="Q982" s="2"/>
      <c r="R982" s="2"/>
      <c r="S982" s="2"/>
      <c r="T982" s="3"/>
      <c r="U982" s="1"/>
      <c r="V982" s="1"/>
      <c r="W982" s="1"/>
      <c r="X982" s="1"/>
      <c r="Y982" s="1"/>
      <c r="Z982" s="1"/>
      <c r="AA982" s="1"/>
      <c r="AB982" s="1"/>
    </row>
    <row r="983" spans="1:28" ht="13.8">
      <c r="A983" s="261"/>
      <c r="B983" s="261"/>
      <c r="C983" s="115"/>
      <c r="D983" s="1"/>
      <c r="E983" s="1"/>
      <c r="F983" s="1"/>
      <c r="G983" s="1"/>
      <c r="H983" s="1"/>
      <c r="I983" s="1"/>
      <c r="J983" s="1"/>
      <c r="K983" s="1"/>
      <c r="L983" s="2"/>
      <c r="M983" s="2"/>
      <c r="N983" s="2"/>
      <c r="O983" s="2"/>
      <c r="P983" s="2"/>
      <c r="Q983" s="2"/>
      <c r="R983" s="2"/>
      <c r="S983" s="2"/>
      <c r="T983" s="3"/>
      <c r="U983" s="1"/>
      <c r="V983" s="1"/>
      <c r="W983" s="1"/>
      <c r="X983" s="1"/>
      <c r="Y983" s="1"/>
      <c r="Z983" s="1"/>
      <c r="AA983" s="1"/>
      <c r="AB983" s="1"/>
    </row>
    <row r="984" spans="1:28" ht="13.8">
      <c r="A984" s="261"/>
      <c r="B984" s="261"/>
      <c r="C984" s="115"/>
      <c r="D984" s="1"/>
      <c r="E984" s="1"/>
      <c r="F984" s="1"/>
      <c r="G984" s="1"/>
      <c r="H984" s="1"/>
      <c r="I984" s="1"/>
      <c r="J984" s="1"/>
      <c r="K984" s="1"/>
      <c r="L984" s="2"/>
      <c r="M984" s="2"/>
      <c r="N984" s="2"/>
      <c r="O984" s="2"/>
      <c r="P984" s="2"/>
      <c r="Q984" s="2"/>
      <c r="R984" s="2"/>
      <c r="S984" s="2"/>
      <c r="T984" s="3"/>
      <c r="U984" s="1"/>
      <c r="V984" s="1"/>
      <c r="W984" s="1"/>
      <c r="X984" s="1"/>
      <c r="Y984" s="1"/>
      <c r="Z984" s="1"/>
      <c r="AA984" s="1"/>
      <c r="AB984" s="1"/>
    </row>
    <row r="985" spans="1:28" ht="13.8">
      <c r="A985" s="261"/>
      <c r="B985" s="261"/>
      <c r="C985" s="115"/>
      <c r="D985" s="1"/>
      <c r="E985" s="1"/>
      <c r="F985" s="1"/>
      <c r="G985" s="1"/>
      <c r="H985" s="1"/>
      <c r="I985" s="1"/>
      <c r="J985" s="1"/>
      <c r="K985" s="1"/>
      <c r="L985" s="2"/>
      <c r="M985" s="2"/>
      <c r="N985" s="2"/>
      <c r="O985" s="2"/>
      <c r="P985" s="2"/>
      <c r="Q985" s="2"/>
      <c r="R985" s="2"/>
      <c r="S985" s="2"/>
      <c r="T985" s="3"/>
      <c r="U985" s="1"/>
      <c r="V985" s="1"/>
      <c r="W985" s="1"/>
      <c r="X985" s="1"/>
      <c r="Y985" s="1"/>
      <c r="Z985" s="1"/>
      <c r="AA985" s="1"/>
      <c r="AB985" s="1"/>
    </row>
    <row r="986" spans="1:28" ht="13.8">
      <c r="A986" s="261"/>
      <c r="B986" s="261"/>
      <c r="C986" s="115"/>
      <c r="D986" s="1"/>
      <c r="E986" s="1"/>
      <c r="F986" s="1"/>
      <c r="G986" s="1"/>
      <c r="H986" s="1"/>
      <c r="I986" s="1"/>
      <c r="J986" s="1"/>
      <c r="K986" s="1"/>
      <c r="L986" s="2"/>
      <c r="M986" s="2"/>
      <c r="N986" s="2"/>
      <c r="O986" s="2"/>
      <c r="P986" s="2"/>
      <c r="Q986" s="2"/>
      <c r="R986" s="2"/>
      <c r="S986" s="2"/>
      <c r="T986" s="3"/>
      <c r="U986" s="1"/>
      <c r="V986" s="1"/>
      <c r="W986" s="1"/>
      <c r="X986" s="1"/>
      <c r="Y986" s="1"/>
      <c r="Z986" s="1"/>
      <c r="AA986" s="1"/>
      <c r="AB986" s="1"/>
    </row>
    <row r="987" spans="1:28" ht="13.8">
      <c r="A987" s="261"/>
      <c r="B987" s="261"/>
      <c r="C987" s="115"/>
      <c r="D987" s="1"/>
      <c r="E987" s="1"/>
      <c r="F987" s="1"/>
      <c r="G987" s="1"/>
      <c r="H987" s="1"/>
      <c r="I987" s="1"/>
      <c r="J987" s="1"/>
      <c r="K987" s="1"/>
      <c r="L987" s="2"/>
      <c r="M987" s="2"/>
      <c r="N987" s="2"/>
      <c r="O987" s="2"/>
      <c r="P987" s="2"/>
      <c r="Q987" s="2"/>
      <c r="R987" s="2"/>
      <c r="S987" s="2"/>
      <c r="T987" s="3"/>
      <c r="U987" s="1"/>
      <c r="V987" s="1"/>
      <c r="W987" s="1"/>
      <c r="X987" s="1"/>
      <c r="Y987" s="1"/>
      <c r="Z987" s="1"/>
      <c r="AA987" s="1"/>
      <c r="AB987" s="1"/>
    </row>
    <row r="988" spans="1:28" ht="13.8">
      <c r="A988" s="260"/>
      <c r="B988" s="260"/>
      <c r="C988" s="38"/>
      <c r="D988" s="4"/>
      <c r="E988" s="4"/>
      <c r="F988" s="4"/>
      <c r="G988" s="4"/>
      <c r="H988" s="4"/>
      <c r="I988" s="4"/>
      <c r="J988" s="4"/>
      <c r="K988" s="4"/>
      <c r="L988" s="5"/>
      <c r="M988" s="5"/>
      <c r="N988" s="5"/>
      <c r="O988" s="5"/>
      <c r="P988" s="5"/>
      <c r="Q988" s="5"/>
      <c r="R988" s="5"/>
      <c r="S988" s="5"/>
      <c r="T988" s="6"/>
      <c r="U988" s="1"/>
      <c r="V988" s="1"/>
      <c r="W988" s="1"/>
      <c r="X988" s="1"/>
      <c r="Y988" s="1"/>
      <c r="Z988" s="1"/>
      <c r="AA988" s="1"/>
      <c r="AB988" s="1"/>
    </row>
    <row r="989" spans="1:28" ht="13.8">
      <c r="A989" s="261"/>
      <c r="B989" s="261"/>
      <c r="C989" s="115"/>
      <c r="D989" s="1"/>
      <c r="E989" s="1"/>
      <c r="F989" s="1"/>
      <c r="G989" s="1"/>
      <c r="H989" s="1"/>
      <c r="I989" s="1"/>
      <c r="J989" s="1"/>
      <c r="K989" s="1"/>
      <c r="L989" s="2"/>
      <c r="M989" s="2"/>
      <c r="N989" s="2"/>
      <c r="O989" s="2"/>
      <c r="P989" s="2"/>
      <c r="Q989" s="2"/>
      <c r="R989" s="2"/>
      <c r="S989" s="2"/>
      <c r="T989" s="3"/>
      <c r="U989" s="1"/>
      <c r="V989" s="1"/>
      <c r="W989" s="1"/>
      <c r="X989" s="1"/>
      <c r="Y989" s="1"/>
      <c r="Z989" s="1"/>
      <c r="AA989" s="1"/>
      <c r="AB989" s="1"/>
    </row>
    <row r="990" spans="1:28" ht="13.8">
      <c r="A990" s="261"/>
      <c r="B990" s="261"/>
      <c r="C990" s="115"/>
      <c r="D990" s="1"/>
      <c r="E990" s="1"/>
      <c r="F990" s="1"/>
      <c r="G990" s="1"/>
      <c r="H990" s="1"/>
      <c r="I990" s="1"/>
      <c r="J990" s="1"/>
      <c r="K990" s="1"/>
      <c r="L990" s="2"/>
      <c r="M990" s="2"/>
      <c r="N990" s="2"/>
      <c r="O990" s="2"/>
      <c r="P990" s="2"/>
      <c r="Q990" s="2"/>
      <c r="R990" s="2"/>
      <c r="S990" s="2"/>
      <c r="T990" s="3"/>
      <c r="U990" s="1"/>
      <c r="V990" s="1"/>
      <c r="W990" s="1"/>
      <c r="X990" s="1"/>
      <c r="Y990" s="1"/>
      <c r="Z990" s="1"/>
      <c r="AA990" s="1"/>
      <c r="AB990" s="1"/>
    </row>
    <row r="991" spans="1:28" ht="13.8">
      <c r="A991" s="261"/>
      <c r="B991" s="261"/>
      <c r="C991" s="115"/>
      <c r="D991" s="1"/>
      <c r="E991" s="1"/>
      <c r="F991" s="1"/>
      <c r="G991" s="1"/>
      <c r="H991" s="1"/>
      <c r="I991" s="1"/>
      <c r="J991" s="1"/>
      <c r="K991" s="1"/>
      <c r="L991" s="2"/>
      <c r="M991" s="2"/>
      <c r="N991" s="2"/>
      <c r="O991" s="2"/>
      <c r="P991" s="2"/>
      <c r="Q991" s="2"/>
      <c r="R991" s="2"/>
      <c r="S991" s="2"/>
      <c r="T991" s="3"/>
      <c r="U991" s="1"/>
      <c r="V991" s="1"/>
      <c r="W991" s="1"/>
      <c r="X991" s="1"/>
      <c r="Y991" s="1"/>
      <c r="Z991" s="1"/>
      <c r="AA991" s="1"/>
      <c r="AB991" s="1"/>
    </row>
    <row r="992" spans="1:28" ht="13.8">
      <c r="A992" s="261"/>
      <c r="B992" s="261"/>
      <c r="C992" s="115"/>
      <c r="D992" s="1"/>
      <c r="E992" s="1"/>
      <c r="F992" s="1"/>
      <c r="G992" s="1"/>
      <c r="H992" s="1"/>
      <c r="I992" s="1"/>
      <c r="J992" s="1"/>
      <c r="K992" s="1"/>
      <c r="L992" s="2"/>
      <c r="M992" s="2"/>
      <c r="N992" s="2"/>
      <c r="O992" s="2"/>
      <c r="P992" s="2"/>
      <c r="Q992" s="2"/>
      <c r="R992" s="2"/>
      <c r="S992" s="2"/>
      <c r="T992" s="3"/>
      <c r="U992" s="1"/>
      <c r="V992" s="1"/>
      <c r="W992" s="1"/>
      <c r="X992" s="1"/>
      <c r="Y992" s="1"/>
      <c r="Z992" s="1"/>
      <c r="AA992" s="1"/>
      <c r="AB992" s="1"/>
    </row>
    <row r="993" spans="1:28" ht="13.8">
      <c r="A993" s="261"/>
      <c r="B993" s="261"/>
      <c r="C993" s="115"/>
      <c r="D993" s="1"/>
      <c r="E993" s="1"/>
      <c r="F993" s="1"/>
      <c r="G993" s="1"/>
      <c r="H993" s="1"/>
      <c r="I993" s="1"/>
      <c r="J993" s="1"/>
      <c r="K993" s="1"/>
      <c r="L993" s="2"/>
      <c r="M993" s="2"/>
      <c r="N993" s="2"/>
      <c r="O993" s="2"/>
      <c r="P993" s="2"/>
      <c r="Q993" s="2"/>
      <c r="R993" s="2"/>
      <c r="S993" s="2"/>
      <c r="T993" s="3"/>
      <c r="U993" s="1"/>
      <c r="V993" s="1"/>
      <c r="W993" s="1"/>
      <c r="X993" s="1"/>
      <c r="Y993" s="1"/>
      <c r="Z993" s="1"/>
      <c r="AA993" s="1"/>
      <c r="AB993" s="1"/>
    </row>
    <row r="994" spans="1:28" ht="13.8">
      <c r="A994" s="261"/>
      <c r="B994" s="261"/>
      <c r="C994" s="115"/>
      <c r="D994" s="1"/>
      <c r="E994" s="1"/>
      <c r="F994" s="1"/>
      <c r="G994" s="1"/>
      <c r="H994" s="1"/>
      <c r="I994" s="1"/>
      <c r="J994" s="1"/>
      <c r="K994" s="1"/>
      <c r="L994" s="2"/>
      <c r="M994" s="2"/>
      <c r="N994" s="2"/>
      <c r="O994" s="2"/>
      <c r="P994" s="2"/>
      <c r="Q994" s="2"/>
      <c r="R994" s="2"/>
      <c r="S994" s="2"/>
      <c r="T994" s="3"/>
      <c r="U994" s="1"/>
      <c r="V994" s="1"/>
      <c r="W994" s="1"/>
      <c r="X994" s="1"/>
      <c r="Y994" s="1"/>
      <c r="Z994" s="1"/>
      <c r="AA994" s="1"/>
      <c r="AB994" s="1"/>
    </row>
    <row r="995" spans="1:28" ht="13.8">
      <c r="A995" s="261"/>
      <c r="B995" s="261"/>
      <c r="C995" s="115"/>
      <c r="D995" s="1"/>
      <c r="E995" s="1"/>
      <c r="F995" s="1"/>
      <c r="G995" s="1"/>
      <c r="H995" s="1"/>
      <c r="I995" s="1"/>
      <c r="J995" s="1"/>
      <c r="K995" s="1"/>
      <c r="L995" s="2"/>
      <c r="M995" s="2"/>
      <c r="N995" s="2"/>
      <c r="O995" s="2"/>
      <c r="P995" s="2"/>
      <c r="Q995" s="2"/>
      <c r="R995" s="2"/>
      <c r="S995" s="2"/>
      <c r="T995" s="3"/>
      <c r="U995" s="1"/>
      <c r="V995" s="1"/>
      <c r="W995" s="1"/>
      <c r="X995" s="1"/>
      <c r="Y995" s="1"/>
      <c r="Z995" s="1"/>
      <c r="AA995" s="1"/>
      <c r="AB995" s="1"/>
    </row>
    <row r="996" spans="1:28" ht="13.8">
      <c r="A996" s="261"/>
      <c r="B996" s="261"/>
      <c r="C996" s="115"/>
      <c r="D996" s="1"/>
      <c r="E996" s="1"/>
      <c r="F996" s="1"/>
      <c r="G996" s="1"/>
      <c r="H996" s="1"/>
      <c r="I996" s="1"/>
      <c r="J996" s="1"/>
      <c r="K996" s="1"/>
      <c r="L996" s="2"/>
      <c r="M996" s="2"/>
      <c r="N996" s="2"/>
      <c r="O996" s="2"/>
      <c r="P996" s="2"/>
      <c r="Q996" s="2"/>
      <c r="R996" s="2"/>
      <c r="S996" s="2"/>
      <c r="T996" s="3"/>
      <c r="U996" s="1"/>
      <c r="V996" s="1"/>
      <c r="W996" s="1"/>
      <c r="X996" s="1"/>
      <c r="Y996" s="1"/>
      <c r="Z996" s="1"/>
      <c r="AA996" s="1"/>
      <c r="AB996" s="1"/>
    </row>
    <row r="997" spans="1:28" ht="13.8">
      <c r="A997" s="261"/>
      <c r="B997" s="261"/>
      <c r="C997" s="115"/>
      <c r="D997" s="1"/>
      <c r="E997" s="1"/>
      <c r="F997" s="1"/>
      <c r="G997" s="1"/>
      <c r="H997" s="1"/>
      <c r="I997" s="1"/>
      <c r="J997" s="1"/>
      <c r="K997" s="1"/>
      <c r="L997" s="2"/>
      <c r="M997" s="2"/>
      <c r="N997" s="2"/>
      <c r="O997" s="2"/>
      <c r="P997" s="2"/>
      <c r="Q997" s="2"/>
      <c r="R997" s="2"/>
      <c r="S997" s="2"/>
      <c r="T997" s="3"/>
      <c r="U997" s="1"/>
      <c r="V997" s="1"/>
      <c r="W997" s="1"/>
      <c r="X997" s="1"/>
      <c r="Y997" s="1"/>
      <c r="Z997" s="1"/>
      <c r="AA997" s="1"/>
      <c r="AB997" s="1"/>
    </row>
    <row r="998" spans="1:28" ht="13.8">
      <c r="A998" s="261"/>
      <c r="B998" s="261"/>
      <c r="C998" s="115"/>
      <c r="D998" s="1"/>
      <c r="E998" s="1"/>
      <c r="F998" s="1"/>
      <c r="G998" s="1"/>
      <c r="H998" s="1"/>
      <c r="I998" s="1"/>
      <c r="J998" s="1"/>
      <c r="K998" s="1"/>
      <c r="L998" s="2"/>
      <c r="M998" s="2"/>
      <c r="N998" s="2"/>
      <c r="O998" s="2"/>
      <c r="P998" s="2"/>
      <c r="Q998" s="2"/>
      <c r="R998" s="2"/>
      <c r="S998" s="2"/>
      <c r="T998" s="3"/>
      <c r="U998" s="1"/>
      <c r="V998" s="1"/>
      <c r="W998" s="1"/>
      <c r="X998" s="1"/>
      <c r="Y998" s="1"/>
      <c r="Z998" s="1"/>
      <c r="AA998" s="1"/>
      <c r="AB998" s="1"/>
    </row>
    <row r="999" spans="1:28" ht="13.8">
      <c r="A999" s="261"/>
      <c r="B999" s="261"/>
      <c r="C999" s="115"/>
      <c r="D999" s="1"/>
      <c r="E999" s="1"/>
      <c r="F999" s="1"/>
      <c r="G999" s="1"/>
      <c r="H999" s="1"/>
      <c r="I999" s="1"/>
      <c r="J999" s="1"/>
      <c r="K999" s="1"/>
      <c r="L999" s="2"/>
      <c r="M999" s="2"/>
      <c r="N999" s="2"/>
      <c r="O999" s="2"/>
      <c r="P999" s="2"/>
      <c r="Q999" s="2"/>
      <c r="R999" s="2"/>
      <c r="S999" s="2"/>
      <c r="T999" s="3"/>
      <c r="U999" s="1"/>
      <c r="V999" s="1"/>
      <c r="W999" s="1"/>
      <c r="X999" s="1"/>
      <c r="Y999" s="1"/>
      <c r="Z999" s="1"/>
      <c r="AA999" s="1"/>
      <c r="AB999" s="1"/>
    </row>
    <row r="1000" spans="1:28" ht="13.8">
      <c r="A1000" s="261"/>
      <c r="B1000" s="261"/>
      <c r="C1000" s="115"/>
      <c r="D1000" s="1"/>
      <c r="E1000" s="1"/>
      <c r="F1000" s="1"/>
      <c r="G1000" s="1"/>
      <c r="H1000" s="1"/>
      <c r="I1000" s="1"/>
      <c r="J1000" s="1"/>
      <c r="K1000" s="1"/>
      <c r="L1000" s="2"/>
      <c r="M1000" s="2"/>
      <c r="N1000" s="2"/>
      <c r="O1000" s="2"/>
      <c r="P1000" s="2"/>
      <c r="Q1000" s="2"/>
      <c r="R1000" s="2"/>
      <c r="S1000" s="2"/>
      <c r="T1000" s="3"/>
      <c r="U1000" s="1"/>
      <c r="V1000" s="1"/>
      <c r="W1000" s="1"/>
      <c r="X1000" s="1"/>
      <c r="Y1000" s="1"/>
      <c r="Z1000" s="1"/>
      <c r="AA1000" s="1"/>
      <c r="AB1000" s="1"/>
    </row>
    <row r="1001" spans="1:28" ht="13.8">
      <c r="A1001" s="261"/>
      <c r="B1001" s="261"/>
      <c r="C1001" s="115"/>
      <c r="D1001" s="1"/>
      <c r="E1001" s="1"/>
      <c r="F1001" s="1"/>
      <c r="G1001" s="1"/>
      <c r="H1001" s="1"/>
      <c r="I1001" s="1"/>
      <c r="J1001" s="1"/>
      <c r="K1001" s="1"/>
      <c r="L1001" s="2"/>
      <c r="M1001" s="2"/>
      <c r="N1001" s="2"/>
      <c r="O1001" s="2"/>
      <c r="P1001" s="2"/>
      <c r="Q1001" s="2"/>
      <c r="R1001" s="2"/>
      <c r="S1001" s="2"/>
      <c r="T1001" s="3"/>
      <c r="U1001" s="1"/>
      <c r="V1001" s="1"/>
      <c r="W1001" s="1"/>
      <c r="X1001" s="1"/>
      <c r="Y1001" s="1"/>
      <c r="Z1001" s="1"/>
      <c r="AA1001" s="1"/>
      <c r="AB1001" s="1"/>
    </row>
    <row r="1002" spans="1:28" ht="13.8">
      <c r="A1002" s="261"/>
      <c r="B1002" s="261"/>
      <c r="C1002" s="115"/>
      <c r="D1002" s="1"/>
      <c r="E1002" s="1"/>
      <c r="F1002" s="1"/>
      <c r="G1002" s="1"/>
      <c r="H1002" s="1"/>
      <c r="I1002" s="1"/>
      <c r="J1002" s="1"/>
      <c r="K1002" s="1"/>
      <c r="L1002" s="2"/>
      <c r="M1002" s="2"/>
      <c r="N1002" s="2"/>
      <c r="O1002" s="2"/>
      <c r="P1002" s="2"/>
      <c r="Q1002" s="2"/>
      <c r="R1002" s="2"/>
      <c r="S1002" s="2"/>
      <c r="T1002" s="3"/>
      <c r="U1002" s="1"/>
      <c r="V1002" s="1"/>
      <c r="W1002" s="1"/>
      <c r="X1002" s="1"/>
      <c r="Y1002" s="1"/>
      <c r="Z1002" s="1"/>
      <c r="AA1002" s="1"/>
      <c r="AB1002" s="1"/>
    </row>
    <row r="1003" spans="1:28" ht="13.8">
      <c r="A1003" s="261"/>
      <c r="B1003" s="261"/>
      <c r="C1003" s="115"/>
      <c r="D1003" s="1"/>
      <c r="E1003" s="1"/>
      <c r="F1003" s="1"/>
      <c r="G1003" s="1"/>
      <c r="H1003" s="1"/>
      <c r="I1003" s="1"/>
      <c r="J1003" s="1"/>
      <c r="K1003" s="1"/>
      <c r="L1003" s="2"/>
      <c r="M1003" s="2"/>
      <c r="N1003" s="2"/>
      <c r="O1003" s="2"/>
      <c r="P1003" s="2"/>
      <c r="Q1003" s="2"/>
      <c r="R1003" s="2"/>
      <c r="S1003" s="2"/>
      <c r="T1003" s="3"/>
      <c r="U1003" s="1"/>
      <c r="V1003" s="1"/>
      <c r="W1003" s="1"/>
      <c r="X1003" s="1"/>
      <c r="Y1003" s="1"/>
      <c r="Z1003" s="1"/>
      <c r="AA1003" s="1"/>
      <c r="AB1003" s="1"/>
    </row>
    <row r="1004" spans="1:28" ht="13.8">
      <c r="A1004" s="261"/>
      <c r="B1004" s="261"/>
      <c r="C1004" s="115"/>
      <c r="D1004" s="1"/>
      <c r="E1004" s="1"/>
      <c r="F1004" s="1"/>
      <c r="G1004" s="1"/>
      <c r="H1004" s="1"/>
      <c r="I1004" s="1"/>
      <c r="J1004" s="1"/>
      <c r="K1004" s="1"/>
      <c r="L1004" s="2"/>
      <c r="M1004" s="2"/>
      <c r="N1004" s="2"/>
      <c r="O1004" s="2"/>
      <c r="P1004" s="2"/>
      <c r="Q1004" s="2"/>
      <c r="R1004" s="2"/>
      <c r="S1004" s="2"/>
      <c r="T1004" s="3"/>
      <c r="U1004" s="1"/>
      <c r="V1004" s="1"/>
      <c r="W1004" s="1"/>
      <c r="X1004" s="1"/>
      <c r="Y1004" s="1"/>
      <c r="Z1004" s="1"/>
      <c r="AA1004" s="1"/>
      <c r="AB1004" s="1"/>
    </row>
    <row r="1005" spans="1:28" ht="13.8">
      <c r="A1005" s="261"/>
      <c r="B1005" s="261"/>
      <c r="C1005" s="115"/>
      <c r="D1005" s="1"/>
      <c r="E1005" s="1"/>
      <c r="F1005" s="1"/>
      <c r="G1005" s="1"/>
      <c r="H1005" s="1"/>
      <c r="I1005" s="1"/>
      <c r="J1005" s="1"/>
      <c r="K1005" s="1"/>
      <c r="L1005" s="2"/>
      <c r="M1005" s="2"/>
      <c r="N1005" s="2"/>
      <c r="O1005" s="2"/>
      <c r="P1005" s="2"/>
      <c r="Q1005" s="2"/>
      <c r="R1005" s="2"/>
      <c r="S1005" s="2"/>
      <c r="T1005" s="3"/>
      <c r="U1005" s="1"/>
      <c r="V1005" s="1"/>
      <c r="W1005" s="1"/>
      <c r="X1005" s="1"/>
      <c r="Y1005" s="1"/>
      <c r="Z1005" s="1"/>
      <c r="AA1005" s="1"/>
      <c r="AB1005" s="1"/>
    </row>
    <row r="1006" spans="1:28" ht="13.8">
      <c r="A1006" s="261"/>
      <c r="B1006" s="261"/>
      <c r="C1006" s="115"/>
      <c r="D1006" s="1"/>
      <c r="E1006" s="1"/>
      <c r="F1006" s="1"/>
      <c r="G1006" s="1"/>
      <c r="H1006" s="1"/>
      <c r="I1006" s="1"/>
      <c r="J1006" s="1"/>
      <c r="K1006" s="1"/>
      <c r="L1006" s="2"/>
      <c r="M1006" s="2"/>
      <c r="N1006" s="2"/>
      <c r="O1006" s="2"/>
      <c r="P1006" s="2"/>
      <c r="Q1006" s="2"/>
      <c r="R1006" s="2"/>
      <c r="S1006" s="2"/>
      <c r="T1006" s="3"/>
      <c r="U1006" s="1"/>
      <c r="V1006" s="1"/>
      <c r="W1006" s="1"/>
      <c r="X1006" s="1"/>
      <c r="Y1006" s="1"/>
      <c r="Z1006" s="1"/>
      <c r="AA1006" s="1"/>
      <c r="AB1006" s="1"/>
    </row>
    <row r="1007" spans="1:28" ht="13.8">
      <c r="A1007" s="261"/>
      <c r="B1007" s="261"/>
      <c r="C1007" s="115"/>
      <c r="D1007" s="1"/>
      <c r="E1007" s="1"/>
      <c r="F1007" s="1"/>
      <c r="G1007" s="1"/>
      <c r="H1007" s="1"/>
      <c r="I1007" s="1"/>
      <c r="J1007" s="1"/>
      <c r="K1007" s="1"/>
      <c r="L1007" s="2"/>
      <c r="M1007" s="2"/>
      <c r="N1007" s="2"/>
      <c r="O1007" s="2"/>
      <c r="P1007" s="2"/>
      <c r="Q1007" s="2"/>
      <c r="R1007" s="2"/>
      <c r="S1007" s="2"/>
      <c r="T1007" s="3"/>
      <c r="U1007" s="1"/>
      <c r="V1007" s="1"/>
      <c r="W1007" s="1"/>
      <c r="X1007" s="1"/>
      <c r="Y1007" s="1"/>
      <c r="Z1007" s="1"/>
      <c r="AA1007" s="1"/>
      <c r="AB1007" s="1"/>
    </row>
    <row r="1008" spans="1:28" ht="13.8">
      <c r="A1008" s="261"/>
      <c r="B1008" s="261"/>
      <c r="C1008" s="115"/>
      <c r="D1008" s="1"/>
      <c r="E1008" s="1"/>
      <c r="F1008" s="1"/>
      <c r="G1008" s="1"/>
      <c r="H1008" s="1"/>
      <c r="I1008" s="1"/>
      <c r="J1008" s="1"/>
      <c r="K1008" s="1"/>
      <c r="L1008" s="2"/>
      <c r="M1008" s="2"/>
      <c r="N1008" s="2"/>
      <c r="O1008" s="2"/>
      <c r="P1008" s="2"/>
      <c r="Q1008" s="2"/>
      <c r="R1008" s="2"/>
      <c r="S1008" s="2"/>
      <c r="T1008" s="3"/>
      <c r="U1008" s="1"/>
      <c r="V1008" s="1"/>
      <c r="W1008" s="1"/>
      <c r="X1008" s="1"/>
      <c r="Y1008" s="1"/>
      <c r="Z1008" s="1"/>
      <c r="AA1008" s="1"/>
      <c r="AB1008" s="1"/>
    </row>
    <row r="1009" spans="1:28" ht="13.8">
      <c r="A1009" s="261"/>
      <c r="B1009" s="261"/>
      <c r="C1009" s="115"/>
      <c r="D1009" s="1"/>
      <c r="E1009" s="1"/>
      <c r="F1009" s="1"/>
      <c r="G1009" s="1"/>
      <c r="H1009" s="1"/>
      <c r="I1009" s="1"/>
      <c r="J1009" s="1"/>
      <c r="K1009" s="1"/>
      <c r="L1009" s="2"/>
      <c r="M1009" s="2"/>
      <c r="N1009" s="2"/>
      <c r="O1009" s="2"/>
      <c r="P1009" s="2"/>
      <c r="Q1009" s="2"/>
      <c r="R1009" s="2"/>
      <c r="S1009" s="2"/>
      <c r="T1009" s="3"/>
      <c r="U1009" s="1"/>
      <c r="V1009" s="1"/>
      <c r="W1009" s="1"/>
      <c r="X1009" s="1"/>
      <c r="Y1009" s="1"/>
      <c r="Z1009" s="1"/>
      <c r="AA1009" s="1"/>
      <c r="AB1009" s="1"/>
    </row>
    <row r="1010" spans="1:28" ht="13.8">
      <c r="A1010" s="261"/>
      <c r="B1010" s="261"/>
      <c r="C1010" s="115"/>
      <c r="D1010" s="1"/>
      <c r="E1010" s="1"/>
      <c r="F1010" s="1"/>
      <c r="G1010" s="1"/>
      <c r="H1010" s="1"/>
      <c r="I1010" s="1"/>
      <c r="J1010" s="1"/>
      <c r="K1010" s="1"/>
      <c r="L1010" s="2"/>
      <c r="M1010" s="2"/>
      <c r="N1010" s="2"/>
      <c r="O1010" s="2"/>
      <c r="P1010" s="2"/>
      <c r="Q1010" s="2"/>
      <c r="R1010" s="2"/>
      <c r="S1010" s="2"/>
      <c r="T1010" s="3"/>
      <c r="U1010" s="1"/>
      <c r="V1010" s="1"/>
      <c r="W1010" s="1"/>
      <c r="X1010" s="1"/>
      <c r="Y1010" s="1"/>
      <c r="Z1010" s="1"/>
      <c r="AA1010" s="1"/>
      <c r="AB1010" s="1"/>
    </row>
    <row r="1011" spans="1:28" ht="13.8">
      <c r="A1011" s="261"/>
      <c r="B1011" s="261"/>
      <c r="C1011" s="115"/>
      <c r="D1011" s="1"/>
      <c r="E1011" s="1"/>
      <c r="F1011" s="1"/>
      <c r="G1011" s="1"/>
      <c r="H1011" s="1"/>
      <c r="I1011" s="1"/>
      <c r="J1011" s="1"/>
      <c r="K1011" s="1"/>
      <c r="L1011" s="2"/>
      <c r="M1011" s="2"/>
      <c r="N1011" s="2"/>
      <c r="O1011" s="2"/>
      <c r="P1011" s="2"/>
      <c r="Q1011" s="2"/>
      <c r="R1011" s="2"/>
      <c r="S1011" s="2"/>
      <c r="T1011" s="3"/>
      <c r="U1011" s="1"/>
      <c r="V1011" s="1"/>
      <c r="W1011" s="1"/>
      <c r="X1011" s="1"/>
      <c r="Y1011" s="1"/>
      <c r="Z1011" s="1"/>
      <c r="AA1011" s="1"/>
      <c r="AB1011" s="1"/>
    </row>
    <row r="1012" spans="1:28" ht="13.8">
      <c r="A1012" s="261"/>
      <c r="B1012" s="261"/>
      <c r="C1012" s="115"/>
      <c r="D1012" s="1"/>
      <c r="E1012" s="1"/>
      <c r="F1012" s="1"/>
      <c r="G1012" s="1"/>
      <c r="H1012" s="1"/>
      <c r="I1012" s="1"/>
      <c r="J1012" s="1"/>
      <c r="K1012" s="1"/>
      <c r="L1012" s="2"/>
      <c r="M1012" s="2"/>
      <c r="N1012" s="2"/>
      <c r="O1012" s="2"/>
      <c r="P1012" s="2"/>
      <c r="Q1012" s="2"/>
      <c r="R1012" s="2"/>
      <c r="S1012" s="2"/>
      <c r="T1012" s="3"/>
      <c r="U1012" s="1"/>
      <c r="V1012" s="1"/>
      <c r="W1012" s="1"/>
      <c r="X1012" s="1"/>
      <c r="Y1012" s="1"/>
      <c r="Z1012" s="1"/>
      <c r="AA1012" s="1"/>
      <c r="AB1012" s="1"/>
    </row>
    <row r="1013" spans="1:28" ht="13.8">
      <c r="A1013" s="261"/>
      <c r="B1013" s="261"/>
      <c r="C1013" s="115"/>
      <c r="D1013" s="1"/>
      <c r="E1013" s="1"/>
      <c r="F1013" s="1"/>
      <c r="G1013" s="1"/>
      <c r="H1013" s="1"/>
      <c r="I1013" s="1"/>
      <c r="J1013" s="1"/>
      <c r="K1013" s="1"/>
      <c r="L1013" s="2"/>
      <c r="M1013" s="2"/>
      <c r="N1013" s="2"/>
      <c r="O1013" s="2"/>
      <c r="P1013" s="2"/>
      <c r="Q1013" s="2"/>
      <c r="R1013" s="2"/>
      <c r="S1013" s="2"/>
      <c r="T1013" s="3"/>
      <c r="U1013" s="1"/>
      <c r="V1013" s="1"/>
      <c r="W1013" s="1"/>
      <c r="X1013" s="1"/>
      <c r="Y1013" s="1"/>
      <c r="Z1013" s="1"/>
      <c r="AA1013" s="1"/>
      <c r="AB1013" s="1"/>
    </row>
    <row r="1014" spans="1:28" ht="13.8">
      <c r="A1014" s="261"/>
      <c r="B1014" s="261"/>
      <c r="C1014" s="115"/>
      <c r="D1014" s="1"/>
      <c r="E1014" s="1"/>
      <c r="F1014" s="1"/>
      <c r="G1014" s="1"/>
      <c r="H1014" s="1"/>
      <c r="I1014" s="1"/>
      <c r="J1014" s="1"/>
      <c r="K1014" s="1"/>
      <c r="L1014" s="2"/>
      <c r="M1014" s="2"/>
      <c r="N1014" s="2"/>
      <c r="O1014" s="2"/>
      <c r="P1014" s="2"/>
      <c r="Q1014" s="2"/>
      <c r="R1014" s="2"/>
      <c r="S1014" s="2"/>
      <c r="T1014" s="3"/>
      <c r="U1014" s="1"/>
      <c r="V1014" s="1"/>
      <c r="W1014" s="1"/>
      <c r="X1014" s="1"/>
      <c r="Y1014" s="1"/>
      <c r="Z1014" s="1"/>
      <c r="AA1014" s="1"/>
      <c r="AB1014" s="1"/>
    </row>
    <row r="1015" spans="1:28" ht="13.8">
      <c r="A1015" s="261"/>
      <c r="B1015" s="261"/>
      <c r="C1015" s="115"/>
      <c r="D1015" s="1"/>
      <c r="E1015" s="1"/>
      <c r="F1015" s="1"/>
      <c r="G1015" s="1"/>
      <c r="H1015" s="1"/>
      <c r="I1015" s="1"/>
      <c r="J1015" s="1"/>
      <c r="K1015" s="1"/>
      <c r="L1015" s="2"/>
      <c r="M1015" s="2"/>
      <c r="N1015" s="2"/>
      <c r="O1015" s="2"/>
      <c r="P1015" s="2"/>
      <c r="Q1015" s="2"/>
      <c r="R1015" s="2"/>
      <c r="S1015" s="2"/>
      <c r="T1015" s="3"/>
      <c r="U1015" s="1"/>
      <c r="V1015" s="1"/>
      <c r="W1015" s="1"/>
      <c r="X1015" s="1"/>
      <c r="Y1015" s="1"/>
      <c r="Z1015" s="1"/>
      <c r="AA1015" s="1"/>
      <c r="AB1015" s="1"/>
    </row>
    <row r="1016" spans="1:28" ht="13.8">
      <c r="A1016" s="261"/>
      <c r="B1016" s="261"/>
      <c r="C1016" s="115"/>
      <c r="D1016" s="1"/>
      <c r="E1016" s="1"/>
      <c r="F1016" s="1"/>
      <c r="G1016" s="1"/>
      <c r="H1016" s="1"/>
      <c r="I1016" s="1"/>
      <c r="J1016" s="1"/>
      <c r="K1016" s="1"/>
      <c r="L1016" s="2"/>
      <c r="M1016" s="2"/>
      <c r="N1016" s="2"/>
      <c r="O1016" s="2"/>
      <c r="P1016" s="2"/>
      <c r="Q1016" s="2"/>
      <c r="R1016" s="2"/>
      <c r="S1016" s="2"/>
      <c r="T1016" s="3"/>
      <c r="U1016" s="1"/>
      <c r="V1016" s="1"/>
      <c r="W1016" s="1"/>
      <c r="X1016" s="1"/>
      <c r="Y1016" s="1"/>
      <c r="Z1016" s="1"/>
      <c r="AA1016" s="1"/>
      <c r="AB1016" s="1"/>
    </row>
    <row r="1017" spans="1:28" ht="13.8">
      <c r="A1017" s="261"/>
      <c r="B1017" s="261"/>
      <c r="C1017" s="115"/>
      <c r="D1017" s="1"/>
      <c r="E1017" s="1"/>
      <c r="F1017" s="1"/>
      <c r="G1017" s="1"/>
      <c r="H1017" s="1"/>
      <c r="I1017" s="1"/>
      <c r="J1017" s="1"/>
      <c r="K1017" s="1"/>
      <c r="L1017" s="2"/>
      <c r="M1017" s="2"/>
      <c r="N1017" s="2"/>
      <c r="O1017" s="2"/>
      <c r="P1017" s="2"/>
      <c r="Q1017" s="2"/>
      <c r="R1017" s="2"/>
      <c r="S1017" s="2"/>
      <c r="T1017" s="3"/>
      <c r="U1017" s="1"/>
      <c r="V1017" s="1"/>
      <c r="W1017" s="1"/>
      <c r="X1017" s="1"/>
      <c r="Y1017" s="1"/>
      <c r="Z1017" s="1"/>
      <c r="AA1017" s="1"/>
      <c r="AB1017" s="1"/>
    </row>
    <row r="1018" spans="1:28" ht="13.8">
      <c r="A1018" s="261"/>
      <c r="B1018" s="261"/>
      <c r="C1018" s="115"/>
      <c r="D1018" s="1"/>
      <c r="E1018" s="1"/>
      <c r="F1018" s="1"/>
      <c r="G1018" s="1"/>
      <c r="H1018" s="1"/>
      <c r="I1018" s="1"/>
      <c r="J1018" s="1"/>
      <c r="K1018" s="1"/>
      <c r="L1018" s="2"/>
      <c r="M1018" s="2"/>
      <c r="N1018" s="2"/>
      <c r="O1018" s="2"/>
      <c r="P1018" s="2"/>
      <c r="Q1018" s="2"/>
      <c r="R1018" s="2"/>
      <c r="S1018" s="2"/>
      <c r="T1018" s="3"/>
      <c r="U1018" s="1"/>
      <c r="V1018" s="1"/>
      <c r="W1018" s="1"/>
      <c r="X1018" s="1"/>
      <c r="Y1018" s="1"/>
      <c r="Z1018" s="1"/>
      <c r="AA1018" s="1"/>
      <c r="AB1018" s="1"/>
    </row>
    <row r="1019" spans="1:28" ht="13.8">
      <c r="A1019" s="261"/>
      <c r="B1019" s="261"/>
      <c r="C1019" s="115"/>
      <c r="D1019" s="1"/>
      <c r="E1019" s="1"/>
      <c r="F1019" s="1"/>
      <c r="G1019" s="1"/>
      <c r="H1019" s="1"/>
      <c r="I1019" s="1"/>
      <c r="J1019" s="1"/>
      <c r="K1019" s="1"/>
      <c r="L1019" s="2"/>
      <c r="M1019" s="2"/>
      <c r="N1019" s="2"/>
      <c r="O1019" s="2"/>
      <c r="P1019" s="2"/>
      <c r="Q1019" s="2"/>
      <c r="R1019" s="2"/>
      <c r="S1019" s="2"/>
      <c r="T1019" s="3"/>
      <c r="U1019" s="1"/>
      <c r="V1019" s="1"/>
      <c r="W1019" s="1"/>
      <c r="X1019" s="1"/>
      <c r="Y1019" s="1"/>
      <c r="Z1019" s="1"/>
      <c r="AA1019" s="1"/>
      <c r="AB1019" s="1"/>
    </row>
    <row r="1020" spans="1:28" ht="13.8">
      <c r="A1020" s="261"/>
      <c r="B1020" s="261"/>
      <c r="C1020" s="115"/>
      <c r="D1020" s="1"/>
      <c r="E1020" s="1"/>
      <c r="F1020" s="1"/>
      <c r="G1020" s="1"/>
      <c r="H1020" s="1"/>
      <c r="I1020" s="1"/>
      <c r="J1020" s="1"/>
      <c r="K1020" s="1"/>
      <c r="L1020" s="2"/>
      <c r="M1020" s="2"/>
      <c r="N1020" s="2"/>
      <c r="O1020" s="2"/>
      <c r="P1020" s="2"/>
      <c r="Q1020" s="2"/>
      <c r="R1020" s="2"/>
      <c r="S1020" s="2"/>
      <c r="T1020" s="3"/>
      <c r="U1020" s="1"/>
      <c r="V1020" s="1"/>
      <c r="W1020" s="1"/>
      <c r="X1020" s="1"/>
      <c r="Y1020" s="1"/>
      <c r="Z1020" s="1"/>
      <c r="AA1020" s="1"/>
      <c r="AB1020" s="1"/>
    </row>
    <row r="1021" spans="1:28" ht="13.8">
      <c r="A1021" s="261"/>
      <c r="B1021" s="261"/>
      <c r="C1021" s="115"/>
      <c r="D1021" s="1"/>
      <c r="E1021" s="1"/>
      <c r="F1021" s="1"/>
      <c r="G1021" s="1"/>
      <c r="H1021" s="1"/>
      <c r="I1021" s="1"/>
      <c r="J1021" s="1"/>
      <c r="K1021" s="1"/>
      <c r="L1021" s="2"/>
      <c r="M1021" s="2"/>
      <c r="N1021" s="2"/>
      <c r="O1021" s="2"/>
      <c r="P1021" s="2"/>
      <c r="Q1021" s="2"/>
      <c r="R1021" s="2"/>
      <c r="S1021" s="2"/>
      <c r="T1021" s="3"/>
      <c r="U1021" s="1"/>
      <c r="V1021" s="1"/>
      <c r="W1021" s="1"/>
      <c r="X1021" s="1"/>
      <c r="Y1021" s="1"/>
      <c r="Z1021" s="1"/>
      <c r="AA1021" s="1"/>
      <c r="AB1021" s="1"/>
    </row>
    <row r="1022" spans="1:28" ht="13.8">
      <c r="A1022" s="261"/>
      <c r="B1022" s="261"/>
      <c r="C1022" s="115"/>
      <c r="D1022" s="1"/>
      <c r="E1022" s="1"/>
      <c r="F1022" s="1"/>
      <c r="G1022" s="1"/>
      <c r="H1022" s="1"/>
      <c r="I1022" s="1"/>
      <c r="J1022" s="1"/>
      <c r="K1022" s="1"/>
      <c r="L1022" s="2"/>
      <c r="M1022" s="2"/>
      <c r="N1022" s="2"/>
      <c r="O1022" s="2"/>
      <c r="P1022" s="2"/>
      <c r="Q1022" s="2"/>
      <c r="R1022" s="2"/>
      <c r="S1022" s="2"/>
      <c r="T1022" s="3"/>
      <c r="U1022" s="1"/>
      <c r="V1022" s="1"/>
      <c r="W1022" s="1"/>
      <c r="X1022" s="1"/>
      <c r="Y1022" s="1"/>
      <c r="Z1022" s="1"/>
      <c r="AA1022" s="1"/>
      <c r="AB1022" s="1"/>
    </row>
    <row r="1023" spans="1:28" ht="13.8">
      <c r="A1023" s="261"/>
      <c r="B1023" s="261"/>
      <c r="C1023" s="115"/>
      <c r="D1023" s="1"/>
      <c r="E1023" s="1"/>
      <c r="F1023" s="1"/>
      <c r="G1023" s="1"/>
      <c r="H1023" s="1"/>
      <c r="I1023" s="1"/>
      <c r="J1023" s="1"/>
      <c r="K1023" s="1"/>
      <c r="L1023" s="2"/>
      <c r="M1023" s="2"/>
      <c r="N1023" s="2"/>
      <c r="O1023" s="2"/>
      <c r="P1023" s="2"/>
      <c r="Q1023" s="2"/>
      <c r="R1023" s="2"/>
      <c r="S1023" s="2"/>
      <c r="T1023" s="3"/>
      <c r="U1023" s="1"/>
      <c r="V1023" s="1"/>
      <c r="W1023" s="1"/>
      <c r="X1023" s="1"/>
      <c r="Y1023" s="1"/>
      <c r="Z1023" s="1"/>
      <c r="AA1023" s="1"/>
      <c r="AB1023" s="1"/>
    </row>
    <row r="1024" spans="1:28" ht="13.8">
      <c r="A1024" s="261"/>
      <c r="B1024" s="261"/>
      <c r="C1024" s="115"/>
      <c r="D1024" s="1"/>
      <c r="E1024" s="1"/>
      <c r="F1024" s="1"/>
      <c r="G1024" s="1"/>
      <c r="H1024" s="1"/>
      <c r="I1024" s="1"/>
      <c r="J1024" s="1"/>
      <c r="K1024" s="1"/>
      <c r="L1024" s="2"/>
      <c r="M1024" s="2"/>
      <c r="N1024" s="2"/>
      <c r="O1024" s="2"/>
      <c r="P1024" s="2"/>
      <c r="Q1024" s="2"/>
      <c r="R1024" s="2"/>
      <c r="S1024" s="2"/>
      <c r="T1024" s="3"/>
      <c r="U1024" s="1"/>
      <c r="V1024" s="1"/>
      <c r="W1024" s="1"/>
      <c r="X1024" s="1"/>
      <c r="Y1024" s="1"/>
      <c r="Z1024" s="1"/>
      <c r="AA1024" s="1"/>
      <c r="AB1024" s="1"/>
    </row>
    <row r="1025" spans="1:28" ht="13.8">
      <c r="A1025" s="260"/>
      <c r="B1025" s="260"/>
      <c r="C1025" s="38"/>
      <c r="D1025" s="4"/>
      <c r="E1025" s="4"/>
      <c r="F1025" s="4"/>
      <c r="G1025" s="4"/>
      <c r="H1025" s="4"/>
      <c r="I1025" s="4"/>
      <c r="J1025" s="4"/>
      <c r="K1025" s="4"/>
      <c r="L1025" s="5"/>
      <c r="M1025" s="5"/>
      <c r="N1025" s="5"/>
      <c r="O1025" s="5"/>
      <c r="P1025" s="5"/>
      <c r="Q1025" s="5"/>
      <c r="R1025" s="5"/>
      <c r="S1025" s="5"/>
      <c r="T1025" s="6"/>
      <c r="U1025" s="1"/>
      <c r="V1025" s="1"/>
      <c r="W1025" s="1"/>
      <c r="X1025" s="1"/>
      <c r="Y1025" s="1"/>
      <c r="Z1025" s="1"/>
      <c r="AA1025" s="1"/>
      <c r="AB1025" s="1"/>
    </row>
    <row r="1026" spans="1:28" ht="13.8">
      <c r="A1026" s="261"/>
      <c r="B1026" s="261"/>
      <c r="C1026" s="115"/>
      <c r="D1026" s="1"/>
      <c r="E1026" s="1"/>
      <c r="F1026" s="1"/>
      <c r="G1026" s="1"/>
      <c r="H1026" s="1"/>
      <c r="I1026" s="1"/>
      <c r="J1026" s="1"/>
      <c r="K1026" s="1"/>
      <c r="L1026" s="2"/>
      <c r="M1026" s="2"/>
      <c r="N1026" s="2"/>
      <c r="O1026" s="2"/>
      <c r="P1026" s="2"/>
      <c r="Q1026" s="2"/>
      <c r="R1026" s="2"/>
      <c r="S1026" s="2"/>
      <c r="T1026" s="3"/>
      <c r="U1026" s="1"/>
      <c r="V1026" s="1"/>
      <c r="W1026" s="1"/>
      <c r="X1026" s="1"/>
      <c r="Y1026" s="1"/>
      <c r="Z1026" s="1"/>
      <c r="AA1026" s="1"/>
      <c r="AB1026" s="1"/>
    </row>
    <row r="1027" spans="1:28" ht="13.8">
      <c r="A1027" s="261"/>
      <c r="B1027" s="261"/>
      <c r="C1027" s="115"/>
      <c r="D1027" s="1"/>
      <c r="E1027" s="1"/>
      <c r="F1027" s="1"/>
      <c r="G1027" s="1"/>
      <c r="H1027" s="1"/>
      <c r="I1027" s="1"/>
      <c r="J1027" s="1"/>
      <c r="K1027" s="1"/>
      <c r="L1027" s="2"/>
      <c r="M1027" s="2"/>
      <c r="N1027" s="2"/>
      <c r="O1027" s="2"/>
      <c r="P1027" s="2"/>
      <c r="Q1027" s="2"/>
      <c r="R1027" s="2"/>
      <c r="S1027" s="2"/>
      <c r="T1027" s="3"/>
      <c r="U1027" s="1"/>
      <c r="V1027" s="1"/>
      <c r="W1027" s="1"/>
      <c r="X1027" s="1"/>
      <c r="Y1027" s="1"/>
      <c r="Z1027" s="1"/>
      <c r="AA1027" s="1"/>
      <c r="AB1027" s="1"/>
    </row>
    <row r="1028" spans="1:28" ht="13.8">
      <c r="A1028" s="261"/>
      <c r="B1028" s="261"/>
      <c r="C1028" s="115"/>
      <c r="D1028" s="1"/>
      <c r="E1028" s="1"/>
      <c r="F1028" s="1"/>
      <c r="G1028" s="1"/>
      <c r="H1028" s="1"/>
      <c r="I1028" s="1"/>
      <c r="J1028" s="1"/>
      <c r="K1028" s="1"/>
      <c r="L1028" s="2"/>
      <c r="M1028" s="2"/>
      <c r="N1028" s="2"/>
      <c r="O1028" s="2"/>
      <c r="P1028" s="2"/>
      <c r="Q1028" s="2"/>
      <c r="R1028" s="2"/>
      <c r="S1028" s="2"/>
      <c r="T1028" s="3"/>
      <c r="U1028" s="1"/>
      <c r="V1028" s="1"/>
      <c r="W1028" s="1"/>
      <c r="X1028" s="1"/>
      <c r="Y1028" s="1"/>
      <c r="Z1028" s="1"/>
      <c r="AA1028" s="1"/>
      <c r="AB1028" s="1"/>
    </row>
    <row r="1029" spans="1:28" ht="13.8">
      <c r="A1029" s="261"/>
      <c r="B1029" s="261"/>
      <c r="C1029" s="115"/>
      <c r="D1029" s="1"/>
      <c r="E1029" s="1"/>
      <c r="F1029" s="1"/>
      <c r="G1029" s="1"/>
      <c r="H1029" s="1"/>
      <c r="I1029" s="1"/>
      <c r="J1029" s="1"/>
      <c r="K1029" s="1"/>
      <c r="L1029" s="2"/>
      <c r="M1029" s="2"/>
      <c r="N1029" s="2"/>
      <c r="O1029" s="2"/>
      <c r="P1029" s="2"/>
      <c r="Q1029" s="2"/>
      <c r="R1029" s="2"/>
      <c r="S1029" s="2"/>
      <c r="T1029" s="3"/>
      <c r="U1029" s="1"/>
      <c r="V1029" s="1"/>
      <c r="W1029" s="1"/>
      <c r="X1029" s="1"/>
      <c r="Y1029" s="1"/>
      <c r="Z1029" s="1"/>
      <c r="AA1029" s="1"/>
      <c r="AB1029" s="1"/>
    </row>
    <row r="1030" spans="1:28" ht="13.8">
      <c r="A1030" s="261"/>
      <c r="B1030" s="261"/>
      <c r="C1030" s="115"/>
      <c r="D1030" s="1"/>
      <c r="E1030" s="1"/>
      <c r="F1030" s="1"/>
      <c r="G1030" s="1"/>
      <c r="H1030" s="1"/>
      <c r="I1030" s="1"/>
      <c r="J1030" s="1"/>
      <c r="K1030" s="1"/>
      <c r="L1030" s="2"/>
      <c r="M1030" s="2"/>
      <c r="N1030" s="2"/>
      <c r="O1030" s="2"/>
      <c r="P1030" s="2"/>
      <c r="Q1030" s="2"/>
      <c r="R1030" s="2"/>
      <c r="S1030" s="2"/>
      <c r="T1030" s="3"/>
      <c r="U1030" s="1"/>
      <c r="V1030" s="1"/>
      <c r="W1030" s="1"/>
      <c r="X1030" s="1"/>
      <c r="Y1030" s="1"/>
      <c r="Z1030" s="1"/>
      <c r="AA1030" s="1"/>
      <c r="AB1030" s="1"/>
    </row>
    <row r="1031" spans="1:28" ht="13.8">
      <c r="A1031" s="261"/>
      <c r="B1031" s="261"/>
      <c r="C1031" s="115"/>
      <c r="D1031" s="1"/>
      <c r="E1031" s="1"/>
      <c r="F1031" s="1"/>
      <c r="G1031" s="1"/>
      <c r="H1031" s="1"/>
      <c r="I1031" s="1"/>
      <c r="J1031" s="1"/>
      <c r="K1031" s="1"/>
      <c r="L1031" s="2"/>
      <c r="M1031" s="2"/>
      <c r="N1031" s="2"/>
      <c r="O1031" s="2"/>
      <c r="P1031" s="2"/>
      <c r="Q1031" s="2"/>
      <c r="R1031" s="2"/>
      <c r="S1031" s="2"/>
      <c r="T1031" s="3"/>
      <c r="U1031" s="1"/>
      <c r="V1031" s="1"/>
      <c r="W1031" s="1"/>
      <c r="X1031" s="1"/>
      <c r="Y1031" s="1"/>
      <c r="Z1031" s="1"/>
      <c r="AA1031" s="1"/>
      <c r="AB1031" s="1"/>
    </row>
    <row r="1032" spans="1:28" ht="13.8">
      <c r="A1032" s="261"/>
      <c r="B1032" s="261"/>
      <c r="C1032" s="115"/>
      <c r="D1032" s="1"/>
      <c r="E1032" s="1"/>
      <c r="F1032" s="1"/>
      <c r="G1032" s="1"/>
      <c r="H1032" s="1"/>
      <c r="I1032" s="1"/>
      <c r="J1032" s="1"/>
      <c r="K1032" s="1"/>
      <c r="L1032" s="2"/>
      <c r="M1032" s="2"/>
      <c r="N1032" s="2"/>
      <c r="O1032" s="2"/>
      <c r="P1032" s="2"/>
      <c r="Q1032" s="2"/>
      <c r="R1032" s="2"/>
      <c r="S1032" s="2"/>
      <c r="T1032" s="3"/>
      <c r="U1032" s="1"/>
      <c r="V1032" s="1"/>
      <c r="W1032" s="1"/>
      <c r="X1032" s="1"/>
      <c r="Y1032" s="1"/>
      <c r="Z1032" s="1"/>
      <c r="AA1032" s="1"/>
      <c r="AB1032" s="1"/>
    </row>
    <row r="1033" spans="1:28" ht="13.8">
      <c r="A1033" s="261"/>
      <c r="B1033" s="261"/>
      <c r="C1033" s="115"/>
      <c r="D1033" s="1"/>
      <c r="E1033" s="1"/>
      <c r="F1033" s="1"/>
      <c r="G1033" s="1"/>
      <c r="H1033" s="1"/>
      <c r="I1033" s="1"/>
      <c r="J1033" s="1"/>
      <c r="K1033" s="1"/>
      <c r="L1033" s="2"/>
      <c r="M1033" s="2"/>
      <c r="N1033" s="2"/>
      <c r="O1033" s="2"/>
      <c r="P1033" s="2"/>
      <c r="Q1033" s="2"/>
      <c r="R1033" s="2"/>
      <c r="S1033" s="2"/>
      <c r="T1033" s="3"/>
      <c r="U1033" s="1"/>
      <c r="V1033" s="1"/>
      <c r="W1033" s="1"/>
      <c r="X1033" s="1"/>
      <c r="Y1033" s="1"/>
      <c r="Z1033" s="1"/>
      <c r="AA1033" s="1"/>
      <c r="AB1033" s="1"/>
    </row>
    <row r="1034" spans="1:28" ht="13.8">
      <c r="A1034" s="261"/>
      <c r="B1034" s="261"/>
      <c r="C1034" s="115"/>
      <c r="D1034" s="1"/>
      <c r="E1034" s="1"/>
      <c r="F1034" s="1"/>
      <c r="G1034" s="1"/>
      <c r="H1034" s="1"/>
      <c r="I1034" s="1"/>
      <c r="J1034" s="1"/>
      <c r="K1034" s="1"/>
      <c r="L1034" s="2"/>
      <c r="M1034" s="2"/>
      <c r="N1034" s="2"/>
      <c r="O1034" s="2"/>
      <c r="P1034" s="2"/>
      <c r="Q1034" s="2"/>
      <c r="R1034" s="2"/>
      <c r="S1034" s="2"/>
      <c r="T1034" s="3"/>
      <c r="U1034" s="1"/>
      <c r="V1034" s="1"/>
      <c r="W1034" s="1"/>
      <c r="X1034" s="1"/>
      <c r="Y1034" s="1"/>
      <c r="Z1034" s="1"/>
      <c r="AA1034" s="1"/>
      <c r="AB1034" s="1"/>
    </row>
    <row r="1035" spans="1:28" ht="13.8">
      <c r="A1035" s="261"/>
      <c r="B1035" s="261"/>
      <c r="C1035" s="115"/>
      <c r="D1035" s="1"/>
      <c r="E1035" s="1"/>
      <c r="F1035" s="1"/>
      <c r="G1035" s="1"/>
      <c r="H1035" s="1"/>
      <c r="I1035" s="1"/>
      <c r="J1035" s="1"/>
      <c r="K1035" s="1"/>
      <c r="L1035" s="2"/>
      <c r="M1035" s="2"/>
      <c r="N1035" s="2"/>
      <c r="O1035" s="2"/>
      <c r="P1035" s="2"/>
      <c r="Q1035" s="2"/>
      <c r="R1035" s="2"/>
      <c r="S1035" s="2"/>
      <c r="T1035" s="3"/>
      <c r="U1035" s="1"/>
      <c r="V1035" s="1"/>
      <c r="W1035" s="1"/>
      <c r="X1035" s="1"/>
      <c r="Y1035" s="1"/>
      <c r="Z1035" s="1"/>
      <c r="AA1035" s="1"/>
      <c r="AB1035" s="1"/>
    </row>
    <row r="1036" spans="1:28" ht="13.8">
      <c r="A1036" s="261"/>
      <c r="B1036" s="261"/>
      <c r="C1036" s="115"/>
      <c r="D1036" s="1"/>
      <c r="E1036" s="1"/>
      <c r="F1036" s="1"/>
      <c r="G1036" s="1"/>
      <c r="H1036" s="1"/>
      <c r="I1036" s="1"/>
      <c r="J1036" s="1"/>
      <c r="K1036" s="1"/>
      <c r="L1036" s="2"/>
      <c r="M1036" s="2"/>
      <c r="N1036" s="2"/>
      <c r="O1036" s="2"/>
      <c r="P1036" s="2"/>
      <c r="Q1036" s="2"/>
      <c r="R1036" s="2"/>
      <c r="S1036" s="2"/>
      <c r="T1036" s="3"/>
      <c r="U1036" s="1"/>
      <c r="V1036" s="1"/>
      <c r="W1036" s="1"/>
      <c r="X1036" s="1"/>
      <c r="Y1036" s="1"/>
      <c r="Z1036" s="1"/>
      <c r="AA1036" s="1"/>
      <c r="AB1036" s="1"/>
    </row>
    <row r="1037" spans="1:28" ht="13.8">
      <c r="A1037" s="261"/>
      <c r="B1037" s="261"/>
      <c r="C1037" s="115"/>
      <c r="D1037" s="1"/>
      <c r="E1037" s="1"/>
      <c r="F1037" s="1"/>
      <c r="G1037" s="1"/>
      <c r="H1037" s="1"/>
      <c r="I1037" s="1"/>
      <c r="J1037" s="1"/>
      <c r="K1037" s="1"/>
      <c r="L1037" s="2"/>
      <c r="M1037" s="2"/>
      <c r="N1037" s="2"/>
      <c r="O1037" s="2"/>
      <c r="P1037" s="2"/>
      <c r="Q1037" s="2"/>
      <c r="R1037" s="2"/>
      <c r="S1037" s="2"/>
      <c r="T1037" s="3"/>
      <c r="U1037" s="1"/>
      <c r="V1037" s="1"/>
      <c r="W1037" s="1"/>
      <c r="X1037" s="1"/>
      <c r="Y1037" s="1"/>
      <c r="Z1037" s="1"/>
      <c r="AA1037" s="1"/>
      <c r="AB1037" s="1"/>
    </row>
    <row r="1038" spans="1:28" ht="13.8">
      <c r="A1038" s="261"/>
      <c r="B1038" s="261"/>
      <c r="C1038" s="115"/>
      <c r="D1038" s="1"/>
      <c r="E1038" s="1"/>
      <c r="F1038" s="1"/>
      <c r="G1038" s="1"/>
      <c r="H1038" s="1"/>
      <c r="I1038" s="1"/>
      <c r="J1038" s="1"/>
      <c r="K1038" s="1"/>
      <c r="L1038" s="2"/>
      <c r="M1038" s="2"/>
      <c r="N1038" s="2"/>
      <c r="O1038" s="2"/>
      <c r="P1038" s="2"/>
      <c r="Q1038" s="2"/>
      <c r="R1038" s="2"/>
      <c r="S1038" s="2"/>
      <c r="T1038" s="3"/>
      <c r="U1038" s="1"/>
      <c r="V1038" s="1"/>
      <c r="W1038" s="1"/>
      <c r="X1038" s="1"/>
      <c r="Y1038" s="1"/>
      <c r="Z1038" s="1"/>
      <c r="AA1038" s="1"/>
      <c r="AB1038" s="1"/>
    </row>
    <row r="1039" spans="1:28" ht="13.8">
      <c r="A1039" s="261"/>
      <c r="B1039" s="261"/>
      <c r="C1039" s="115"/>
      <c r="D1039" s="1"/>
      <c r="E1039" s="1"/>
      <c r="F1039" s="1"/>
      <c r="G1039" s="1"/>
      <c r="H1039" s="1"/>
      <c r="I1039" s="1"/>
      <c r="J1039" s="1"/>
      <c r="K1039" s="1"/>
      <c r="L1039" s="2"/>
      <c r="M1039" s="2"/>
      <c r="N1039" s="2"/>
      <c r="O1039" s="2"/>
      <c r="P1039" s="2"/>
      <c r="Q1039" s="2"/>
      <c r="R1039" s="2"/>
      <c r="S1039" s="2"/>
      <c r="T1039" s="3"/>
      <c r="U1039" s="1"/>
      <c r="V1039" s="1"/>
      <c r="W1039" s="1"/>
      <c r="X1039" s="1"/>
      <c r="Y1039" s="1"/>
      <c r="Z1039" s="1"/>
      <c r="AA1039" s="1"/>
      <c r="AB1039" s="1"/>
    </row>
    <row r="1040" spans="1:28" ht="13.8">
      <c r="A1040" s="261"/>
      <c r="B1040" s="261"/>
      <c r="C1040" s="115"/>
      <c r="D1040" s="1"/>
      <c r="E1040" s="1"/>
      <c r="F1040" s="1"/>
      <c r="G1040" s="1"/>
      <c r="H1040" s="1"/>
      <c r="I1040" s="1"/>
      <c r="J1040" s="1"/>
      <c r="K1040" s="1"/>
      <c r="L1040" s="2"/>
      <c r="M1040" s="2"/>
      <c r="N1040" s="2"/>
      <c r="O1040" s="2"/>
      <c r="P1040" s="2"/>
      <c r="Q1040" s="2"/>
      <c r="R1040" s="2"/>
      <c r="S1040" s="2"/>
      <c r="T1040" s="3"/>
      <c r="U1040" s="1"/>
      <c r="V1040" s="1"/>
      <c r="W1040" s="1"/>
      <c r="X1040" s="1"/>
      <c r="Y1040" s="1"/>
      <c r="Z1040" s="1"/>
      <c r="AA1040" s="1"/>
      <c r="AB1040" s="1"/>
    </row>
    <row r="1041" spans="1:28" ht="13.8">
      <c r="A1041" s="260"/>
      <c r="B1041" s="260"/>
      <c r="C1041" s="38"/>
      <c r="D1041" s="4"/>
      <c r="E1041" s="4"/>
      <c r="F1041" s="4"/>
      <c r="G1041" s="4"/>
      <c r="H1041" s="4"/>
      <c r="I1041" s="4"/>
      <c r="J1041" s="4"/>
      <c r="K1041" s="4"/>
      <c r="L1041" s="5"/>
      <c r="M1041" s="5"/>
      <c r="N1041" s="5"/>
      <c r="O1041" s="5"/>
      <c r="P1041" s="5"/>
      <c r="Q1041" s="5"/>
      <c r="R1041" s="5"/>
      <c r="S1041" s="5"/>
      <c r="T1041" s="6"/>
      <c r="U1041" s="1"/>
      <c r="V1041" s="1"/>
      <c r="W1041" s="1"/>
      <c r="X1041" s="1"/>
      <c r="Y1041" s="1"/>
      <c r="Z1041" s="1"/>
      <c r="AA1041" s="1"/>
      <c r="AB1041" s="1"/>
    </row>
    <row r="1042" spans="1:28" ht="13.8">
      <c r="A1042" s="260"/>
      <c r="B1042" s="260"/>
      <c r="C1042" s="38"/>
      <c r="D1042" s="4"/>
      <c r="E1042" s="4"/>
      <c r="F1042" s="4"/>
      <c r="G1042" s="4"/>
      <c r="H1042" s="4"/>
      <c r="I1042" s="4"/>
      <c r="J1042" s="4"/>
      <c r="K1042" s="4"/>
      <c r="L1042" s="5"/>
      <c r="M1042" s="5"/>
      <c r="N1042" s="5"/>
      <c r="O1042" s="5"/>
      <c r="P1042" s="5"/>
      <c r="Q1042" s="5"/>
      <c r="R1042" s="5"/>
      <c r="S1042" s="5"/>
      <c r="T1042" s="6"/>
      <c r="U1042" s="1"/>
      <c r="V1042" s="1"/>
      <c r="W1042" s="1"/>
      <c r="X1042" s="1"/>
      <c r="Y1042" s="1"/>
      <c r="Z1042" s="1"/>
      <c r="AA1042" s="1"/>
      <c r="AB1042" s="1"/>
    </row>
    <row r="1043" spans="1:28" ht="13.8">
      <c r="A1043" s="261"/>
      <c r="B1043" s="261"/>
      <c r="C1043" s="115"/>
      <c r="D1043" s="1"/>
      <c r="E1043" s="1"/>
      <c r="F1043" s="1"/>
      <c r="G1043" s="1"/>
      <c r="H1043" s="1"/>
      <c r="I1043" s="1"/>
      <c r="J1043" s="1"/>
      <c r="K1043" s="1"/>
      <c r="L1043" s="2"/>
      <c r="M1043" s="2"/>
      <c r="N1043" s="2"/>
      <c r="O1043" s="2"/>
      <c r="P1043" s="2"/>
      <c r="Q1043" s="2"/>
      <c r="R1043" s="2"/>
      <c r="S1043" s="2"/>
      <c r="T1043" s="3"/>
      <c r="U1043" s="1"/>
      <c r="V1043" s="1"/>
      <c r="W1043" s="1"/>
      <c r="X1043" s="1"/>
      <c r="Y1043" s="1"/>
      <c r="Z1043" s="1"/>
      <c r="AA1043" s="1"/>
      <c r="AB1043" s="1"/>
    </row>
    <row r="1044" spans="1:28" ht="13.8">
      <c r="A1044" s="261"/>
      <c r="B1044" s="261"/>
      <c r="C1044" s="115"/>
      <c r="D1044" s="1"/>
      <c r="E1044" s="1"/>
      <c r="F1044" s="1"/>
      <c r="G1044" s="1"/>
      <c r="H1044" s="1"/>
      <c r="I1044" s="1"/>
      <c r="J1044" s="1"/>
      <c r="K1044" s="1"/>
      <c r="L1044" s="2"/>
      <c r="M1044" s="2"/>
      <c r="N1044" s="2"/>
      <c r="O1044" s="2"/>
      <c r="P1044" s="2"/>
      <c r="Q1044" s="2"/>
      <c r="R1044" s="2"/>
      <c r="S1044" s="2"/>
      <c r="T1044" s="3"/>
      <c r="U1044" s="1"/>
      <c r="V1044" s="1"/>
      <c r="W1044" s="1"/>
      <c r="X1044" s="1"/>
      <c r="Y1044" s="1"/>
      <c r="Z1044" s="1"/>
      <c r="AA1044" s="1"/>
      <c r="AB1044" s="1"/>
    </row>
    <row r="1045" spans="1:28" ht="13.8">
      <c r="A1045" s="261"/>
      <c r="B1045" s="261"/>
      <c r="C1045" s="115"/>
      <c r="D1045" s="1"/>
      <c r="E1045" s="1"/>
      <c r="F1045" s="1"/>
      <c r="G1045" s="1"/>
      <c r="H1045" s="1"/>
      <c r="I1045" s="1"/>
      <c r="J1045" s="1"/>
      <c r="K1045" s="1"/>
      <c r="L1045" s="2"/>
      <c r="M1045" s="2"/>
      <c r="N1045" s="2"/>
      <c r="O1045" s="2"/>
      <c r="P1045" s="2"/>
      <c r="Q1045" s="2"/>
      <c r="R1045" s="2"/>
      <c r="S1045" s="2"/>
      <c r="T1045" s="3"/>
      <c r="U1045" s="1"/>
      <c r="V1045" s="1"/>
      <c r="W1045" s="1"/>
      <c r="X1045" s="1"/>
      <c r="Y1045" s="1"/>
      <c r="Z1045" s="1"/>
      <c r="AA1045" s="1"/>
      <c r="AB1045" s="1"/>
    </row>
    <row r="1046" spans="1:28" ht="13.8">
      <c r="A1046" s="261"/>
      <c r="B1046" s="261"/>
      <c r="C1046" s="115"/>
      <c r="D1046" s="1"/>
      <c r="E1046" s="1"/>
      <c r="F1046" s="1"/>
      <c r="G1046" s="1"/>
      <c r="H1046" s="1"/>
      <c r="I1046" s="1"/>
      <c r="J1046" s="1"/>
      <c r="K1046" s="1"/>
      <c r="L1046" s="2"/>
      <c r="M1046" s="2"/>
      <c r="N1046" s="2"/>
      <c r="O1046" s="2"/>
      <c r="P1046" s="2"/>
      <c r="Q1046" s="2"/>
      <c r="R1046" s="2"/>
      <c r="S1046" s="2"/>
      <c r="T1046" s="3"/>
      <c r="U1046" s="1"/>
      <c r="V1046" s="1"/>
      <c r="W1046" s="1"/>
      <c r="X1046" s="1"/>
      <c r="Y1046" s="1"/>
      <c r="Z1046" s="1"/>
      <c r="AA1046" s="1"/>
      <c r="AB1046" s="1"/>
    </row>
    <row r="1047" spans="1:28" ht="13.8">
      <c r="A1047" s="261"/>
      <c r="B1047" s="261"/>
      <c r="C1047" s="115"/>
      <c r="D1047" s="1"/>
      <c r="E1047" s="1"/>
      <c r="F1047" s="1"/>
      <c r="G1047" s="1"/>
      <c r="H1047" s="1"/>
      <c r="I1047" s="1"/>
      <c r="J1047" s="1"/>
      <c r="K1047" s="1"/>
      <c r="L1047" s="2"/>
      <c r="M1047" s="2"/>
      <c r="N1047" s="2"/>
      <c r="O1047" s="2"/>
      <c r="P1047" s="2"/>
      <c r="Q1047" s="2"/>
      <c r="R1047" s="2"/>
      <c r="S1047" s="2"/>
      <c r="T1047" s="3"/>
      <c r="U1047" s="1"/>
      <c r="V1047" s="1"/>
      <c r="W1047" s="1"/>
      <c r="X1047" s="1"/>
      <c r="Y1047" s="1"/>
      <c r="Z1047" s="1"/>
      <c r="AA1047" s="1"/>
      <c r="AB1047" s="1"/>
    </row>
    <row r="1048" spans="1:28" ht="13.8">
      <c r="A1048" s="261"/>
      <c r="B1048" s="261"/>
      <c r="C1048" s="115"/>
      <c r="D1048" s="1"/>
      <c r="E1048" s="1"/>
      <c r="F1048" s="1"/>
      <c r="G1048" s="1"/>
      <c r="H1048" s="1"/>
      <c r="I1048" s="1"/>
      <c r="J1048" s="1"/>
      <c r="K1048" s="1"/>
      <c r="L1048" s="2"/>
      <c r="M1048" s="2"/>
      <c r="N1048" s="2"/>
      <c r="O1048" s="2"/>
      <c r="P1048" s="2"/>
      <c r="Q1048" s="2"/>
      <c r="R1048" s="2"/>
      <c r="S1048" s="2"/>
      <c r="T1048" s="3"/>
      <c r="U1048" s="1"/>
      <c r="V1048" s="1"/>
      <c r="W1048" s="1"/>
      <c r="X1048" s="1"/>
      <c r="Y1048" s="1"/>
      <c r="Z1048" s="1"/>
      <c r="AA1048" s="1"/>
      <c r="AB1048" s="1"/>
    </row>
    <row r="1049" spans="1:28" ht="13.8">
      <c r="A1049" s="261"/>
      <c r="B1049" s="261"/>
      <c r="C1049" s="115"/>
      <c r="D1049" s="1"/>
      <c r="E1049" s="1"/>
      <c r="F1049" s="1"/>
      <c r="G1049" s="1"/>
      <c r="H1049" s="1"/>
      <c r="I1049" s="1"/>
      <c r="J1049" s="1"/>
      <c r="K1049" s="1"/>
      <c r="L1049" s="2"/>
      <c r="M1049" s="2"/>
      <c r="N1049" s="2"/>
      <c r="O1049" s="2"/>
      <c r="P1049" s="2"/>
      <c r="Q1049" s="2"/>
      <c r="R1049" s="2"/>
      <c r="S1049" s="2"/>
      <c r="T1049" s="3"/>
      <c r="U1049" s="1"/>
      <c r="V1049" s="1"/>
      <c r="W1049" s="1"/>
      <c r="X1049" s="1"/>
      <c r="Y1049" s="1"/>
      <c r="Z1049" s="1"/>
      <c r="AA1049" s="1"/>
      <c r="AB1049" s="1"/>
    </row>
    <row r="1050" spans="1:28" ht="13.8">
      <c r="A1050" s="261"/>
      <c r="B1050" s="261"/>
      <c r="C1050" s="115"/>
      <c r="D1050" s="1"/>
      <c r="E1050" s="1"/>
      <c r="F1050" s="1"/>
      <c r="G1050" s="1"/>
      <c r="H1050" s="1"/>
      <c r="I1050" s="1"/>
      <c r="J1050" s="1"/>
      <c r="K1050" s="1"/>
      <c r="L1050" s="2"/>
      <c r="M1050" s="2"/>
      <c r="N1050" s="2"/>
      <c r="O1050" s="2"/>
      <c r="P1050" s="2"/>
      <c r="Q1050" s="2"/>
      <c r="R1050" s="2"/>
      <c r="S1050" s="2"/>
      <c r="T1050" s="3"/>
      <c r="U1050" s="1"/>
      <c r="V1050" s="1"/>
      <c r="W1050" s="1"/>
      <c r="X1050" s="1"/>
      <c r="Y1050" s="1"/>
      <c r="Z1050" s="1"/>
      <c r="AA1050" s="1"/>
      <c r="AB1050" s="1"/>
    </row>
    <row r="1051" spans="1:28" ht="13.8">
      <c r="A1051" s="261"/>
      <c r="B1051" s="261"/>
      <c r="C1051" s="115"/>
      <c r="D1051" s="1"/>
      <c r="E1051" s="1"/>
      <c r="F1051" s="1"/>
      <c r="G1051" s="1"/>
      <c r="H1051" s="1"/>
      <c r="I1051" s="1"/>
      <c r="J1051" s="1"/>
      <c r="K1051" s="1"/>
      <c r="L1051" s="2"/>
      <c r="M1051" s="2"/>
      <c r="N1051" s="2"/>
      <c r="O1051" s="2"/>
      <c r="P1051" s="2"/>
      <c r="Q1051" s="2"/>
      <c r="R1051" s="2"/>
      <c r="S1051" s="2"/>
      <c r="T1051" s="3"/>
      <c r="U1051" s="1"/>
      <c r="V1051" s="1"/>
      <c r="W1051" s="1"/>
      <c r="X1051" s="1"/>
      <c r="Y1051" s="1"/>
      <c r="Z1051" s="1"/>
      <c r="AA1051" s="1"/>
      <c r="AB1051" s="1"/>
    </row>
    <row r="1052" spans="1:28" ht="13.8">
      <c r="A1052" s="261"/>
      <c r="B1052" s="261"/>
      <c r="C1052" s="115"/>
      <c r="D1052" s="1"/>
      <c r="E1052" s="1"/>
      <c r="F1052" s="1"/>
      <c r="G1052" s="1"/>
      <c r="H1052" s="1"/>
      <c r="I1052" s="1"/>
      <c r="J1052" s="1"/>
      <c r="K1052" s="1"/>
      <c r="L1052" s="2"/>
      <c r="M1052" s="2"/>
      <c r="N1052" s="2"/>
      <c r="O1052" s="2"/>
      <c r="P1052" s="2"/>
      <c r="Q1052" s="2"/>
      <c r="R1052" s="2"/>
      <c r="S1052" s="2"/>
      <c r="T1052" s="3"/>
      <c r="U1052" s="1"/>
      <c r="V1052" s="1"/>
      <c r="W1052" s="1"/>
      <c r="X1052" s="1"/>
      <c r="Y1052" s="1"/>
      <c r="Z1052" s="1"/>
      <c r="AA1052" s="1"/>
      <c r="AB1052" s="1"/>
    </row>
    <row r="1053" spans="1:28" ht="13.8">
      <c r="A1053" s="261"/>
      <c r="B1053" s="261"/>
      <c r="C1053" s="115"/>
      <c r="D1053" s="1"/>
      <c r="E1053" s="1"/>
      <c r="F1053" s="1"/>
      <c r="G1053" s="1"/>
      <c r="H1053" s="1"/>
      <c r="I1053" s="1"/>
      <c r="J1053" s="1"/>
      <c r="K1053" s="1"/>
      <c r="L1053" s="2"/>
      <c r="M1053" s="2"/>
      <c r="N1053" s="2"/>
      <c r="O1053" s="2"/>
      <c r="P1053" s="2"/>
      <c r="Q1053" s="2"/>
      <c r="R1053" s="2"/>
      <c r="S1053" s="2"/>
      <c r="T1053" s="3"/>
      <c r="U1053" s="1"/>
      <c r="V1053" s="1"/>
      <c r="W1053" s="1"/>
      <c r="X1053" s="1"/>
      <c r="Y1053" s="1"/>
      <c r="Z1053" s="1"/>
      <c r="AA1053" s="1"/>
      <c r="AB1053" s="1"/>
    </row>
    <row r="1054" spans="1:28" ht="13.8">
      <c r="A1054" s="261"/>
      <c r="B1054" s="261"/>
      <c r="C1054" s="115"/>
      <c r="D1054" s="1"/>
      <c r="E1054" s="1"/>
      <c r="F1054" s="1"/>
      <c r="G1054" s="1"/>
      <c r="H1054" s="1"/>
      <c r="I1054" s="1"/>
      <c r="J1054" s="1"/>
      <c r="K1054" s="1"/>
      <c r="L1054" s="2"/>
      <c r="M1054" s="2"/>
      <c r="N1054" s="2"/>
      <c r="O1054" s="2"/>
      <c r="P1054" s="2"/>
      <c r="Q1054" s="2"/>
      <c r="R1054" s="2"/>
      <c r="S1054" s="2"/>
      <c r="T1054" s="3"/>
      <c r="U1054" s="1"/>
      <c r="V1054" s="1"/>
      <c r="W1054" s="1"/>
      <c r="X1054" s="1"/>
      <c r="Y1054" s="1"/>
      <c r="Z1054" s="1"/>
      <c r="AA1054" s="1"/>
      <c r="AB1054" s="1"/>
    </row>
    <row r="1055" spans="1:28" ht="13.8">
      <c r="A1055" s="261"/>
      <c r="B1055" s="261"/>
      <c r="C1055" s="115"/>
      <c r="D1055" s="1"/>
      <c r="E1055" s="1"/>
      <c r="F1055" s="1"/>
      <c r="G1055" s="1"/>
      <c r="H1055" s="1"/>
      <c r="I1055" s="1"/>
      <c r="J1055" s="1"/>
      <c r="K1055" s="1"/>
      <c r="L1055" s="2"/>
      <c r="M1055" s="2"/>
      <c r="N1055" s="2"/>
      <c r="O1055" s="2"/>
      <c r="P1055" s="2"/>
      <c r="Q1055" s="2"/>
      <c r="R1055" s="2"/>
      <c r="S1055" s="2"/>
      <c r="T1055" s="3"/>
      <c r="U1055" s="1"/>
      <c r="V1055" s="1"/>
      <c r="W1055" s="1"/>
      <c r="X1055" s="1"/>
      <c r="Y1055" s="1"/>
      <c r="Z1055" s="1"/>
      <c r="AA1055" s="1"/>
      <c r="AB1055" s="1"/>
    </row>
    <row r="1056" spans="1:28" ht="13.8">
      <c r="A1056" s="261"/>
      <c r="B1056" s="261"/>
      <c r="C1056" s="115"/>
      <c r="D1056" s="1"/>
      <c r="E1056" s="1"/>
      <c r="F1056" s="1"/>
      <c r="G1056" s="1"/>
      <c r="H1056" s="1"/>
      <c r="I1056" s="1"/>
      <c r="J1056" s="1"/>
      <c r="K1056" s="1"/>
      <c r="L1056" s="2"/>
      <c r="M1056" s="2"/>
      <c r="N1056" s="2"/>
      <c r="O1056" s="2"/>
      <c r="P1056" s="2"/>
      <c r="Q1056" s="2"/>
      <c r="R1056" s="2"/>
      <c r="S1056" s="2"/>
      <c r="T1056" s="3"/>
      <c r="U1056" s="1"/>
      <c r="V1056" s="1"/>
      <c r="W1056" s="1"/>
      <c r="X1056" s="1"/>
      <c r="Y1056" s="1"/>
      <c r="Z1056" s="1"/>
      <c r="AA1056" s="1"/>
      <c r="AB1056" s="1"/>
    </row>
    <row r="1057" spans="1:28" ht="13.8">
      <c r="A1057" s="261"/>
      <c r="B1057" s="261"/>
      <c r="C1057" s="115"/>
      <c r="D1057" s="1"/>
      <c r="E1057" s="1"/>
      <c r="F1057" s="1"/>
      <c r="G1057" s="1"/>
      <c r="H1057" s="1"/>
      <c r="I1057" s="1"/>
      <c r="J1057" s="1"/>
      <c r="K1057" s="1"/>
      <c r="L1057" s="2"/>
      <c r="M1057" s="2"/>
      <c r="N1057" s="2"/>
      <c r="O1057" s="2"/>
      <c r="P1057" s="2"/>
      <c r="Q1057" s="2"/>
      <c r="R1057" s="2"/>
      <c r="S1057" s="2"/>
      <c r="T1057" s="3"/>
      <c r="U1057" s="1"/>
      <c r="V1057" s="1"/>
      <c r="W1057" s="1"/>
      <c r="X1057" s="1"/>
      <c r="Y1057" s="1"/>
      <c r="Z1057" s="1"/>
      <c r="AA1057" s="1"/>
      <c r="AB1057" s="1"/>
    </row>
    <row r="1058" spans="1:28" ht="13.8">
      <c r="A1058" s="261"/>
      <c r="B1058" s="261"/>
      <c r="C1058" s="115"/>
      <c r="D1058" s="1"/>
      <c r="E1058" s="1"/>
      <c r="F1058" s="1"/>
      <c r="G1058" s="1"/>
      <c r="H1058" s="1"/>
      <c r="I1058" s="1"/>
      <c r="J1058" s="1"/>
      <c r="K1058" s="1"/>
      <c r="L1058" s="2"/>
      <c r="M1058" s="2"/>
      <c r="N1058" s="2"/>
      <c r="O1058" s="2"/>
      <c r="P1058" s="2"/>
      <c r="Q1058" s="2"/>
      <c r="R1058" s="2"/>
      <c r="S1058" s="2"/>
      <c r="T1058" s="3"/>
      <c r="U1058" s="1"/>
      <c r="V1058" s="1"/>
      <c r="W1058" s="1"/>
      <c r="X1058" s="1"/>
      <c r="Y1058" s="1"/>
      <c r="Z1058" s="1"/>
      <c r="AA1058" s="1"/>
      <c r="AB1058" s="1"/>
    </row>
    <row r="1059" spans="1:28" ht="13.8">
      <c r="A1059" s="261"/>
      <c r="B1059" s="261"/>
      <c r="C1059" s="115"/>
      <c r="D1059" s="1"/>
      <c r="E1059" s="1"/>
      <c r="F1059" s="1"/>
      <c r="G1059" s="1"/>
      <c r="H1059" s="1"/>
      <c r="I1059" s="1"/>
      <c r="J1059" s="1"/>
      <c r="K1059" s="1"/>
      <c r="L1059" s="2"/>
      <c r="M1059" s="2"/>
      <c r="N1059" s="2"/>
      <c r="O1059" s="2"/>
      <c r="P1059" s="2"/>
      <c r="Q1059" s="2"/>
      <c r="R1059" s="2"/>
      <c r="S1059" s="2"/>
      <c r="T1059" s="3"/>
      <c r="U1059" s="1"/>
      <c r="V1059" s="1"/>
      <c r="W1059" s="1"/>
      <c r="X1059" s="1"/>
      <c r="Y1059" s="1"/>
      <c r="Z1059" s="1"/>
      <c r="AA1059" s="1"/>
      <c r="AB1059" s="1"/>
    </row>
    <row r="1060" spans="1:28" ht="13.8">
      <c r="A1060" s="261"/>
      <c r="B1060" s="261"/>
      <c r="C1060" s="115"/>
      <c r="D1060" s="1"/>
      <c r="E1060" s="1"/>
      <c r="F1060" s="1"/>
      <c r="G1060" s="1"/>
      <c r="H1060" s="1"/>
      <c r="I1060" s="1"/>
      <c r="J1060" s="1"/>
      <c r="K1060" s="1"/>
      <c r="L1060" s="2"/>
      <c r="M1060" s="2"/>
      <c r="N1060" s="2"/>
      <c r="O1060" s="2"/>
      <c r="P1060" s="2"/>
      <c r="Q1060" s="2"/>
      <c r="R1060" s="2"/>
      <c r="S1060" s="2"/>
      <c r="T1060" s="3"/>
      <c r="U1060" s="1"/>
      <c r="V1060" s="1"/>
      <c r="W1060" s="1"/>
      <c r="X1060" s="1"/>
      <c r="Y1060" s="1"/>
      <c r="Z1060" s="1"/>
      <c r="AA1060" s="1"/>
      <c r="AB1060" s="1"/>
    </row>
    <row r="1061" spans="1:28" ht="13.8">
      <c r="A1061" s="261"/>
      <c r="B1061" s="261"/>
      <c r="C1061" s="115"/>
      <c r="D1061" s="1"/>
      <c r="E1061" s="1"/>
      <c r="F1061" s="1"/>
      <c r="G1061" s="1"/>
      <c r="H1061" s="1"/>
      <c r="I1061" s="1"/>
      <c r="J1061" s="1"/>
      <c r="K1061" s="1"/>
      <c r="L1061" s="2"/>
      <c r="M1061" s="2"/>
      <c r="N1061" s="2"/>
      <c r="O1061" s="2"/>
      <c r="P1061" s="2"/>
      <c r="Q1061" s="2"/>
      <c r="R1061" s="2"/>
      <c r="S1061" s="2"/>
      <c r="T1061" s="3"/>
      <c r="U1061" s="1"/>
      <c r="V1061" s="1"/>
      <c r="W1061" s="1"/>
      <c r="X1061" s="1"/>
      <c r="Y1061" s="1"/>
      <c r="Z1061" s="1"/>
      <c r="AA1061" s="1"/>
      <c r="AB1061" s="1"/>
    </row>
    <row r="1062" spans="1:28" ht="13.8">
      <c r="A1062" s="260"/>
      <c r="B1062" s="260"/>
      <c r="C1062" s="38"/>
      <c r="D1062" s="4"/>
      <c r="E1062" s="4"/>
      <c r="F1062" s="4"/>
      <c r="G1062" s="4"/>
      <c r="H1062" s="4"/>
      <c r="I1062" s="4"/>
      <c r="J1062" s="4"/>
      <c r="K1062" s="4"/>
      <c r="L1062" s="5"/>
      <c r="M1062" s="5"/>
      <c r="N1062" s="5"/>
      <c r="O1062" s="5"/>
      <c r="P1062" s="5"/>
      <c r="Q1062" s="5"/>
      <c r="R1062" s="5"/>
      <c r="S1062" s="5"/>
      <c r="T1062" s="6"/>
      <c r="U1062" s="1"/>
      <c r="V1062" s="1"/>
      <c r="W1062" s="1"/>
      <c r="X1062" s="1"/>
      <c r="Y1062" s="1"/>
      <c r="Z1062" s="1"/>
      <c r="AA1062" s="1"/>
      <c r="AB1062" s="1"/>
    </row>
    <row r="1063" spans="1:28" ht="13.8">
      <c r="A1063" s="260"/>
      <c r="B1063" s="260"/>
      <c r="C1063" s="38"/>
      <c r="D1063" s="4"/>
      <c r="E1063" s="4"/>
      <c r="F1063" s="4"/>
      <c r="G1063" s="4"/>
      <c r="H1063" s="4"/>
      <c r="I1063" s="4"/>
      <c r="J1063" s="4"/>
      <c r="K1063" s="4"/>
      <c r="L1063" s="5"/>
      <c r="M1063" s="5"/>
      <c r="N1063" s="5"/>
      <c r="O1063" s="5"/>
      <c r="P1063" s="5"/>
      <c r="Q1063" s="5"/>
      <c r="R1063" s="5"/>
      <c r="S1063" s="5"/>
      <c r="T1063" s="6"/>
      <c r="U1063" s="1"/>
      <c r="V1063" s="1"/>
      <c r="W1063" s="1"/>
      <c r="X1063" s="1"/>
      <c r="Y1063" s="1"/>
      <c r="Z1063" s="1"/>
      <c r="AA1063" s="1"/>
      <c r="AB1063" s="1"/>
    </row>
    <row r="1064" spans="1:28" ht="13.8">
      <c r="A1064" s="261"/>
      <c r="B1064" s="261"/>
      <c r="C1064" s="115"/>
      <c r="D1064" s="1"/>
      <c r="E1064" s="1"/>
      <c r="F1064" s="1"/>
      <c r="G1064" s="1"/>
      <c r="H1064" s="1"/>
      <c r="I1064" s="1"/>
      <c r="J1064" s="1"/>
      <c r="K1064" s="1"/>
      <c r="L1064" s="2"/>
      <c r="M1064" s="2"/>
      <c r="N1064" s="2"/>
      <c r="O1064" s="2"/>
      <c r="P1064" s="2"/>
      <c r="Q1064" s="2"/>
      <c r="R1064" s="2"/>
      <c r="S1064" s="2"/>
      <c r="T1064" s="3"/>
      <c r="U1064" s="1"/>
      <c r="V1064" s="1"/>
      <c r="W1064" s="1"/>
      <c r="X1064" s="1"/>
      <c r="Y1064" s="1"/>
      <c r="Z1064" s="1"/>
      <c r="AA1064" s="1"/>
      <c r="AB1064" s="1"/>
    </row>
    <row r="1065" spans="1:28" ht="13.8">
      <c r="A1065" s="261"/>
      <c r="B1065" s="261"/>
      <c r="C1065" s="115"/>
      <c r="D1065" s="1"/>
      <c r="E1065" s="1"/>
      <c r="F1065" s="1"/>
      <c r="G1065" s="1"/>
      <c r="H1065" s="1"/>
      <c r="I1065" s="1"/>
      <c r="J1065" s="1"/>
      <c r="K1065" s="1"/>
      <c r="L1065" s="2"/>
      <c r="M1065" s="2"/>
      <c r="N1065" s="2"/>
      <c r="O1065" s="2"/>
      <c r="P1065" s="2"/>
      <c r="Q1065" s="2"/>
      <c r="R1065" s="2"/>
      <c r="S1065" s="2"/>
      <c r="T1065" s="3"/>
      <c r="U1065" s="1"/>
      <c r="V1065" s="1"/>
      <c r="W1065" s="1"/>
      <c r="X1065" s="1"/>
      <c r="Y1065" s="1"/>
      <c r="Z1065" s="1"/>
      <c r="AA1065" s="1"/>
      <c r="AB1065" s="1"/>
    </row>
    <row r="1066" spans="1:28" ht="13.8">
      <c r="A1066" s="261"/>
      <c r="B1066" s="261"/>
      <c r="C1066" s="115"/>
      <c r="D1066" s="1"/>
      <c r="E1066" s="1"/>
      <c r="F1066" s="1"/>
      <c r="G1066" s="1"/>
      <c r="H1066" s="1"/>
      <c r="I1066" s="1"/>
      <c r="J1066" s="1"/>
      <c r="K1066" s="1"/>
      <c r="L1066" s="2"/>
      <c r="M1066" s="2"/>
      <c r="N1066" s="2"/>
      <c r="O1066" s="2"/>
      <c r="P1066" s="2"/>
      <c r="Q1066" s="2"/>
      <c r="R1066" s="2"/>
      <c r="S1066" s="2"/>
      <c r="T1066" s="3"/>
      <c r="U1066" s="1"/>
      <c r="V1066" s="1"/>
      <c r="W1066" s="1"/>
      <c r="X1066" s="1"/>
      <c r="Y1066" s="1"/>
      <c r="Z1066" s="1"/>
      <c r="AA1066" s="1"/>
      <c r="AB1066" s="1"/>
    </row>
    <row r="1067" spans="1:28" ht="13.8">
      <c r="A1067" s="261"/>
      <c r="B1067" s="261"/>
      <c r="C1067" s="115"/>
      <c r="D1067" s="1"/>
      <c r="E1067" s="1"/>
      <c r="F1067" s="1"/>
      <c r="G1067" s="1"/>
      <c r="H1067" s="1"/>
      <c r="I1067" s="1"/>
      <c r="J1067" s="1"/>
      <c r="K1067" s="1"/>
      <c r="L1067" s="2"/>
      <c r="M1067" s="2"/>
      <c r="N1067" s="2"/>
      <c r="O1067" s="2"/>
      <c r="P1067" s="2"/>
      <c r="Q1067" s="2"/>
      <c r="R1067" s="2"/>
      <c r="S1067" s="2"/>
      <c r="T1067" s="3"/>
      <c r="U1067" s="1"/>
      <c r="V1067" s="1"/>
      <c r="W1067" s="1"/>
      <c r="X1067" s="1"/>
      <c r="Y1067" s="1"/>
      <c r="Z1067" s="1"/>
      <c r="AA1067" s="1"/>
      <c r="AB1067" s="1"/>
    </row>
    <row r="1068" spans="1:28" ht="13.8">
      <c r="A1068" s="261"/>
      <c r="B1068" s="261"/>
      <c r="C1068" s="115"/>
      <c r="D1068" s="1"/>
      <c r="E1068" s="1"/>
      <c r="F1068" s="1"/>
      <c r="G1068" s="1"/>
      <c r="H1068" s="1"/>
      <c r="I1068" s="1"/>
      <c r="J1068" s="1"/>
      <c r="K1068" s="1"/>
      <c r="L1068" s="2"/>
      <c r="M1068" s="2"/>
      <c r="N1068" s="2"/>
      <c r="O1068" s="2"/>
      <c r="P1068" s="2"/>
      <c r="Q1068" s="2"/>
      <c r="R1068" s="2"/>
      <c r="S1068" s="2"/>
      <c r="T1068" s="3"/>
      <c r="U1068" s="1"/>
      <c r="V1068" s="1"/>
      <c r="W1068" s="1"/>
      <c r="X1068" s="1"/>
      <c r="Y1068" s="1"/>
      <c r="Z1068" s="1"/>
      <c r="AA1068" s="1"/>
      <c r="AB1068" s="1"/>
    </row>
    <row r="1069" spans="1:28" ht="13.8">
      <c r="A1069" s="261"/>
      <c r="B1069" s="261"/>
      <c r="C1069" s="115"/>
      <c r="D1069" s="1"/>
      <c r="E1069" s="1"/>
      <c r="F1069" s="1"/>
      <c r="G1069" s="1"/>
      <c r="H1069" s="1"/>
      <c r="I1069" s="1"/>
      <c r="J1069" s="1"/>
      <c r="K1069" s="1"/>
      <c r="L1069" s="2"/>
      <c r="M1069" s="2"/>
      <c r="N1069" s="2"/>
      <c r="O1069" s="2"/>
      <c r="P1069" s="2"/>
      <c r="Q1069" s="2"/>
      <c r="R1069" s="2"/>
      <c r="S1069" s="2"/>
      <c r="T1069" s="3"/>
      <c r="U1069" s="1"/>
      <c r="V1069" s="1"/>
      <c r="W1069" s="1"/>
      <c r="X1069" s="1"/>
      <c r="Y1069" s="1"/>
      <c r="Z1069" s="1"/>
      <c r="AA1069" s="1"/>
      <c r="AB1069" s="1"/>
    </row>
    <row r="1070" spans="1:28" ht="13.8">
      <c r="A1070" s="261"/>
      <c r="B1070" s="261"/>
      <c r="C1070" s="115"/>
      <c r="D1070" s="1"/>
      <c r="E1070" s="1"/>
      <c r="F1070" s="1"/>
      <c r="G1070" s="1"/>
      <c r="H1070" s="1"/>
      <c r="I1070" s="1"/>
      <c r="J1070" s="1"/>
      <c r="K1070" s="1"/>
      <c r="L1070" s="2"/>
      <c r="M1070" s="2"/>
      <c r="N1070" s="2"/>
      <c r="O1070" s="2"/>
      <c r="P1070" s="2"/>
      <c r="Q1070" s="2"/>
      <c r="R1070" s="2"/>
      <c r="S1070" s="2"/>
      <c r="T1070" s="3"/>
      <c r="U1070" s="1"/>
      <c r="V1070" s="1"/>
      <c r="W1070" s="1"/>
      <c r="X1070" s="1"/>
      <c r="Y1070" s="1"/>
      <c r="Z1070" s="1"/>
      <c r="AA1070" s="1"/>
      <c r="AB1070" s="1"/>
    </row>
    <row r="1071" spans="1:28" ht="13.8">
      <c r="A1071" s="261"/>
      <c r="B1071" s="261"/>
      <c r="C1071" s="115"/>
      <c r="D1071" s="1"/>
      <c r="E1071" s="1"/>
      <c r="F1071" s="1"/>
      <c r="G1071" s="1"/>
      <c r="H1071" s="1"/>
      <c r="I1071" s="1"/>
      <c r="J1071" s="1"/>
      <c r="K1071" s="1"/>
      <c r="L1071" s="2"/>
      <c r="M1071" s="2"/>
      <c r="N1071" s="2"/>
      <c r="O1071" s="2"/>
      <c r="P1071" s="2"/>
      <c r="Q1071" s="2"/>
      <c r="R1071" s="2"/>
      <c r="S1071" s="2"/>
      <c r="T1071" s="3"/>
      <c r="U1071" s="1"/>
      <c r="V1071" s="1"/>
      <c r="W1071" s="1"/>
      <c r="X1071" s="1"/>
      <c r="Y1071" s="1"/>
      <c r="Z1071" s="1"/>
      <c r="AA1071" s="1"/>
      <c r="AB1071" s="1"/>
    </row>
    <row r="1072" spans="1:28" ht="13.8">
      <c r="A1072" s="261"/>
      <c r="B1072" s="261"/>
      <c r="C1072" s="115"/>
      <c r="D1072" s="1"/>
      <c r="E1072" s="1"/>
      <c r="F1072" s="1"/>
      <c r="G1072" s="1"/>
      <c r="H1072" s="1"/>
      <c r="I1072" s="1"/>
      <c r="J1072" s="1"/>
      <c r="K1072" s="1"/>
      <c r="L1072" s="2"/>
      <c r="M1072" s="2"/>
      <c r="N1072" s="2"/>
      <c r="O1072" s="2"/>
      <c r="P1072" s="2"/>
      <c r="Q1072" s="2"/>
      <c r="R1072" s="2"/>
      <c r="S1072" s="2"/>
      <c r="T1072" s="3"/>
      <c r="U1072" s="1"/>
      <c r="V1072" s="1"/>
      <c r="W1072" s="1"/>
      <c r="X1072" s="1"/>
      <c r="Y1072" s="1"/>
      <c r="Z1072" s="1"/>
      <c r="AA1072" s="1"/>
      <c r="AB1072" s="1"/>
    </row>
    <row r="1073" spans="1:28" ht="13.8">
      <c r="A1073" s="260"/>
      <c r="B1073" s="260"/>
      <c r="C1073" s="38"/>
      <c r="D1073" s="4"/>
      <c r="E1073" s="4"/>
      <c r="F1073" s="4"/>
      <c r="G1073" s="4"/>
      <c r="H1073" s="4"/>
      <c r="I1073" s="4"/>
      <c r="J1073" s="4"/>
      <c r="K1073" s="4"/>
      <c r="L1073" s="5"/>
      <c r="M1073" s="5"/>
      <c r="N1073" s="5"/>
      <c r="O1073" s="5"/>
      <c r="P1073" s="5"/>
      <c r="Q1073" s="5"/>
      <c r="R1073" s="5"/>
      <c r="S1073" s="5"/>
      <c r="T1073" s="6"/>
      <c r="U1073" s="1"/>
      <c r="V1073" s="1"/>
      <c r="W1073" s="1"/>
      <c r="X1073" s="1"/>
      <c r="Y1073" s="1"/>
      <c r="Z1073" s="1"/>
      <c r="AA1073" s="1"/>
      <c r="AB1073" s="1"/>
    </row>
    <row r="1074" spans="1:28" ht="13.8">
      <c r="A1074" s="261"/>
      <c r="B1074" s="261"/>
      <c r="C1074" s="115"/>
      <c r="D1074" s="1"/>
      <c r="E1074" s="1"/>
      <c r="F1074" s="1"/>
      <c r="G1074" s="1"/>
      <c r="H1074" s="1"/>
      <c r="I1074" s="1"/>
      <c r="J1074" s="1"/>
      <c r="K1074" s="1"/>
      <c r="L1074" s="2"/>
      <c r="M1074" s="2"/>
      <c r="N1074" s="2"/>
      <c r="O1074" s="2"/>
      <c r="P1074" s="2"/>
      <c r="Q1074" s="2"/>
      <c r="R1074" s="2"/>
      <c r="S1074" s="2"/>
      <c r="T1074" s="3"/>
      <c r="U1074" s="1"/>
      <c r="V1074" s="1"/>
      <c r="W1074" s="1"/>
      <c r="X1074" s="1"/>
      <c r="Y1074" s="1"/>
      <c r="Z1074" s="1"/>
      <c r="AA1074" s="1"/>
      <c r="AB1074" s="1"/>
    </row>
    <row r="1075" spans="1:28" ht="13.8">
      <c r="A1075" s="261"/>
      <c r="B1075" s="261"/>
      <c r="C1075" s="115"/>
      <c r="D1075" s="1"/>
      <c r="E1075" s="1"/>
      <c r="F1075" s="1"/>
      <c r="G1075" s="1"/>
      <c r="H1075" s="1"/>
      <c r="I1075" s="1"/>
      <c r="J1075" s="1"/>
      <c r="K1075" s="1"/>
      <c r="L1075" s="2"/>
      <c r="M1075" s="2"/>
      <c r="N1075" s="2"/>
      <c r="O1075" s="2"/>
      <c r="P1075" s="2"/>
      <c r="Q1075" s="2"/>
      <c r="R1075" s="2"/>
      <c r="S1075" s="2"/>
      <c r="T1075" s="3"/>
      <c r="U1075" s="1"/>
      <c r="V1075" s="1"/>
      <c r="W1075" s="1"/>
      <c r="X1075" s="1"/>
      <c r="Y1075" s="1"/>
      <c r="Z1075" s="1"/>
      <c r="AA1075" s="1"/>
      <c r="AB1075" s="1"/>
    </row>
    <row r="1076" spans="1:28" ht="13.8">
      <c r="A1076" s="260"/>
      <c r="B1076" s="260"/>
      <c r="C1076" s="38"/>
      <c r="D1076" s="4"/>
      <c r="E1076" s="4"/>
      <c r="F1076" s="4"/>
      <c r="G1076" s="4"/>
      <c r="H1076" s="4"/>
      <c r="I1076" s="4"/>
      <c r="J1076" s="4"/>
      <c r="K1076" s="4"/>
      <c r="L1076" s="5"/>
      <c r="M1076" s="5"/>
      <c r="N1076" s="5"/>
      <c r="O1076" s="5"/>
      <c r="P1076" s="5"/>
      <c r="Q1076" s="5"/>
      <c r="R1076" s="5"/>
      <c r="S1076" s="5"/>
      <c r="T1076" s="6"/>
      <c r="U1076" s="1"/>
      <c r="V1076" s="1"/>
      <c r="W1076" s="1"/>
      <c r="X1076" s="1"/>
      <c r="Y1076" s="1"/>
      <c r="Z1076" s="1"/>
      <c r="AA1076" s="1"/>
      <c r="AB1076" s="1"/>
    </row>
    <row r="1077" spans="1:28" ht="13.8">
      <c r="A1077" s="261"/>
      <c r="B1077" s="261"/>
      <c r="C1077" s="115"/>
      <c r="D1077" s="1"/>
      <c r="E1077" s="1"/>
      <c r="F1077" s="1"/>
      <c r="G1077" s="1"/>
      <c r="H1077" s="1"/>
      <c r="I1077" s="1"/>
      <c r="J1077" s="1"/>
      <c r="K1077" s="1"/>
      <c r="L1077" s="2"/>
      <c r="M1077" s="2"/>
      <c r="N1077" s="2"/>
      <c r="O1077" s="2"/>
      <c r="P1077" s="2"/>
      <c r="Q1077" s="2"/>
      <c r="R1077" s="2"/>
      <c r="S1077" s="2"/>
      <c r="T1077" s="3"/>
      <c r="U1077" s="1"/>
      <c r="V1077" s="1"/>
      <c r="W1077" s="1"/>
      <c r="X1077" s="1"/>
      <c r="Y1077" s="1"/>
      <c r="Z1077" s="1"/>
      <c r="AA1077" s="1"/>
      <c r="AB1077" s="1"/>
    </row>
    <row r="1078" spans="1:28" ht="13.8">
      <c r="A1078" s="261"/>
      <c r="B1078" s="261"/>
      <c r="C1078" s="115"/>
      <c r="D1078" s="1"/>
      <c r="E1078" s="1"/>
      <c r="F1078" s="1"/>
      <c r="G1078" s="1"/>
      <c r="H1078" s="1"/>
      <c r="I1078" s="1"/>
      <c r="J1078" s="1"/>
      <c r="K1078" s="1"/>
      <c r="L1078" s="2"/>
      <c r="M1078" s="2"/>
      <c r="N1078" s="2"/>
      <c r="O1078" s="2"/>
      <c r="P1078" s="2"/>
      <c r="Q1078" s="2"/>
      <c r="R1078" s="2"/>
      <c r="S1078" s="2"/>
      <c r="T1078" s="3"/>
      <c r="U1078" s="1"/>
      <c r="V1078" s="1"/>
      <c r="W1078" s="1"/>
      <c r="X1078" s="1"/>
      <c r="Y1078" s="1"/>
      <c r="Z1078" s="1"/>
      <c r="AA1078" s="1"/>
      <c r="AB1078" s="1"/>
    </row>
    <row r="1079" spans="1:28" ht="13.8">
      <c r="A1079" s="261"/>
      <c r="B1079" s="261"/>
      <c r="C1079" s="115"/>
      <c r="D1079" s="1"/>
      <c r="E1079" s="1"/>
      <c r="F1079" s="1"/>
      <c r="G1079" s="1"/>
      <c r="H1079" s="1"/>
      <c r="I1079" s="1"/>
      <c r="J1079" s="1"/>
      <c r="K1079" s="1"/>
      <c r="L1079" s="2"/>
      <c r="M1079" s="2"/>
      <c r="N1079" s="2"/>
      <c r="O1079" s="2"/>
      <c r="P1079" s="2"/>
      <c r="Q1079" s="2"/>
      <c r="R1079" s="2"/>
      <c r="S1079" s="2"/>
      <c r="T1079" s="3"/>
      <c r="U1079" s="1"/>
      <c r="V1079" s="1"/>
      <c r="W1079" s="1"/>
      <c r="X1079" s="1"/>
      <c r="Y1079" s="1"/>
      <c r="Z1079" s="1"/>
      <c r="AA1079" s="1"/>
      <c r="AB1079" s="1"/>
    </row>
    <row r="1080" spans="1:28" ht="13.8">
      <c r="A1080" s="261"/>
      <c r="B1080" s="261"/>
      <c r="C1080" s="115"/>
      <c r="D1080" s="1"/>
      <c r="E1080" s="1"/>
      <c r="F1080" s="1"/>
      <c r="G1080" s="1"/>
      <c r="H1080" s="1"/>
      <c r="I1080" s="1"/>
      <c r="J1080" s="1"/>
      <c r="K1080" s="1"/>
      <c r="L1080" s="2"/>
      <c r="M1080" s="2"/>
      <c r="N1080" s="2"/>
      <c r="O1080" s="2"/>
      <c r="P1080" s="2"/>
      <c r="Q1080" s="2"/>
      <c r="R1080" s="2"/>
      <c r="S1080" s="2"/>
      <c r="T1080" s="3"/>
      <c r="U1080" s="1"/>
      <c r="V1080" s="1"/>
      <c r="W1080" s="1"/>
      <c r="X1080" s="1"/>
      <c r="Y1080" s="1"/>
      <c r="Z1080" s="1"/>
      <c r="AA1080" s="1"/>
      <c r="AB1080" s="1"/>
    </row>
    <row r="1081" spans="1:28" ht="13.8">
      <c r="A1081" s="261"/>
      <c r="B1081" s="261"/>
      <c r="C1081" s="115"/>
      <c r="D1081" s="1"/>
      <c r="E1081" s="1"/>
      <c r="F1081" s="1"/>
      <c r="G1081" s="1"/>
      <c r="H1081" s="1"/>
      <c r="I1081" s="1"/>
      <c r="J1081" s="1"/>
      <c r="K1081" s="1"/>
      <c r="L1081" s="2"/>
      <c r="M1081" s="2"/>
      <c r="N1081" s="2"/>
      <c r="O1081" s="2"/>
      <c r="P1081" s="2"/>
      <c r="Q1081" s="2"/>
      <c r="R1081" s="2"/>
      <c r="S1081" s="2"/>
      <c r="T1081" s="3"/>
      <c r="U1081" s="1"/>
      <c r="V1081" s="1"/>
      <c r="W1081" s="1"/>
      <c r="X1081" s="1"/>
      <c r="Y1081" s="1"/>
      <c r="Z1081" s="1"/>
      <c r="AA1081" s="1"/>
      <c r="AB1081" s="1"/>
    </row>
    <row r="1082" spans="1:28" ht="13.8">
      <c r="A1082" s="261"/>
      <c r="B1082" s="261"/>
      <c r="C1082" s="115"/>
      <c r="D1082" s="1"/>
      <c r="E1082" s="1"/>
      <c r="F1082" s="1"/>
      <c r="G1082" s="1"/>
      <c r="H1082" s="1"/>
      <c r="I1082" s="1"/>
      <c r="J1082" s="1"/>
      <c r="K1082" s="1"/>
      <c r="L1082" s="2"/>
      <c r="M1082" s="2"/>
      <c r="N1082" s="2"/>
      <c r="O1082" s="2"/>
      <c r="P1082" s="2"/>
      <c r="Q1082" s="2"/>
      <c r="R1082" s="2"/>
      <c r="S1082" s="2"/>
      <c r="T1082" s="3"/>
      <c r="U1082" s="1"/>
      <c r="V1082" s="1"/>
      <c r="W1082" s="1"/>
      <c r="X1082" s="1"/>
      <c r="Y1082" s="1"/>
      <c r="Z1082" s="1"/>
      <c r="AA1082" s="1"/>
      <c r="AB1082" s="1"/>
    </row>
    <row r="1083" spans="1:28" ht="13.8">
      <c r="A1083" s="261"/>
      <c r="B1083" s="261"/>
      <c r="C1083" s="115"/>
      <c r="D1083" s="1"/>
      <c r="E1083" s="1"/>
      <c r="F1083" s="1"/>
      <c r="G1083" s="1"/>
      <c r="H1083" s="1"/>
      <c r="I1083" s="1"/>
      <c r="J1083" s="1"/>
      <c r="K1083" s="1"/>
      <c r="L1083" s="2"/>
      <c r="M1083" s="2"/>
      <c r="N1083" s="2"/>
      <c r="O1083" s="2"/>
      <c r="P1083" s="2"/>
      <c r="Q1083" s="2"/>
      <c r="R1083" s="2"/>
      <c r="S1083" s="2"/>
      <c r="T1083" s="3"/>
      <c r="U1083" s="1"/>
      <c r="V1083" s="1"/>
      <c r="W1083" s="1"/>
      <c r="X1083" s="1"/>
      <c r="Y1083" s="1"/>
      <c r="Z1083" s="1"/>
      <c r="AA1083" s="1"/>
      <c r="AB1083" s="1"/>
    </row>
    <row r="1084" spans="1:28" ht="13.8">
      <c r="A1084" s="261"/>
      <c r="B1084" s="261"/>
      <c r="C1084" s="115"/>
      <c r="D1084" s="1"/>
      <c r="E1084" s="1"/>
      <c r="F1084" s="1"/>
      <c r="G1084" s="1"/>
      <c r="H1084" s="1"/>
      <c r="I1084" s="1"/>
      <c r="J1084" s="1"/>
      <c r="K1084" s="1"/>
      <c r="L1084" s="2"/>
      <c r="M1084" s="2"/>
      <c r="N1084" s="2"/>
      <c r="O1084" s="2"/>
      <c r="P1084" s="2"/>
      <c r="Q1084" s="2"/>
      <c r="R1084" s="2"/>
      <c r="S1084" s="2"/>
      <c r="T1084" s="3"/>
      <c r="U1084" s="1"/>
      <c r="V1084" s="1"/>
      <c r="W1084" s="1"/>
      <c r="X1084" s="1"/>
      <c r="Y1084" s="1"/>
      <c r="Z1084" s="1"/>
      <c r="AA1084" s="1"/>
      <c r="AB1084" s="1"/>
    </row>
    <row r="1085" spans="1:28" ht="13.8">
      <c r="A1085" s="261"/>
      <c r="B1085" s="261"/>
      <c r="C1085" s="115"/>
      <c r="D1085" s="1"/>
      <c r="E1085" s="1"/>
      <c r="F1085" s="1"/>
      <c r="G1085" s="1"/>
      <c r="H1085" s="1"/>
      <c r="I1085" s="1"/>
      <c r="J1085" s="1"/>
      <c r="K1085" s="1"/>
      <c r="L1085" s="2"/>
      <c r="M1085" s="2"/>
      <c r="N1085" s="2"/>
      <c r="O1085" s="2"/>
      <c r="P1085" s="2"/>
      <c r="Q1085" s="2"/>
      <c r="R1085" s="2"/>
      <c r="S1085" s="2"/>
      <c r="T1085" s="3"/>
      <c r="U1085" s="1"/>
      <c r="V1085" s="1"/>
      <c r="W1085" s="1"/>
      <c r="X1085" s="1"/>
      <c r="Y1085" s="1"/>
      <c r="Z1085" s="1"/>
      <c r="AA1085" s="1"/>
      <c r="AB1085" s="1"/>
    </row>
    <row r="1086" spans="1:28" ht="13.8">
      <c r="A1086" s="261"/>
      <c r="B1086" s="261"/>
      <c r="C1086" s="115"/>
      <c r="D1086" s="1"/>
      <c r="E1086" s="1"/>
      <c r="F1086" s="1"/>
      <c r="G1086" s="1"/>
      <c r="H1086" s="1"/>
      <c r="I1086" s="1"/>
      <c r="J1086" s="1"/>
      <c r="K1086" s="1"/>
      <c r="L1086" s="2"/>
      <c r="M1086" s="2"/>
      <c r="N1086" s="2"/>
      <c r="O1086" s="2"/>
      <c r="P1086" s="2"/>
      <c r="Q1086" s="2"/>
      <c r="R1086" s="2"/>
      <c r="S1086" s="2"/>
      <c r="T1086" s="3"/>
      <c r="U1086" s="1"/>
      <c r="V1086" s="1"/>
      <c r="W1086" s="1"/>
      <c r="X1086" s="1"/>
      <c r="Y1086" s="1"/>
      <c r="Z1086" s="1"/>
      <c r="AA1086" s="1"/>
      <c r="AB1086" s="1"/>
    </row>
    <row r="1087" spans="1:28" ht="13.8">
      <c r="A1087" s="261"/>
      <c r="B1087" s="261"/>
      <c r="C1087" s="115"/>
      <c r="D1087" s="1"/>
      <c r="E1087" s="1"/>
      <c r="F1087" s="1"/>
      <c r="G1087" s="1"/>
      <c r="H1087" s="1"/>
      <c r="I1087" s="1"/>
      <c r="J1087" s="1"/>
      <c r="K1087" s="1"/>
      <c r="L1087" s="2"/>
      <c r="M1087" s="2"/>
      <c r="N1087" s="2"/>
      <c r="O1087" s="2"/>
      <c r="P1087" s="2"/>
      <c r="Q1087" s="2"/>
      <c r="R1087" s="2"/>
      <c r="S1087" s="2"/>
      <c r="T1087" s="3"/>
      <c r="U1087" s="1"/>
      <c r="V1087" s="1"/>
      <c r="W1087" s="1"/>
      <c r="X1087" s="1"/>
      <c r="Y1087" s="1"/>
      <c r="Z1087" s="1"/>
      <c r="AA1087" s="1"/>
      <c r="AB1087" s="1"/>
    </row>
    <row r="1088" spans="1:28" ht="13.8">
      <c r="A1088" s="261"/>
      <c r="B1088" s="261"/>
      <c r="C1088" s="115"/>
      <c r="D1088" s="1"/>
      <c r="E1088" s="1"/>
      <c r="F1088" s="1"/>
      <c r="G1088" s="1"/>
      <c r="H1088" s="1"/>
      <c r="I1088" s="1"/>
      <c r="J1088" s="1"/>
      <c r="K1088" s="1"/>
      <c r="L1088" s="2"/>
      <c r="M1088" s="2"/>
      <c r="N1088" s="2"/>
      <c r="O1088" s="2"/>
      <c r="P1088" s="2"/>
      <c r="Q1088" s="2"/>
      <c r="R1088" s="2"/>
      <c r="S1088" s="2"/>
      <c r="T1088" s="3"/>
      <c r="U1088" s="1"/>
      <c r="V1088" s="1"/>
      <c r="W1088" s="1"/>
      <c r="X1088" s="1"/>
      <c r="Y1088" s="1"/>
      <c r="Z1088" s="1"/>
      <c r="AA1088" s="1"/>
      <c r="AB1088" s="1"/>
    </row>
    <row r="1089" spans="1:28" ht="13.8">
      <c r="A1089" s="260"/>
      <c r="B1089" s="260"/>
      <c r="C1089" s="38"/>
      <c r="D1089" s="4"/>
      <c r="E1089" s="4"/>
      <c r="F1089" s="4"/>
      <c r="G1089" s="4"/>
      <c r="H1089" s="4"/>
      <c r="I1089" s="4"/>
      <c r="J1089" s="4"/>
      <c r="K1089" s="4"/>
      <c r="L1089" s="5"/>
      <c r="M1089" s="5"/>
      <c r="N1089" s="5"/>
      <c r="O1089" s="5"/>
      <c r="P1089" s="5"/>
      <c r="Q1089" s="5"/>
      <c r="R1089" s="5"/>
      <c r="S1089" s="5"/>
      <c r="T1089" s="6"/>
      <c r="U1089" s="1"/>
      <c r="V1089" s="1"/>
      <c r="W1089" s="1"/>
      <c r="X1089" s="1"/>
      <c r="Y1089" s="1"/>
      <c r="Z1089" s="1"/>
      <c r="AA1089" s="1"/>
      <c r="AB1089" s="1"/>
    </row>
    <row r="1090" spans="1:28" ht="13.8">
      <c r="A1090" s="260"/>
      <c r="B1090" s="260"/>
      <c r="C1090" s="38"/>
      <c r="D1090" s="4"/>
      <c r="E1090" s="4"/>
      <c r="F1090" s="4"/>
      <c r="G1090" s="4"/>
      <c r="H1090" s="4"/>
      <c r="I1090" s="4"/>
      <c r="J1090" s="4"/>
      <c r="K1090" s="4"/>
      <c r="L1090" s="5"/>
      <c r="M1090" s="5"/>
      <c r="N1090" s="5"/>
      <c r="O1090" s="5"/>
      <c r="P1090" s="5"/>
      <c r="Q1090" s="5"/>
      <c r="R1090" s="5"/>
      <c r="S1090" s="5"/>
      <c r="T1090" s="6"/>
      <c r="U1090" s="1"/>
      <c r="V1090" s="1"/>
      <c r="W1090" s="1"/>
      <c r="X1090" s="1"/>
      <c r="Y1090" s="1"/>
      <c r="Z1090" s="1"/>
      <c r="AA1090" s="1"/>
      <c r="AB1090" s="1"/>
    </row>
    <row r="1091" spans="1:28" ht="13.8">
      <c r="A1091" s="260"/>
      <c r="B1091" s="260"/>
      <c r="C1091" s="38"/>
      <c r="D1091" s="4"/>
      <c r="E1091" s="4"/>
      <c r="F1091" s="4"/>
      <c r="G1091" s="4"/>
      <c r="H1091" s="4"/>
      <c r="I1091" s="4"/>
      <c r="J1091" s="4"/>
      <c r="K1091" s="4"/>
      <c r="L1091" s="5"/>
      <c r="M1091" s="5"/>
      <c r="N1091" s="5"/>
      <c r="O1091" s="5"/>
      <c r="P1091" s="5"/>
      <c r="Q1091" s="5"/>
      <c r="R1091" s="5"/>
      <c r="S1091" s="5"/>
      <c r="T1091" s="6"/>
      <c r="U1091" s="1"/>
      <c r="V1091" s="1"/>
      <c r="W1091" s="1"/>
      <c r="X1091" s="1"/>
      <c r="Y1091" s="1"/>
      <c r="Z1091" s="1"/>
      <c r="AA1091" s="1"/>
      <c r="AB1091" s="1"/>
    </row>
    <row r="1092" spans="1:28" ht="13.8">
      <c r="A1092" s="260"/>
      <c r="B1092" s="260"/>
      <c r="C1092" s="38"/>
      <c r="D1092" s="4"/>
      <c r="E1092" s="4"/>
      <c r="F1092" s="4"/>
      <c r="G1092" s="4"/>
      <c r="H1092" s="4"/>
      <c r="I1092" s="4"/>
      <c r="J1092" s="4"/>
      <c r="K1092" s="4"/>
      <c r="L1092" s="5"/>
      <c r="M1092" s="5"/>
      <c r="N1092" s="5"/>
      <c r="O1092" s="5"/>
      <c r="P1092" s="5"/>
      <c r="Q1092" s="5"/>
      <c r="R1092" s="5"/>
      <c r="S1092" s="5"/>
      <c r="T1092" s="6"/>
      <c r="U1092" s="1"/>
      <c r="V1092" s="1"/>
      <c r="W1092" s="1"/>
      <c r="X1092" s="1"/>
      <c r="Y1092" s="1"/>
      <c r="Z1092" s="1"/>
      <c r="AA1092" s="1"/>
      <c r="AB1092" s="1"/>
    </row>
    <row r="1093" spans="1:28" ht="13.8">
      <c r="A1093" s="261"/>
      <c r="B1093" s="261"/>
      <c r="C1093" s="115"/>
      <c r="D1093" s="1"/>
      <c r="E1093" s="1"/>
      <c r="F1093" s="1"/>
      <c r="G1093" s="1"/>
      <c r="H1093" s="1"/>
      <c r="I1093" s="1"/>
      <c r="J1093" s="1"/>
      <c r="K1093" s="1"/>
      <c r="L1093" s="2"/>
      <c r="M1093" s="2"/>
      <c r="N1093" s="2"/>
      <c r="O1093" s="2"/>
      <c r="P1093" s="2"/>
      <c r="Q1093" s="2"/>
      <c r="R1093" s="2"/>
      <c r="S1093" s="2"/>
      <c r="T1093" s="3"/>
      <c r="U1093" s="1"/>
      <c r="V1093" s="1"/>
      <c r="W1093" s="1"/>
      <c r="X1093" s="1"/>
      <c r="Y1093" s="1"/>
      <c r="Z1093" s="1"/>
      <c r="AA1093" s="1"/>
      <c r="AB1093" s="1"/>
    </row>
    <row r="1094" spans="1:28" ht="13.8">
      <c r="A1094" s="260"/>
      <c r="B1094" s="260"/>
      <c r="C1094" s="38"/>
      <c r="D1094" s="4"/>
      <c r="E1094" s="4"/>
      <c r="F1094" s="4"/>
      <c r="G1094" s="4"/>
      <c r="H1094" s="4"/>
      <c r="I1094" s="4"/>
      <c r="J1094" s="4"/>
      <c r="K1094" s="4"/>
      <c r="L1094" s="5"/>
      <c r="M1094" s="5"/>
      <c r="N1094" s="5"/>
      <c r="O1094" s="5"/>
      <c r="P1094" s="5"/>
      <c r="Q1094" s="5"/>
      <c r="R1094" s="5"/>
      <c r="S1094" s="5"/>
      <c r="T1094" s="6"/>
      <c r="U1094" s="1"/>
      <c r="V1094" s="1"/>
      <c r="W1094" s="1"/>
      <c r="X1094" s="1"/>
      <c r="Y1094" s="1"/>
      <c r="Z1094" s="1"/>
      <c r="AA1094" s="1"/>
      <c r="AB1094" s="1"/>
    </row>
    <row r="1095" spans="1:28" ht="13.8">
      <c r="A1095" s="260"/>
      <c r="B1095" s="260"/>
      <c r="C1095" s="38"/>
      <c r="D1095" s="4"/>
      <c r="E1095" s="4"/>
      <c r="F1095" s="4"/>
      <c r="G1095" s="4"/>
      <c r="H1095" s="4"/>
      <c r="I1095" s="4"/>
      <c r="J1095" s="4"/>
      <c r="K1095" s="4"/>
      <c r="L1095" s="5"/>
      <c r="M1095" s="5"/>
      <c r="N1095" s="5"/>
      <c r="O1095" s="5"/>
      <c r="P1095" s="5"/>
      <c r="Q1095" s="5"/>
      <c r="R1095" s="5"/>
      <c r="S1095" s="5"/>
      <c r="T1095" s="6"/>
      <c r="U1095" s="1"/>
      <c r="V1095" s="1"/>
      <c r="W1095" s="1"/>
      <c r="X1095" s="1"/>
      <c r="Y1095" s="1"/>
      <c r="Z1095" s="1"/>
      <c r="AA1095" s="1"/>
      <c r="AB1095" s="1"/>
    </row>
    <row r="1096" spans="1:28" ht="13.8">
      <c r="A1096" s="260"/>
      <c r="B1096" s="260"/>
      <c r="C1096" s="38"/>
      <c r="D1096" s="4"/>
      <c r="E1096" s="4"/>
      <c r="F1096" s="4"/>
      <c r="G1096" s="4"/>
      <c r="H1096" s="4"/>
      <c r="I1096" s="4"/>
      <c r="J1096" s="4"/>
      <c r="K1096" s="4"/>
      <c r="L1096" s="5"/>
      <c r="M1096" s="5"/>
      <c r="N1096" s="5"/>
      <c r="O1096" s="5"/>
      <c r="P1096" s="5"/>
      <c r="Q1096" s="5"/>
      <c r="R1096" s="5"/>
      <c r="S1096" s="5"/>
      <c r="T1096" s="6"/>
      <c r="U1096" s="1"/>
      <c r="V1096" s="1"/>
      <c r="W1096" s="1"/>
      <c r="X1096" s="1"/>
      <c r="Y1096" s="1"/>
      <c r="Z1096" s="1"/>
      <c r="AA1096" s="1"/>
      <c r="AB1096" s="1"/>
    </row>
    <row r="1097" spans="1:28" ht="13.8">
      <c r="A1097" s="261"/>
      <c r="B1097" s="261"/>
      <c r="C1097" s="115"/>
      <c r="D1097" s="1"/>
      <c r="E1097" s="1"/>
      <c r="F1097" s="1"/>
      <c r="G1097" s="1"/>
      <c r="H1097" s="1"/>
      <c r="I1097" s="1"/>
      <c r="J1097" s="1"/>
      <c r="K1097" s="1"/>
      <c r="L1097" s="2"/>
      <c r="M1097" s="2"/>
      <c r="N1097" s="2"/>
      <c r="O1097" s="2"/>
      <c r="P1097" s="2"/>
      <c r="Q1097" s="2"/>
      <c r="R1097" s="2"/>
      <c r="S1097" s="2"/>
      <c r="T1097" s="3"/>
      <c r="U1097" s="1"/>
      <c r="V1097" s="1"/>
      <c r="W1097" s="1"/>
      <c r="X1097" s="1"/>
      <c r="Y1097" s="1"/>
      <c r="Z1097" s="1"/>
      <c r="AA1097" s="1"/>
      <c r="AB1097" s="1"/>
    </row>
    <row r="1098" spans="1:28" ht="13.8">
      <c r="A1098" s="261"/>
      <c r="B1098" s="261"/>
      <c r="C1098" s="115"/>
      <c r="D1098" s="1"/>
      <c r="E1098" s="1"/>
      <c r="F1098" s="1"/>
      <c r="G1098" s="1"/>
      <c r="H1098" s="1"/>
      <c r="I1098" s="1"/>
      <c r="J1098" s="1"/>
      <c r="K1098" s="1"/>
      <c r="L1098" s="2"/>
      <c r="M1098" s="2"/>
      <c r="N1098" s="2"/>
      <c r="O1098" s="2"/>
      <c r="P1098" s="2"/>
      <c r="Q1098" s="2"/>
      <c r="R1098" s="2"/>
      <c r="S1098" s="2"/>
      <c r="T1098" s="3"/>
      <c r="U1098" s="1"/>
      <c r="V1098" s="1"/>
      <c r="W1098" s="1"/>
      <c r="X1098" s="1"/>
      <c r="Y1098" s="1"/>
      <c r="Z1098" s="1"/>
      <c r="AA1098" s="1"/>
      <c r="AB1098" s="1"/>
    </row>
    <row r="1099" spans="1:28" ht="13.8">
      <c r="A1099" s="261"/>
      <c r="B1099" s="261"/>
      <c r="C1099" s="115"/>
      <c r="D1099" s="1"/>
      <c r="E1099" s="1"/>
      <c r="F1099" s="1"/>
      <c r="G1099" s="1"/>
      <c r="H1099" s="1"/>
      <c r="I1099" s="1"/>
      <c r="J1099" s="1"/>
      <c r="K1099" s="1"/>
      <c r="L1099" s="2"/>
      <c r="M1099" s="2"/>
      <c r="N1099" s="2"/>
      <c r="O1099" s="2"/>
      <c r="P1099" s="2"/>
      <c r="Q1099" s="2"/>
      <c r="R1099" s="2"/>
      <c r="S1099" s="2"/>
      <c r="T1099" s="3"/>
      <c r="U1099" s="1"/>
      <c r="V1099" s="1"/>
      <c r="W1099" s="1"/>
      <c r="X1099" s="1"/>
      <c r="Y1099" s="1"/>
      <c r="Z1099" s="1"/>
      <c r="AA1099" s="1"/>
      <c r="AB1099" s="1"/>
    </row>
    <row r="1100" spans="1:28" ht="13.8">
      <c r="A1100" s="261"/>
      <c r="B1100" s="261"/>
      <c r="C1100" s="115"/>
      <c r="D1100" s="1"/>
      <c r="E1100" s="1"/>
      <c r="F1100" s="1"/>
      <c r="G1100" s="1"/>
      <c r="H1100" s="1"/>
      <c r="I1100" s="1"/>
      <c r="J1100" s="1"/>
      <c r="K1100" s="1"/>
      <c r="L1100" s="2"/>
      <c r="M1100" s="2"/>
      <c r="N1100" s="2"/>
      <c r="O1100" s="2"/>
      <c r="P1100" s="2"/>
      <c r="Q1100" s="2"/>
      <c r="R1100" s="2"/>
      <c r="S1100" s="2"/>
      <c r="T1100" s="3"/>
      <c r="U1100" s="1"/>
      <c r="V1100" s="1"/>
      <c r="W1100" s="1"/>
      <c r="X1100" s="1"/>
      <c r="Y1100" s="1"/>
      <c r="Z1100" s="1"/>
      <c r="AA1100" s="1"/>
      <c r="AB1100" s="1"/>
    </row>
    <row r="1101" spans="1:28" ht="13.8">
      <c r="A1101" s="261"/>
      <c r="B1101" s="261"/>
      <c r="C1101" s="115"/>
      <c r="D1101" s="1"/>
      <c r="E1101" s="1"/>
      <c r="F1101" s="1"/>
      <c r="G1101" s="1"/>
      <c r="H1101" s="1"/>
      <c r="I1101" s="1"/>
      <c r="J1101" s="1"/>
      <c r="K1101" s="1"/>
      <c r="L1101" s="2"/>
      <c r="M1101" s="2"/>
      <c r="N1101" s="2"/>
      <c r="O1101" s="2"/>
      <c r="P1101" s="2"/>
      <c r="Q1101" s="2"/>
      <c r="R1101" s="2"/>
      <c r="S1101" s="2"/>
      <c r="T1101" s="3"/>
      <c r="U1101" s="1"/>
      <c r="V1101" s="1"/>
      <c r="W1101" s="1"/>
      <c r="X1101" s="1"/>
      <c r="Y1101" s="1"/>
      <c r="Z1101" s="1"/>
      <c r="AA1101" s="1"/>
      <c r="AB1101" s="1"/>
    </row>
    <row r="1102" spans="1:28" ht="13.8">
      <c r="A1102" s="261"/>
      <c r="B1102" s="261"/>
      <c r="C1102" s="115"/>
      <c r="D1102" s="1"/>
      <c r="E1102" s="1"/>
      <c r="F1102" s="1"/>
      <c r="G1102" s="1"/>
      <c r="H1102" s="1"/>
      <c r="I1102" s="1"/>
      <c r="J1102" s="1"/>
      <c r="K1102" s="1"/>
      <c r="L1102" s="2"/>
      <c r="M1102" s="2"/>
      <c r="N1102" s="2"/>
      <c r="O1102" s="2"/>
      <c r="P1102" s="2"/>
      <c r="Q1102" s="2"/>
      <c r="R1102" s="2"/>
      <c r="S1102" s="2"/>
      <c r="T1102" s="3"/>
      <c r="U1102" s="1"/>
      <c r="V1102" s="1"/>
      <c r="W1102" s="1"/>
      <c r="X1102" s="1"/>
      <c r="Y1102" s="1"/>
      <c r="Z1102" s="1"/>
      <c r="AA1102" s="1"/>
      <c r="AB1102" s="1"/>
    </row>
    <row r="1103" spans="1:28" ht="13.8">
      <c r="A1103" s="261"/>
      <c r="B1103" s="261"/>
      <c r="C1103" s="115"/>
      <c r="D1103" s="1"/>
      <c r="E1103" s="1"/>
      <c r="F1103" s="1"/>
      <c r="G1103" s="1"/>
      <c r="H1103" s="1"/>
      <c r="I1103" s="1"/>
      <c r="J1103" s="1"/>
      <c r="K1103" s="1"/>
      <c r="L1103" s="2"/>
      <c r="M1103" s="2"/>
      <c r="N1103" s="2"/>
      <c r="O1103" s="2"/>
      <c r="P1103" s="2"/>
      <c r="Q1103" s="2"/>
      <c r="R1103" s="2"/>
      <c r="S1103" s="2"/>
      <c r="T1103" s="3"/>
      <c r="U1103" s="1"/>
      <c r="V1103" s="1"/>
      <c r="W1103" s="1"/>
      <c r="X1103" s="1"/>
      <c r="Y1103" s="1"/>
      <c r="Z1103" s="1"/>
      <c r="AA1103" s="1"/>
      <c r="AB1103" s="1"/>
    </row>
    <row r="1104" spans="1:28" ht="13.8">
      <c r="A1104" s="261"/>
      <c r="B1104" s="261"/>
      <c r="C1104" s="115"/>
      <c r="D1104" s="1"/>
      <c r="E1104" s="1"/>
      <c r="F1104" s="1"/>
      <c r="G1104" s="1"/>
      <c r="H1104" s="1"/>
      <c r="I1104" s="1"/>
      <c r="J1104" s="1"/>
      <c r="K1104" s="1"/>
      <c r="L1104" s="2"/>
      <c r="M1104" s="2"/>
      <c r="N1104" s="2"/>
      <c r="O1104" s="2"/>
      <c r="P1104" s="2"/>
      <c r="Q1104" s="2"/>
      <c r="R1104" s="2"/>
      <c r="S1104" s="2"/>
      <c r="T1104" s="3"/>
      <c r="U1104" s="1"/>
      <c r="V1104" s="1"/>
      <c r="W1104" s="1"/>
      <c r="X1104" s="1"/>
      <c r="Y1104" s="1"/>
      <c r="Z1104" s="1"/>
      <c r="AA1104" s="1"/>
      <c r="AB1104" s="1"/>
    </row>
    <row r="1105" spans="1:28" ht="13.8">
      <c r="A1105" s="261"/>
      <c r="B1105" s="261"/>
      <c r="C1105" s="115"/>
      <c r="D1105" s="1"/>
      <c r="E1105" s="1"/>
      <c r="F1105" s="1"/>
      <c r="G1105" s="1"/>
      <c r="H1105" s="1"/>
      <c r="I1105" s="1"/>
      <c r="J1105" s="1"/>
      <c r="K1105" s="1"/>
      <c r="L1105" s="2"/>
      <c r="M1105" s="2"/>
      <c r="N1105" s="2"/>
      <c r="O1105" s="2"/>
      <c r="P1105" s="2"/>
      <c r="Q1105" s="2"/>
      <c r="R1105" s="2"/>
      <c r="S1105" s="2"/>
      <c r="T1105" s="3"/>
      <c r="U1105" s="1"/>
      <c r="V1105" s="1"/>
      <c r="W1105" s="1"/>
      <c r="X1105" s="1"/>
      <c r="Y1105" s="1"/>
      <c r="Z1105" s="1"/>
      <c r="AA1105" s="1"/>
      <c r="AB1105" s="1"/>
    </row>
    <row r="1106" spans="1:28" ht="13.8">
      <c r="A1106" s="261"/>
      <c r="B1106" s="261"/>
      <c r="C1106" s="115"/>
      <c r="D1106" s="1"/>
      <c r="E1106" s="1"/>
      <c r="F1106" s="1"/>
      <c r="G1106" s="1"/>
      <c r="H1106" s="1"/>
      <c r="I1106" s="1"/>
      <c r="J1106" s="1"/>
      <c r="K1106" s="1"/>
      <c r="L1106" s="2"/>
      <c r="M1106" s="2"/>
      <c r="N1106" s="2"/>
      <c r="O1106" s="2"/>
      <c r="P1106" s="2"/>
      <c r="Q1106" s="2"/>
      <c r="R1106" s="2"/>
      <c r="S1106" s="2"/>
      <c r="T1106" s="3"/>
      <c r="U1106" s="1"/>
      <c r="V1106" s="1"/>
      <c r="W1106" s="1"/>
      <c r="X1106" s="1"/>
      <c r="Y1106" s="1"/>
      <c r="Z1106" s="1"/>
      <c r="AA1106" s="1"/>
      <c r="AB1106" s="1"/>
    </row>
    <row r="1107" spans="1:28" ht="13.8">
      <c r="A1107" s="261"/>
      <c r="B1107" s="261"/>
      <c r="C1107" s="115"/>
      <c r="D1107" s="1"/>
      <c r="E1107" s="1"/>
      <c r="F1107" s="1"/>
      <c r="G1107" s="1"/>
      <c r="H1107" s="1"/>
      <c r="I1107" s="1"/>
      <c r="J1107" s="1"/>
      <c r="K1107" s="1"/>
      <c r="L1107" s="2"/>
      <c r="M1107" s="2"/>
      <c r="N1107" s="2"/>
      <c r="O1107" s="2"/>
      <c r="P1107" s="2"/>
      <c r="Q1107" s="2"/>
      <c r="R1107" s="2"/>
      <c r="S1107" s="2"/>
      <c r="T1107" s="3"/>
      <c r="U1107" s="1"/>
      <c r="V1107" s="1"/>
      <c r="W1107" s="1"/>
      <c r="X1107" s="1"/>
      <c r="Y1107" s="1"/>
      <c r="Z1107" s="1"/>
      <c r="AA1107" s="1"/>
      <c r="AB1107" s="1"/>
    </row>
    <row r="1108" spans="1:28" ht="13.8">
      <c r="A1108" s="261"/>
      <c r="B1108" s="261"/>
      <c r="C1108" s="115"/>
      <c r="D1108" s="1"/>
      <c r="E1108" s="1"/>
      <c r="F1108" s="1"/>
      <c r="G1108" s="1"/>
      <c r="H1108" s="1"/>
      <c r="I1108" s="1"/>
      <c r="J1108" s="1"/>
      <c r="K1108" s="1"/>
      <c r="L1108" s="2"/>
      <c r="M1108" s="2"/>
      <c r="N1108" s="2"/>
      <c r="O1108" s="2"/>
      <c r="P1108" s="2"/>
      <c r="Q1108" s="2"/>
      <c r="R1108" s="2"/>
      <c r="S1108" s="2"/>
      <c r="T1108" s="3"/>
      <c r="U1108" s="1"/>
      <c r="V1108" s="1"/>
      <c r="W1108" s="1"/>
      <c r="X1108" s="1"/>
      <c r="Y1108" s="1"/>
      <c r="Z1108" s="1"/>
      <c r="AA1108" s="1"/>
      <c r="AB1108" s="1"/>
    </row>
    <row r="1109" spans="1:28" ht="13.8">
      <c r="A1109" s="261"/>
      <c r="B1109" s="261"/>
      <c r="C1109" s="115"/>
      <c r="D1109" s="1"/>
      <c r="E1109" s="1"/>
      <c r="F1109" s="1"/>
      <c r="G1109" s="1"/>
      <c r="H1109" s="1"/>
      <c r="I1109" s="1"/>
      <c r="J1109" s="1"/>
      <c r="K1109" s="1"/>
      <c r="L1109" s="2"/>
      <c r="M1109" s="2"/>
      <c r="N1109" s="2"/>
      <c r="O1109" s="2"/>
      <c r="P1109" s="2"/>
      <c r="Q1109" s="2"/>
      <c r="R1109" s="2"/>
      <c r="S1109" s="2"/>
      <c r="T1109" s="3"/>
      <c r="U1109" s="1"/>
      <c r="V1109" s="1"/>
      <c r="W1109" s="1"/>
      <c r="X1109" s="1"/>
      <c r="Y1109" s="1"/>
      <c r="Z1109" s="1"/>
      <c r="AA1109" s="1"/>
      <c r="AB1109" s="1"/>
    </row>
    <row r="1110" spans="1:28" ht="13.8">
      <c r="A1110" s="261"/>
      <c r="B1110" s="261"/>
      <c r="C1110" s="115"/>
      <c r="D1110" s="1"/>
      <c r="E1110" s="1"/>
      <c r="F1110" s="1"/>
      <c r="G1110" s="1"/>
      <c r="H1110" s="1"/>
      <c r="I1110" s="1"/>
      <c r="J1110" s="1"/>
      <c r="K1110" s="1"/>
      <c r="L1110" s="2"/>
      <c r="M1110" s="2"/>
      <c r="N1110" s="2"/>
      <c r="O1110" s="2"/>
      <c r="P1110" s="2"/>
      <c r="Q1110" s="2"/>
      <c r="R1110" s="2"/>
      <c r="S1110" s="2"/>
      <c r="T1110" s="3"/>
      <c r="U1110" s="1"/>
      <c r="V1110" s="1"/>
      <c r="W1110" s="1"/>
      <c r="X1110" s="1"/>
      <c r="Y1110" s="1"/>
      <c r="Z1110" s="1"/>
      <c r="AA1110" s="1"/>
      <c r="AB1110" s="1"/>
    </row>
    <row r="1111" spans="1:28" ht="13.8">
      <c r="A1111" s="261"/>
      <c r="B1111" s="261"/>
      <c r="C1111" s="115"/>
      <c r="D1111" s="1"/>
      <c r="E1111" s="1"/>
      <c r="F1111" s="1"/>
      <c r="G1111" s="1"/>
      <c r="H1111" s="1"/>
      <c r="I1111" s="1"/>
      <c r="J1111" s="1"/>
      <c r="K1111" s="1"/>
      <c r="L1111" s="2"/>
      <c r="M1111" s="2"/>
      <c r="N1111" s="2"/>
      <c r="O1111" s="2"/>
      <c r="P1111" s="2"/>
      <c r="Q1111" s="2"/>
      <c r="R1111" s="2"/>
      <c r="S1111" s="2"/>
      <c r="T1111" s="3"/>
      <c r="U1111" s="1"/>
      <c r="V1111" s="1"/>
      <c r="W1111" s="1"/>
      <c r="X1111" s="1"/>
      <c r="Y1111" s="1"/>
      <c r="Z1111" s="1"/>
      <c r="AA1111" s="1"/>
      <c r="AB1111" s="1"/>
    </row>
    <row r="1112" spans="1:28" ht="13.8">
      <c r="A1112" s="261"/>
      <c r="B1112" s="261"/>
      <c r="C1112" s="115"/>
      <c r="D1112" s="1"/>
      <c r="E1112" s="1"/>
      <c r="F1112" s="1"/>
      <c r="G1112" s="1"/>
      <c r="H1112" s="1"/>
      <c r="I1112" s="1"/>
      <c r="J1112" s="1"/>
      <c r="K1112" s="1"/>
      <c r="L1112" s="2"/>
      <c r="M1112" s="2"/>
      <c r="N1112" s="2"/>
      <c r="O1112" s="2"/>
      <c r="P1112" s="2"/>
      <c r="Q1112" s="2"/>
      <c r="R1112" s="2"/>
      <c r="S1112" s="2"/>
      <c r="T1112" s="3"/>
      <c r="U1112" s="1"/>
      <c r="V1112" s="1"/>
      <c r="W1112" s="1"/>
      <c r="X1112" s="1"/>
      <c r="Y1112" s="1"/>
      <c r="Z1112" s="1"/>
      <c r="AA1112" s="1"/>
      <c r="AB1112" s="1"/>
    </row>
    <row r="1113" spans="1:28" ht="13.8">
      <c r="A1113" s="261"/>
      <c r="B1113" s="261"/>
      <c r="C1113" s="115"/>
      <c r="D1113" s="1"/>
      <c r="E1113" s="1"/>
      <c r="F1113" s="1"/>
      <c r="G1113" s="1"/>
      <c r="H1113" s="1"/>
      <c r="I1113" s="1"/>
      <c r="J1113" s="1"/>
      <c r="K1113" s="1"/>
      <c r="L1113" s="2"/>
      <c r="M1113" s="2"/>
      <c r="N1113" s="2"/>
      <c r="O1113" s="2"/>
      <c r="P1113" s="2"/>
      <c r="Q1113" s="2"/>
      <c r="R1113" s="2"/>
      <c r="S1113" s="2"/>
      <c r="T1113" s="3"/>
      <c r="U1113" s="1"/>
      <c r="V1113" s="1"/>
      <c r="W1113" s="1"/>
      <c r="X1113" s="1"/>
      <c r="Y1113" s="1"/>
      <c r="Z1113" s="1"/>
      <c r="AA1113" s="1"/>
      <c r="AB1113" s="1"/>
    </row>
    <row r="1114" spans="1:28" ht="13.8">
      <c r="A1114" s="261"/>
      <c r="B1114" s="261"/>
      <c r="C1114" s="115"/>
      <c r="D1114" s="1"/>
      <c r="E1114" s="1"/>
      <c r="F1114" s="1"/>
      <c r="G1114" s="1"/>
      <c r="H1114" s="1"/>
      <c r="I1114" s="1"/>
      <c r="J1114" s="1"/>
      <c r="K1114" s="1"/>
      <c r="L1114" s="2"/>
      <c r="M1114" s="2"/>
      <c r="N1114" s="2"/>
      <c r="O1114" s="2"/>
      <c r="P1114" s="2"/>
      <c r="Q1114" s="2"/>
      <c r="R1114" s="2"/>
      <c r="S1114" s="2"/>
      <c r="T1114" s="3"/>
      <c r="U1114" s="1"/>
      <c r="V1114" s="1"/>
      <c r="W1114" s="1"/>
      <c r="X1114" s="1"/>
      <c r="Y1114" s="1"/>
      <c r="Z1114" s="1"/>
      <c r="AA1114" s="1"/>
      <c r="AB1114" s="1"/>
    </row>
    <row r="1115" spans="1:28" ht="13.8">
      <c r="A1115" s="261"/>
      <c r="B1115" s="261"/>
      <c r="C1115" s="115"/>
      <c r="D1115" s="1"/>
      <c r="E1115" s="1"/>
      <c r="F1115" s="1"/>
      <c r="G1115" s="1"/>
      <c r="H1115" s="1"/>
      <c r="I1115" s="1"/>
      <c r="J1115" s="1"/>
      <c r="K1115" s="1"/>
      <c r="L1115" s="2"/>
      <c r="M1115" s="2"/>
      <c r="N1115" s="2"/>
      <c r="O1115" s="2"/>
      <c r="P1115" s="2"/>
      <c r="Q1115" s="2"/>
      <c r="R1115" s="2"/>
      <c r="S1115" s="2"/>
      <c r="T1115" s="3"/>
      <c r="U1115" s="1"/>
      <c r="V1115" s="1"/>
      <c r="W1115" s="1"/>
      <c r="X1115" s="1"/>
      <c r="Y1115" s="1"/>
      <c r="Z1115" s="1"/>
      <c r="AA1115" s="1"/>
      <c r="AB1115" s="1"/>
    </row>
    <row r="1116" spans="1:28" ht="13.8">
      <c r="A1116" s="261"/>
      <c r="B1116" s="261"/>
      <c r="C1116" s="115"/>
      <c r="D1116" s="1"/>
      <c r="E1116" s="1"/>
      <c r="F1116" s="1"/>
      <c r="G1116" s="1"/>
      <c r="H1116" s="1"/>
      <c r="I1116" s="1"/>
      <c r="J1116" s="1"/>
      <c r="K1116" s="1"/>
      <c r="L1116" s="2"/>
      <c r="M1116" s="2"/>
      <c r="N1116" s="2"/>
      <c r="O1116" s="2"/>
      <c r="P1116" s="2"/>
      <c r="Q1116" s="2"/>
      <c r="R1116" s="2"/>
      <c r="S1116" s="2"/>
      <c r="T1116" s="3"/>
      <c r="U1116" s="1"/>
      <c r="V1116" s="1"/>
      <c r="W1116" s="1"/>
      <c r="X1116" s="1"/>
      <c r="Y1116" s="1"/>
      <c r="Z1116" s="1"/>
      <c r="AA1116" s="1"/>
      <c r="AB1116" s="1"/>
    </row>
    <row r="1117" spans="1:28" ht="13.8">
      <c r="A1117" s="261"/>
      <c r="B1117" s="261"/>
      <c r="C1117" s="115"/>
      <c r="D1117" s="1"/>
      <c r="E1117" s="1"/>
      <c r="F1117" s="1"/>
      <c r="G1117" s="1"/>
      <c r="H1117" s="1"/>
      <c r="I1117" s="1"/>
      <c r="J1117" s="1"/>
      <c r="K1117" s="1"/>
      <c r="L1117" s="2"/>
      <c r="M1117" s="2"/>
      <c r="N1117" s="2"/>
      <c r="O1117" s="2"/>
      <c r="P1117" s="2"/>
      <c r="Q1117" s="2"/>
      <c r="R1117" s="2"/>
      <c r="S1117" s="2"/>
      <c r="T1117" s="3"/>
      <c r="U1117" s="1"/>
      <c r="V1117" s="1"/>
      <c r="W1117" s="1"/>
      <c r="X1117" s="1"/>
      <c r="Y1117" s="1"/>
      <c r="Z1117" s="1"/>
      <c r="AA1117" s="1"/>
      <c r="AB1117" s="1"/>
    </row>
    <row r="1118" spans="1:28" ht="13.8">
      <c r="A1118" s="261"/>
      <c r="B1118" s="261"/>
      <c r="C1118" s="115"/>
      <c r="D1118" s="1"/>
      <c r="E1118" s="1"/>
      <c r="F1118" s="1"/>
      <c r="G1118" s="1"/>
      <c r="H1118" s="1"/>
      <c r="I1118" s="1"/>
      <c r="J1118" s="1"/>
      <c r="K1118" s="1"/>
      <c r="L1118" s="2"/>
      <c r="M1118" s="2"/>
      <c r="N1118" s="2"/>
      <c r="O1118" s="2"/>
      <c r="P1118" s="2"/>
      <c r="Q1118" s="2"/>
      <c r="R1118" s="2"/>
      <c r="S1118" s="2"/>
      <c r="T1118" s="3"/>
      <c r="U1118" s="1"/>
      <c r="V1118" s="1"/>
      <c r="W1118" s="1"/>
      <c r="X1118" s="1"/>
      <c r="Y1118" s="1"/>
      <c r="Z1118" s="1"/>
      <c r="AA1118" s="1"/>
      <c r="AB1118" s="1"/>
    </row>
    <row r="1119" spans="1:28" ht="13.8">
      <c r="A1119" s="261"/>
      <c r="B1119" s="261"/>
      <c r="C1119" s="115"/>
      <c r="D1119" s="1"/>
      <c r="E1119" s="1"/>
      <c r="F1119" s="1"/>
      <c r="G1119" s="1"/>
      <c r="H1119" s="1"/>
      <c r="I1119" s="1"/>
      <c r="J1119" s="1"/>
      <c r="K1119" s="1"/>
      <c r="L1119" s="2"/>
      <c r="M1119" s="2"/>
      <c r="N1119" s="2"/>
      <c r="O1119" s="2"/>
      <c r="P1119" s="2"/>
      <c r="Q1119" s="2"/>
      <c r="R1119" s="2"/>
      <c r="S1119" s="2"/>
      <c r="T1119" s="3"/>
      <c r="U1119" s="1"/>
      <c r="V1119" s="1"/>
      <c r="W1119" s="1"/>
      <c r="X1119" s="1"/>
      <c r="Y1119" s="1"/>
      <c r="Z1119" s="1"/>
      <c r="AA1119" s="1"/>
      <c r="AB1119" s="1"/>
    </row>
    <row r="1120" spans="1:28" ht="13.8">
      <c r="A1120" s="261"/>
      <c r="B1120" s="261"/>
      <c r="C1120" s="115"/>
      <c r="D1120" s="1"/>
      <c r="E1120" s="1"/>
      <c r="F1120" s="1"/>
      <c r="G1120" s="1"/>
      <c r="H1120" s="1"/>
      <c r="I1120" s="1"/>
      <c r="J1120" s="1"/>
      <c r="K1120" s="1"/>
      <c r="L1120" s="2"/>
      <c r="M1120" s="2"/>
      <c r="N1120" s="2"/>
      <c r="O1120" s="2"/>
      <c r="P1120" s="2"/>
      <c r="Q1120" s="2"/>
      <c r="R1120" s="2"/>
      <c r="S1120" s="2"/>
      <c r="T1120" s="3"/>
      <c r="U1120" s="1"/>
      <c r="V1120" s="1"/>
      <c r="W1120" s="1"/>
      <c r="X1120" s="1"/>
      <c r="Y1120" s="1"/>
      <c r="Z1120" s="1"/>
      <c r="AA1120" s="1"/>
      <c r="AB1120" s="1"/>
    </row>
    <row r="1121" spans="1:28" ht="13.8">
      <c r="A1121" s="261"/>
      <c r="B1121" s="261"/>
      <c r="C1121" s="115"/>
      <c r="D1121" s="1"/>
      <c r="E1121" s="1"/>
      <c r="F1121" s="1"/>
      <c r="G1121" s="1"/>
      <c r="H1121" s="1"/>
      <c r="I1121" s="1"/>
      <c r="J1121" s="1"/>
      <c r="K1121" s="1"/>
      <c r="L1121" s="2"/>
      <c r="M1121" s="2"/>
      <c r="N1121" s="2"/>
      <c r="O1121" s="2"/>
      <c r="P1121" s="2"/>
      <c r="Q1121" s="2"/>
      <c r="R1121" s="2"/>
      <c r="S1121" s="2"/>
      <c r="T1121" s="3"/>
      <c r="U1121" s="1"/>
      <c r="V1121" s="1"/>
      <c r="W1121" s="1"/>
      <c r="X1121" s="1"/>
      <c r="Y1121" s="1"/>
      <c r="Z1121" s="1"/>
      <c r="AA1121" s="1"/>
      <c r="AB1121" s="1"/>
    </row>
    <row r="1122" spans="1:28" ht="13.8">
      <c r="A1122" s="261"/>
      <c r="B1122" s="261"/>
      <c r="C1122" s="115"/>
      <c r="D1122" s="1"/>
      <c r="E1122" s="1"/>
      <c r="F1122" s="1"/>
      <c r="G1122" s="1"/>
      <c r="H1122" s="1"/>
      <c r="I1122" s="1"/>
      <c r="J1122" s="1"/>
      <c r="K1122" s="1"/>
      <c r="L1122" s="2"/>
      <c r="M1122" s="2"/>
      <c r="N1122" s="2"/>
      <c r="O1122" s="2"/>
      <c r="P1122" s="2"/>
      <c r="Q1122" s="2"/>
      <c r="R1122" s="2"/>
      <c r="S1122" s="2"/>
      <c r="T1122" s="3"/>
      <c r="U1122" s="1"/>
      <c r="V1122" s="1"/>
      <c r="W1122" s="1"/>
      <c r="X1122" s="1"/>
      <c r="Y1122" s="1"/>
      <c r="Z1122" s="1"/>
      <c r="AA1122" s="1"/>
      <c r="AB1122" s="1"/>
    </row>
    <row r="1123" spans="1:28" ht="13.8">
      <c r="A1123" s="261"/>
      <c r="B1123" s="261"/>
      <c r="C1123" s="115"/>
      <c r="D1123" s="1"/>
      <c r="E1123" s="1"/>
      <c r="F1123" s="1"/>
      <c r="G1123" s="1"/>
      <c r="H1123" s="1"/>
      <c r="I1123" s="1"/>
      <c r="J1123" s="1"/>
      <c r="K1123" s="1"/>
      <c r="L1123" s="2"/>
      <c r="M1123" s="2"/>
      <c r="N1123" s="2"/>
      <c r="O1123" s="2"/>
      <c r="P1123" s="2"/>
      <c r="Q1123" s="2"/>
      <c r="R1123" s="2"/>
      <c r="S1123" s="2"/>
      <c r="T1123" s="3"/>
      <c r="U1123" s="1"/>
      <c r="V1123" s="1"/>
      <c r="W1123" s="1"/>
      <c r="X1123" s="1"/>
      <c r="Y1123" s="1"/>
      <c r="Z1123" s="1"/>
      <c r="AA1123" s="1"/>
      <c r="AB1123" s="1"/>
    </row>
    <row r="1124" spans="1:28" ht="13.8">
      <c r="A1124" s="261"/>
      <c r="B1124" s="261"/>
      <c r="C1124" s="115"/>
      <c r="D1124" s="1"/>
      <c r="E1124" s="1"/>
      <c r="F1124" s="1"/>
      <c r="G1124" s="1"/>
      <c r="H1124" s="1"/>
      <c r="I1124" s="1"/>
      <c r="J1124" s="1"/>
      <c r="K1124" s="1"/>
      <c r="L1124" s="2"/>
      <c r="M1124" s="2"/>
      <c r="N1124" s="2"/>
      <c r="O1124" s="2"/>
      <c r="P1124" s="2"/>
      <c r="Q1124" s="2"/>
      <c r="R1124" s="2"/>
      <c r="S1124" s="2"/>
      <c r="T1124" s="3"/>
      <c r="U1124" s="1"/>
      <c r="V1124" s="1"/>
      <c r="W1124" s="1"/>
      <c r="X1124" s="1"/>
      <c r="Y1124" s="1"/>
      <c r="Z1124" s="1"/>
      <c r="AA1124" s="1"/>
      <c r="AB1124" s="1"/>
    </row>
    <row r="1125" spans="1:28" ht="13.8">
      <c r="A1125" s="261"/>
      <c r="B1125" s="261"/>
      <c r="C1125" s="115"/>
      <c r="D1125" s="1"/>
      <c r="E1125" s="1"/>
      <c r="F1125" s="1"/>
      <c r="G1125" s="1"/>
      <c r="H1125" s="1"/>
      <c r="I1125" s="1"/>
      <c r="J1125" s="1"/>
      <c r="K1125" s="1"/>
      <c r="L1125" s="2"/>
      <c r="M1125" s="2"/>
      <c r="N1125" s="2"/>
      <c r="O1125" s="2"/>
      <c r="P1125" s="2"/>
      <c r="Q1125" s="2"/>
      <c r="R1125" s="2"/>
      <c r="S1125" s="2"/>
      <c r="T1125" s="3"/>
      <c r="U1125" s="1"/>
      <c r="V1125" s="1"/>
      <c r="W1125" s="1"/>
      <c r="X1125" s="1"/>
      <c r="Y1125" s="1"/>
      <c r="Z1125" s="1"/>
      <c r="AA1125" s="1"/>
      <c r="AB1125" s="1"/>
    </row>
    <row r="1126" spans="1:28" ht="13.8">
      <c r="A1126" s="261"/>
      <c r="B1126" s="261"/>
      <c r="C1126" s="115"/>
      <c r="D1126" s="1"/>
      <c r="E1126" s="1"/>
      <c r="F1126" s="1"/>
      <c r="G1126" s="1"/>
      <c r="H1126" s="1"/>
      <c r="I1126" s="1"/>
      <c r="J1126" s="1"/>
      <c r="K1126" s="1"/>
      <c r="L1126" s="2"/>
      <c r="M1126" s="2"/>
      <c r="N1126" s="2"/>
      <c r="O1126" s="2"/>
      <c r="P1126" s="2"/>
      <c r="Q1126" s="2"/>
      <c r="R1126" s="2"/>
      <c r="S1126" s="2"/>
      <c r="T1126" s="3"/>
      <c r="U1126" s="1"/>
      <c r="V1126" s="1"/>
      <c r="W1126" s="1"/>
      <c r="X1126" s="1"/>
      <c r="Y1126" s="1"/>
      <c r="Z1126" s="1"/>
      <c r="AA1126" s="1"/>
      <c r="AB1126" s="1"/>
    </row>
    <row r="1127" spans="1:28" ht="13.8">
      <c r="A1127" s="261"/>
      <c r="B1127" s="261"/>
      <c r="C1127" s="115"/>
      <c r="D1127" s="1"/>
      <c r="E1127" s="1"/>
      <c r="F1127" s="1"/>
      <c r="G1127" s="1"/>
      <c r="H1127" s="1"/>
      <c r="I1127" s="1"/>
      <c r="J1127" s="1"/>
      <c r="K1127" s="1"/>
      <c r="L1127" s="2"/>
      <c r="M1127" s="2"/>
      <c r="N1127" s="2"/>
      <c r="O1127" s="2"/>
      <c r="P1127" s="2"/>
      <c r="Q1127" s="2"/>
      <c r="R1127" s="2"/>
      <c r="S1127" s="2"/>
      <c r="T1127" s="3"/>
      <c r="U1127" s="1"/>
      <c r="V1127" s="1"/>
      <c r="W1127" s="1"/>
      <c r="X1127" s="1"/>
      <c r="Y1127" s="1"/>
      <c r="Z1127" s="1"/>
      <c r="AA1127" s="1"/>
      <c r="AB1127" s="1"/>
    </row>
    <row r="1128" spans="1:28" ht="13.8">
      <c r="A1128" s="261"/>
      <c r="B1128" s="261"/>
      <c r="C1128" s="115"/>
      <c r="D1128" s="1"/>
      <c r="E1128" s="1"/>
      <c r="F1128" s="1"/>
      <c r="G1128" s="1"/>
      <c r="H1128" s="1"/>
      <c r="I1128" s="1"/>
      <c r="J1128" s="1"/>
      <c r="K1128" s="1"/>
      <c r="L1128" s="2"/>
      <c r="M1128" s="2"/>
      <c r="N1128" s="2"/>
      <c r="O1128" s="2"/>
      <c r="P1128" s="2"/>
      <c r="Q1128" s="2"/>
      <c r="R1128" s="2"/>
      <c r="S1128" s="2"/>
      <c r="T1128" s="3"/>
      <c r="U1128" s="1"/>
      <c r="V1128" s="1"/>
      <c r="W1128" s="1"/>
      <c r="X1128" s="1"/>
      <c r="Y1128" s="1"/>
      <c r="Z1128" s="1"/>
      <c r="AA1128" s="1"/>
      <c r="AB1128" s="1"/>
    </row>
    <row r="1129" spans="1:28" ht="13.8">
      <c r="A1129" s="261"/>
      <c r="B1129" s="261"/>
      <c r="C1129" s="115"/>
      <c r="D1129" s="1"/>
      <c r="E1129" s="1"/>
      <c r="F1129" s="1"/>
      <c r="G1129" s="1"/>
      <c r="H1129" s="1"/>
      <c r="I1129" s="1"/>
      <c r="J1129" s="1"/>
      <c r="K1129" s="1"/>
      <c r="L1129" s="2"/>
      <c r="M1129" s="2"/>
      <c r="N1129" s="2"/>
      <c r="O1129" s="2"/>
      <c r="P1129" s="2"/>
      <c r="Q1129" s="2"/>
      <c r="R1129" s="2"/>
      <c r="S1129" s="2"/>
      <c r="T1129" s="3"/>
      <c r="U1129" s="1"/>
      <c r="V1129" s="1"/>
      <c r="W1129" s="1"/>
      <c r="X1129" s="1"/>
      <c r="Y1129" s="1"/>
      <c r="Z1129" s="1"/>
      <c r="AA1129" s="1"/>
      <c r="AB1129" s="1"/>
    </row>
    <row r="1130" spans="1:28" ht="13.8">
      <c r="A1130" s="261"/>
      <c r="B1130" s="261"/>
      <c r="C1130" s="115"/>
      <c r="D1130" s="1"/>
      <c r="E1130" s="1"/>
      <c r="F1130" s="1"/>
      <c r="G1130" s="1"/>
      <c r="H1130" s="1"/>
      <c r="I1130" s="1"/>
      <c r="J1130" s="1"/>
      <c r="K1130" s="1"/>
      <c r="L1130" s="2"/>
      <c r="M1130" s="2"/>
      <c r="N1130" s="2"/>
      <c r="O1130" s="2"/>
      <c r="P1130" s="2"/>
      <c r="Q1130" s="2"/>
      <c r="R1130" s="2"/>
      <c r="S1130" s="2"/>
      <c r="T1130" s="3"/>
      <c r="U1130" s="1"/>
      <c r="V1130" s="1"/>
      <c r="W1130" s="1"/>
      <c r="X1130" s="1"/>
      <c r="Y1130" s="1"/>
      <c r="Z1130" s="1"/>
      <c r="AA1130" s="1"/>
      <c r="AB1130" s="1"/>
    </row>
    <row r="1131" spans="1:28" ht="13.8">
      <c r="A1131" s="261"/>
      <c r="B1131" s="261"/>
      <c r="C1131" s="115"/>
      <c r="D1131" s="1"/>
      <c r="E1131" s="1"/>
      <c r="F1131" s="1"/>
      <c r="G1131" s="1"/>
      <c r="H1131" s="1"/>
      <c r="I1131" s="1"/>
      <c r="J1131" s="1"/>
      <c r="K1131" s="1"/>
      <c r="L1131" s="2"/>
      <c r="M1131" s="2"/>
      <c r="N1131" s="2"/>
      <c r="O1131" s="2"/>
      <c r="P1131" s="2"/>
      <c r="Q1131" s="2"/>
      <c r="R1131" s="2"/>
      <c r="S1131" s="2"/>
      <c r="T1131" s="3"/>
      <c r="U1131" s="1"/>
      <c r="V1131" s="1"/>
      <c r="W1131" s="1"/>
      <c r="X1131" s="1"/>
      <c r="Y1131" s="1"/>
      <c r="Z1131" s="1"/>
      <c r="AA1131" s="1"/>
      <c r="AB1131" s="1"/>
    </row>
    <row r="1132" spans="1:28" ht="13.8">
      <c r="A1132" s="261"/>
      <c r="B1132" s="261"/>
      <c r="C1132" s="115"/>
      <c r="D1132" s="1"/>
      <c r="E1132" s="1"/>
      <c r="F1132" s="1"/>
      <c r="G1132" s="1"/>
      <c r="H1132" s="1"/>
      <c r="I1132" s="1"/>
      <c r="J1132" s="1"/>
      <c r="K1132" s="1"/>
      <c r="L1132" s="2"/>
      <c r="M1132" s="2"/>
      <c r="N1132" s="2"/>
      <c r="O1132" s="2"/>
      <c r="P1132" s="2"/>
      <c r="Q1132" s="2"/>
      <c r="R1132" s="2"/>
      <c r="S1132" s="2"/>
      <c r="T1132" s="3"/>
      <c r="U1132" s="1"/>
      <c r="V1132" s="1"/>
      <c r="W1132" s="1"/>
      <c r="X1132" s="1"/>
      <c r="Y1132" s="1"/>
      <c r="Z1132" s="1"/>
      <c r="AA1132" s="1"/>
      <c r="AB1132" s="1"/>
    </row>
    <row r="1133" spans="1:28" ht="13.8">
      <c r="A1133" s="261"/>
      <c r="B1133" s="261"/>
      <c r="C1133" s="115"/>
      <c r="D1133" s="1"/>
      <c r="E1133" s="1"/>
      <c r="F1133" s="1"/>
      <c r="G1133" s="1"/>
      <c r="H1133" s="1"/>
      <c r="I1133" s="1"/>
      <c r="J1133" s="1"/>
      <c r="K1133" s="1"/>
      <c r="L1133" s="2"/>
      <c r="M1133" s="2"/>
      <c r="N1133" s="2"/>
      <c r="O1133" s="2"/>
      <c r="P1133" s="2"/>
      <c r="Q1133" s="2"/>
      <c r="R1133" s="2"/>
      <c r="S1133" s="2"/>
      <c r="T1133" s="3"/>
      <c r="U1133" s="1"/>
      <c r="V1133" s="1"/>
      <c r="W1133" s="1"/>
      <c r="X1133" s="1"/>
      <c r="Y1133" s="1"/>
      <c r="Z1133" s="1"/>
      <c r="AA1133" s="1"/>
      <c r="AB1133" s="1"/>
    </row>
    <row r="1134" spans="1:28" ht="13.8">
      <c r="A1134" s="261"/>
      <c r="B1134" s="261"/>
      <c r="C1134" s="115"/>
      <c r="D1134" s="1"/>
      <c r="E1134" s="1"/>
      <c r="F1134" s="1"/>
      <c r="G1134" s="1"/>
      <c r="H1134" s="1"/>
      <c r="I1134" s="1"/>
      <c r="J1134" s="1"/>
      <c r="K1134" s="1"/>
      <c r="L1134" s="2"/>
      <c r="M1134" s="2"/>
      <c r="N1134" s="2"/>
      <c r="O1134" s="2"/>
      <c r="P1134" s="2"/>
      <c r="Q1134" s="2"/>
      <c r="R1134" s="2"/>
      <c r="S1134" s="2"/>
      <c r="T1134" s="3"/>
      <c r="U1134" s="1"/>
      <c r="V1134" s="1"/>
      <c r="W1134" s="1"/>
      <c r="X1134" s="1"/>
      <c r="Y1134" s="1"/>
      <c r="Z1134" s="1"/>
      <c r="AA1134" s="1"/>
      <c r="AB1134" s="1"/>
    </row>
    <row r="1135" spans="1:28" ht="13.8">
      <c r="A1135" s="261"/>
      <c r="B1135" s="261"/>
      <c r="C1135" s="115"/>
      <c r="D1135" s="1"/>
      <c r="E1135" s="1"/>
      <c r="F1135" s="1"/>
      <c r="G1135" s="1"/>
      <c r="H1135" s="1"/>
      <c r="I1135" s="1"/>
      <c r="J1135" s="1"/>
      <c r="K1135" s="1"/>
      <c r="L1135" s="2"/>
      <c r="M1135" s="2"/>
      <c r="N1135" s="2"/>
      <c r="O1135" s="2"/>
      <c r="P1135" s="2"/>
      <c r="Q1135" s="2"/>
      <c r="R1135" s="2"/>
      <c r="S1135" s="2"/>
      <c r="T1135" s="3"/>
      <c r="U1135" s="1"/>
      <c r="V1135" s="1"/>
      <c r="W1135" s="1"/>
      <c r="X1135" s="1"/>
      <c r="Y1135" s="1"/>
      <c r="Z1135" s="1"/>
      <c r="AA1135" s="1"/>
      <c r="AB1135" s="1"/>
    </row>
    <row r="1136" spans="1:28" ht="13.8">
      <c r="A1136" s="261"/>
      <c r="B1136" s="261"/>
      <c r="C1136" s="115"/>
      <c r="D1136" s="1"/>
      <c r="E1136" s="1"/>
      <c r="F1136" s="1"/>
      <c r="G1136" s="1"/>
      <c r="H1136" s="1"/>
      <c r="I1136" s="1"/>
      <c r="J1136" s="1"/>
      <c r="K1136" s="1"/>
      <c r="L1136" s="2"/>
      <c r="M1136" s="2"/>
      <c r="N1136" s="2"/>
      <c r="O1136" s="2"/>
      <c r="P1136" s="2"/>
      <c r="Q1136" s="2"/>
      <c r="R1136" s="2"/>
      <c r="S1136" s="2"/>
      <c r="T1136" s="3"/>
      <c r="U1136" s="1"/>
      <c r="V1136" s="1"/>
      <c r="W1136" s="1"/>
      <c r="X1136" s="1"/>
      <c r="Y1136" s="1"/>
      <c r="Z1136" s="1"/>
      <c r="AA1136" s="1"/>
      <c r="AB1136" s="1"/>
    </row>
    <row r="1137" spans="1:28" ht="13.8">
      <c r="A1137" s="261"/>
      <c r="B1137" s="261"/>
      <c r="C1137" s="115"/>
      <c r="D1137" s="1"/>
      <c r="E1137" s="1"/>
      <c r="F1137" s="1"/>
      <c r="G1137" s="1"/>
      <c r="H1137" s="1"/>
      <c r="I1137" s="1"/>
      <c r="J1137" s="1"/>
      <c r="K1137" s="1"/>
      <c r="L1137" s="2"/>
      <c r="M1137" s="2"/>
      <c r="N1137" s="2"/>
      <c r="O1137" s="2"/>
      <c r="P1137" s="2"/>
      <c r="Q1137" s="2"/>
      <c r="R1137" s="2"/>
      <c r="S1137" s="2"/>
      <c r="T1137" s="3"/>
      <c r="U1137" s="1"/>
      <c r="V1137" s="1"/>
      <c r="W1137" s="1"/>
      <c r="X1137" s="1"/>
      <c r="Y1137" s="1"/>
      <c r="Z1137" s="1"/>
      <c r="AA1137" s="1"/>
      <c r="AB1137" s="1"/>
    </row>
    <row r="1138" spans="1:28" ht="13.8">
      <c r="A1138" s="261"/>
      <c r="B1138" s="261"/>
      <c r="C1138" s="115"/>
      <c r="D1138" s="1"/>
      <c r="E1138" s="1"/>
      <c r="F1138" s="1"/>
      <c r="G1138" s="1"/>
      <c r="H1138" s="1"/>
      <c r="I1138" s="1"/>
      <c r="J1138" s="1"/>
      <c r="K1138" s="1"/>
      <c r="L1138" s="2"/>
      <c r="M1138" s="2"/>
      <c r="N1138" s="2"/>
      <c r="O1138" s="2"/>
      <c r="P1138" s="2"/>
      <c r="Q1138" s="2"/>
      <c r="R1138" s="2"/>
      <c r="S1138" s="2"/>
      <c r="T1138" s="3"/>
      <c r="U1138" s="1"/>
      <c r="V1138" s="1"/>
      <c r="W1138" s="1"/>
      <c r="X1138" s="1"/>
      <c r="Y1138" s="1"/>
      <c r="Z1138" s="1"/>
      <c r="AA1138" s="1"/>
      <c r="AB1138" s="1"/>
    </row>
    <row r="1139" spans="1:28" ht="13.8">
      <c r="A1139" s="261"/>
      <c r="B1139" s="261"/>
      <c r="C1139" s="115"/>
      <c r="D1139" s="1"/>
      <c r="E1139" s="1"/>
      <c r="F1139" s="1"/>
      <c r="G1139" s="1"/>
      <c r="H1139" s="1"/>
      <c r="I1139" s="1"/>
      <c r="J1139" s="1"/>
      <c r="K1139" s="1"/>
      <c r="L1139" s="2"/>
      <c r="M1139" s="2"/>
      <c r="N1139" s="2"/>
      <c r="O1139" s="2"/>
      <c r="P1139" s="2"/>
      <c r="Q1139" s="2"/>
      <c r="R1139" s="2"/>
      <c r="S1139" s="2"/>
      <c r="T1139" s="3"/>
      <c r="U1139" s="1"/>
      <c r="V1139" s="1"/>
      <c r="W1139" s="1"/>
      <c r="X1139" s="1"/>
      <c r="Y1139" s="1"/>
      <c r="Z1139" s="1"/>
      <c r="AA1139" s="1"/>
      <c r="AB1139" s="1"/>
    </row>
    <row r="1140" spans="1:28" ht="13.8">
      <c r="A1140" s="261"/>
      <c r="B1140" s="261"/>
      <c r="C1140" s="115"/>
      <c r="D1140" s="1"/>
      <c r="E1140" s="1"/>
      <c r="F1140" s="1"/>
      <c r="G1140" s="1"/>
      <c r="H1140" s="1"/>
      <c r="I1140" s="1"/>
      <c r="J1140" s="1"/>
      <c r="K1140" s="1"/>
      <c r="L1140" s="2"/>
      <c r="M1140" s="2"/>
      <c r="N1140" s="2"/>
      <c r="O1140" s="2"/>
      <c r="P1140" s="2"/>
      <c r="Q1140" s="2"/>
      <c r="R1140" s="2"/>
      <c r="S1140" s="2"/>
      <c r="T1140" s="3"/>
      <c r="U1140" s="1"/>
      <c r="V1140" s="1"/>
      <c r="W1140" s="1"/>
      <c r="X1140" s="1"/>
      <c r="Y1140" s="1"/>
      <c r="Z1140" s="1"/>
      <c r="AA1140" s="1"/>
      <c r="AB1140" s="1"/>
    </row>
    <row r="1141" spans="1:28" ht="13.8">
      <c r="A1141" s="261"/>
      <c r="B1141" s="261"/>
      <c r="C1141" s="115"/>
      <c r="D1141" s="1"/>
      <c r="E1141" s="1"/>
      <c r="F1141" s="1"/>
      <c r="G1141" s="1"/>
      <c r="H1141" s="1"/>
      <c r="I1141" s="1"/>
      <c r="J1141" s="1"/>
      <c r="K1141" s="1"/>
      <c r="L1141" s="2"/>
      <c r="M1141" s="2"/>
      <c r="N1141" s="2"/>
      <c r="O1141" s="2"/>
      <c r="P1141" s="2"/>
      <c r="Q1141" s="2"/>
      <c r="R1141" s="2"/>
      <c r="S1141" s="2"/>
      <c r="T1141" s="3"/>
      <c r="U1141" s="1"/>
      <c r="V1141" s="1"/>
      <c r="W1141" s="1"/>
      <c r="X1141" s="1"/>
      <c r="Y1141" s="1"/>
      <c r="Z1141" s="1"/>
      <c r="AA1141" s="1"/>
      <c r="AB1141" s="1"/>
    </row>
    <row r="1142" spans="1:28" ht="13.8">
      <c r="A1142" s="261"/>
      <c r="B1142" s="261"/>
      <c r="C1142" s="115"/>
      <c r="D1142" s="1"/>
      <c r="E1142" s="1"/>
      <c r="F1142" s="1"/>
      <c r="G1142" s="1"/>
      <c r="H1142" s="1"/>
      <c r="I1142" s="1"/>
      <c r="J1142" s="1"/>
      <c r="K1142" s="1"/>
      <c r="L1142" s="2"/>
      <c r="M1142" s="2"/>
      <c r="N1142" s="2"/>
      <c r="O1142" s="2"/>
      <c r="P1142" s="2"/>
      <c r="Q1142" s="2"/>
      <c r="R1142" s="2"/>
      <c r="S1142" s="2"/>
      <c r="T1142" s="3"/>
      <c r="U1142" s="1"/>
      <c r="V1142" s="1"/>
      <c r="W1142" s="1"/>
      <c r="X1142" s="1"/>
      <c r="Y1142" s="1"/>
      <c r="Z1142" s="1"/>
      <c r="AA1142" s="1"/>
      <c r="AB1142" s="1"/>
    </row>
    <row r="1143" spans="1:28" ht="13.8">
      <c r="A1143" s="261"/>
      <c r="B1143" s="261"/>
      <c r="C1143" s="115"/>
      <c r="D1143" s="1"/>
      <c r="E1143" s="1"/>
      <c r="F1143" s="1"/>
      <c r="G1143" s="1"/>
      <c r="H1143" s="1"/>
      <c r="I1143" s="1"/>
      <c r="J1143" s="1"/>
      <c r="K1143" s="1"/>
      <c r="L1143" s="2"/>
      <c r="M1143" s="2"/>
      <c r="N1143" s="2"/>
      <c r="O1143" s="2"/>
      <c r="P1143" s="2"/>
      <c r="Q1143" s="2"/>
      <c r="R1143" s="2"/>
      <c r="S1143" s="2"/>
      <c r="T1143" s="3"/>
      <c r="U1143" s="1"/>
      <c r="V1143" s="1"/>
      <c r="W1143" s="1"/>
      <c r="X1143" s="1"/>
      <c r="Y1143" s="1"/>
      <c r="Z1143" s="1"/>
      <c r="AA1143" s="1"/>
      <c r="AB1143" s="1"/>
    </row>
    <row r="1144" spans="1:28" ht="13.8">
      <c r="A1144" s="261"/>
      <c r="B1144" s="261"/>
      <c r="C1144" s="115"/>
      <c r="D1144" s="1"/>
      <c r="E1144" s="1"/>
      <c r="F1144" s="1"/>
      <c r="G1144" s="1"/>
      <c r="H1144" s="1"/>
      <c r="I1144" s="1"/>
      <c r="J1144" s="1"/>
      <c r="K1144" s="1"/>
      <c r="L1144" s="2"/>
      <c r="M1144" s="2"/>
      <c r="N1144" s="2"/>
      <c r="O1144" s="2"/>
      <c r="P1144" s="2"/>
      <c r="Q1144" s="2"/>
      <c r="R1144" s="2"/>
      <c r="S1144" s="2"/>
      <c r="T1144" s="3"/>
      <c r="U1144" s="1"/>
      <c r="V1144" s="1"/>
      <c r="W1144" s="1"/>
      <c r="X1144" s="1"/>
      <c r="Y1144" s="1"/>
      <c r="Z1144" s="1"/>
      <c r="AA1144" s="1"/>
      <c r="AB1144" s="1"/>
    </row>
    <row r="1145" spans="1:28" ht="13.8">
      <c r="A1145" s="261"/>
      <c r="B1145" s="261"/>
      <c r="C1145" s="115"/>
      <c r="D1145" s="1"/>
      <c r="E1145" s="1"/>
      <c r="F1145" s="1"/>
      <c r="G1145" s="1"/>
      <c r="H1145" s="1"/>
      <c r="I1145" s="1"/>
      <c r="J1145" s="1"/>
      <c r="K1145" s="1"/>
      <c r="L1145" s="2"/>
      <c r="M1145" s="2"/>
      <c r="N1145" s="2"/>
      <c r="O1145" s="2"/>
      <c r="P1145" s="2"/>
      <c r="Q1145" s="2"/>
      <c r="R1145" s="2"/>
      <c r="S1145" s="2"/>
      <c r="T1145" s="3"/>
      <c r="U1145" s="1"/>
      <c r="V1145" s="1"/>
      <c r="W1145" s="1"/>
      <c r="X1145" s="1"/>
      <c r="Y1145" s="1"/>
      <c r="Z1145" s="1"/>
      <c r="AA1145" s="1"/>
      <c r="AB1145" s="1"/>
    </row>
    <row r="1146" spans="1:28" ht="13.8">
      <c r="A1146" s="261"/>
      <c r="B1146" s="261"/>
      <c r="C1146" s="115"/>
      <c r="D1146" s="1"/>
      <c r="E1146" s="1"/>
      <c r="F1146" s="1"/>
      <c r="G1146" s="1"/>
      <c r="H1146" s="1"/>
      <c r="I1146" s="1"/>
      <c r="J1146" s="1"/>
      <c r="K1146" s="1"/>
      <c r="L1146" s="2"/>
      <c r="M1146" s="2"/>
      <c r="N1146" s="2"/>
      <c r="O1146" s="2"/>
      <c r="P1146" s="2"/>
      <c r="Q1146" s="2"/>
      <c r="R1146" s="2"/>
      <c r="S1146" s="2"/>
      <c r="T1146" s="3"/>
      <c r="U1146" s="1"/>
      <c r="V1146" s="1"/>
      <c r="W1146" s="1"/>
      <c r="X1146" s="1"/>
      <c r="Y1146" s="1"/>
      <c r="Z1146" s="1"/>
      <c r="AA1146" s="1"/>
      <c r="AB1146" s="1"/>
    </row>
    <row r="1147" spans="1:28" ht="13.8">
      <c r="A1147" s="261"/>
      <c r="B1147" s="261"/>
      <c r="C1147" s="115"/>
      <c r="D1147" s="1"/>
      <c r="E1147" s="1"/>
      <c r="F1147" s="1"/>
      <c r="G1147" s="1"/>
      <c r="H1147" s="1"/>
      <c r="I1147" s="1"/>
      <c r="J1147" s="1"/>
      <c r="K1147" s="1"/>
      <c r="L1147" s="2"/>
      <c r="M1147" s="2"/>
      <c r="N1147" s="2"/>
      <c r="O1147" s="2"/>
      <c r="P1147" s="2"/>
      <c r="Q1147" s="2"/>
      <c r="R1147" s="2"/>
      <c r="S1147" s="2"/>
      <c r="T1147" s="3"/>
      <c r="U1147" s="1"/>
      <c r="V1147" s="1"/>
      <c r="W1147" s="1"/>
      <c r="X1147" s="1"/>
      <c r="Y1147" s="1"/>
      <c r="Z1147" s="1"/>
      <c r="AA1147" s="1"/>
      <c r="AB1147" s="1"/>
    </row>
    <row r="1148" spans="1:28" ht="13.8">
      <c r="A1148" s="261"/>
      <c r="B1148" s="261"/>
      <c r="C1148" s="115"/>
      <c r="D1148" s="1"/>
      <c r="E1148" s="1"/>
      <c r="F1148" s="1"/>
      <c r="G1148" s="1"/>
      <c r="H1148" s="1"/>
      <c r="I1148" s="1"/>
      <c r="J1148" s="1"/>
      <c r="K1148" s="1"/>
      <c r="L1148" s="2"/>
      <c r="M1148" s="2"/>
      <c r="N1148" s="2"/>
      <c r="O1148" s="2"/>
      <c r="P1148" s="2"/>
      <c r="Q1148" s="2"/>
      <c r="R1148" s="2"/>
      <c r="S1148" s="2"/>
      <c r="T1148" s="3"/>
      <c r="U1148" s="1"/>
      <c r="V1148" s="1"/>
      <c r="W1148" s="1"/>
      <c r="X1148" s="1"/>
      <c r="Y1148" s="1"/>
      <c r="Z1148" s="1"/>
      <c r="AA1148" s="1"/>
      <c r="AB1148" s="1"/>
    </row>
    <row r="1149" spans="1:28" ht="13.8">
      <c r="A1149" s="261"/>
      <c r="B1149" s="261"/>
      <c r="C1149" s="115"/>
      <c r="D1149" s="1"/>
      <c r="E1149" s="1"/>
      <c r="F1149" s="1"/>
      <c r="G1149" s="1"/>
      <c r="H1149" s="1"/>
      <c r="I1149" s="1"/>
      <c r="J1149" s="1"/>
      <c r="K1149" s="1"/>
      <c r="L1149" s="2"/>
      <c r="M1149" s="2"/>
      <c r="N1149" s="2"/>
      <c r="O1149" s="2"/>
      <c r="P1149" s="2"/>
      <c r="Q1149" s="2"/>
      <c r="R1149" s="2"/>
      <c r="S1149" s="2"/>
      <c r="T1149" s="3"/>
      <c r="U1149" s="1"/>
      <c r="V1149" s="1"/>
      <c r="W1149" s="1"/>
      <c r="X1149" s="1"/>
      <c r="Y1149" s="1"/>
      <c r="Z1149" s="1"/>
      <c r="AA1149" s="1"/>
      <c r="AB1149" s="1"/>
    </row>
    <row r="1150" spans="1:28" ht="13.8">
      <c r="A1150" s="261"/>
      <c r="B1150" s="261"/>
      <c r="C1150" s="115"/>
      <c r="D1150" s="1"/>
      <c r="E1150" s="1"/>
      <c r="F1150" s="1"/>
      <c r="G1150" s="1"/>
      <c r="H1150" s="1"/>
      <c r="I1150" s="1"/>
      <c r="J1150" s="1"/>
      <c r="K1150" s="1"/>
      <c r="L1150" s="2"/>
      <c r="M1150" s="2"/>
      <c r="N1150" s="2"/>
      <c r="O1150" s="2"/>
      <c r="P1150" s="2"/>
      <c r="Q1150" s="2"/>
      <c r="R1150" s="2"/>
      <c r="S1150" s="2"/>
      <c r="T1150" s="3"/>
      <c r="U1150" s="1"/>
      <c r="V1150" s="1"/>
      <c r="W1150" s="1"/>
      <c r="X1150" s="1"/>
      <c r="Y1150" s="1"/>
      <c r="Z1150" s="1"/>
      <c r="AA1150" s="1"/>
      <c r="AB1150" s="1"/>
    </row>
    <row r="1151" spans="1:28" ht="13.8">
      <c r="A1151" s="261"/>
      <c r="B1151" s="261"/>
      <c r="C1151" s="115"/>
      <c r="D1151" s="1"/>
      <c r="E1151" s="1"/>
      <c r="F1151" s="1"/>
      <c r="G1151" s="1"/>
      <c r="H1151" s="1"/>
      <c r="I1151" s="1"/>
      <c r="J1151" s="1"/>
      <c r="K1151" s="1"/>
      <c r="L1151" s="2"/>
      <c r="M1151" s="2"/>
      <c r="N1151" s="2"/>
      <c r="O1151" s="2"/>
      <c r="P1151" s="2"/>
      <c r="Q1151" s="2"/>
      <c r="R1151" s="2"/>
      <c r="S1151" s="2"/>
      <c r="T1151" s="3"/>
      <c r="U1151" s="1"/>
      <c r="V1151" s="1"/>
      <c r="W1151" s="1"/>
      <c r="X1151" s="1"/>
      <c r="Y1151" s="1"/>
      <c r="Z1151" s="1"/>
      <c r="AA1151" s="1"/>
      <c r="AB1151" s="1"/>
    </row>
    <row r="1152" spans="1:28" ht="13.8">
      <c r="A1152" s="261"/>
      <c r="B1152" s="261"/>
      <c r="C1152" s="115"/>
      <c r="D1152" s="1"/>
      <c r="E1152" s="1"/>
      <c r="F1152" s="1"/>
      <c r="G1152" s="1"/>
      <c r="H1152" s="1"/>
      <c r="I1152" s="1"/>
      <c r="J1152" s="1"/>
      <c r="K1152" s="1"/>
      <c r="L1152" s="2"/>
      <c r="M1152" s="2"/>
      <c r="N1152" s="2"/>
      <c r="O1152" s="2"/>
      <c r="P1152" s="2"/>
      <c r="Q1152" s="2"/>
      <c r="R1152" s="2"/>
      <c r="S1152" s="2"/>
      <c r="T1152" s="3"/>
      <c r="U1152" s="1"/>
      <c r="V1152" s="1"/>
      <c r="W1152" s="1"/>
      <c r="X1152" s="1"/>
      <c r="Y1152" s="1"/>
      <c r="Z1152" s="1"/>
      <c r="AA1152" s="1"/>
      <c r="AB1152" s="1"/>
    </row>
    <row r="1153" spans="1:28" ht="13.8">
      <c r="A1153" s="261"/>
      <c r="B1153" s="261"/>
      <c r="C1153" s="115"/>
      <c r="D1153" s="1"/>
      <c r="E1153" s="1"/>
      <c r="F1153" s="1"/>
      <c r="G1153" s="1"/>
      <c r="H1153" s="1"/>
      <c r="I1153" s="1"/>
      <c r="J1153" s="1"/>
      <c r="K1153" s="1"/>
      <c r="L1153" s="2"/>
      <c r="M1153" s="2"/>
      <c r="N1153" s="2"/>
      <c r="O1153" s="2"/>
      <c r="P1153" s="2"/>
      <c r="Q1153" s="2"/>
      <c r="R1153" s="2"/>
      <c r="S1153" s="2"/>
      <c r="T1153" s="3"/>
      <c r="U1153" s="1"/>
      <c r="V1153" s="1"/>
      <c r="W1153" s="1"/>
      <c r="X1153" s="1"/>
      <c r="Y1153" s="1"/>
      <c r="Z1153" s="1"/>
      <c r="AA1153" s="1"/>
      <c r="AB1153" s="1"/>
    </row>
    <row r="1154" spans="1:28" ht="13.8">
      <c r="A1154" s="261"/>
      <c r="B1154" s="261"/>
      <c r="C1154" s="115"/>
      <c r="D1154" s="1"/>
      <c r="E1154" s="1"/>
      <c r="F1154" s="1"/>
      <c r="G1154" s="1"/>
      <c r="H1154" s="1"/>
      <c r="I1154" s="1"/>
      <c r="J1154" s="1"/>
      <c r="K1154" s="1"/>
      <c r="L1154" s="2"/>
      <c r="M1154" s="2"/>
      <c r="N1154" s="2"/>
      <c r="O1154" s="2"/>
      <c r="P1154" s="2"/>
      <c r="Q1154" s="2"/>
      <c r="R1154" s="2"/>
      <c r="S1154" s="2"/>
      <c r="T1154" s="3"/>
      <c r="U1154" s="1"/>
      <c r="V1154" s="1"/>
      <c r="W1154" s="1"/>
      <c r="X1154" s="1"/>
      <c r="Y1154" s="1"/>
      <c r="Z1154" s="1"/>
      <c r="AA1154" s="1"/>
      <c r="AB1154" s="1"/>
    </row>
    <row r="1155" spans="1:28" ht="13.8">
      <c r="A1155" s="261"/>
      <c r="B1155" s="261"/>
      <c r="C1155" s="115"/>
      <c r="D1155" s="1"/>
      <c r="E1155" s="1"/>
      <c r="F1155" s="1"/>
      <c r="G1155" s="1"/>
      <c r="H1155" s="1"/>
      <c r="I1155" s="1"/>
      <c r="J1155" s="1"/>
      <c r="K1155" s="1"/>
      <c r="L1155" s="2"/>
      <c r="M1155" s="2"/>
      <c r="N1155" s="2"/>
      <c r="O1155" s="2"/>
      <c r="P1155" s="2"/>
      <c r="Q1155" s="2"/>
      <c r="R1155" s="2"/>
      <c r="S1155" s="2"/>
      <c r="T1155" s="3"/>
      <c r="U1155" s="1"/>
      <c r="V1155" s="1"/>
      <c r="W1155" s="1"/>
      <c r="X1155" s="1"/>
      <c r="Y1155" s="1"/>
      <c r="Z1155" s="1"/>
      <c r="AA1155" s="1"/>
      <c r="AB1155" s="1"/>
    </row>
    <row r="1156" spans="1:28" ht="13.8">
      <c r="A1156" s="261"/>
      <c r="B1156" s="261"/>
      <c r="C1156" s="115"/>
      <c r="D1156" s="1"/>
      <c r="E1156" s="1"/>
      <c r="F1156" s="1"/>
      <c r="G1156" s="1"/>
      <c r="H1156" s="1"/>
      <c r="I1156" s="1"/>
      <c r="J1156" s="1"/>
      <c r="K1156" s="1"/>
      <c r="L1156" s="2"/>
      <c r="M1156" s="2"/>
      <c r="N1156" s="2"/>
      <c r="O1156" s="2"/>
      <c r="P1156" s="2"/>
      <c r="Q1156" s="2"/>
      <c r="R1156" s="2"/>
      <c r="S1156" s="2"/>
      <c r="T1156" s="3"/>
      <c r="U1156" s="1"/>
      <c r="V1156" s="1"/>
      <c r="W1156" s="1"/>
      <c r="X1156" s="1"/>
      <c r="Y1156" s="1"/>
      <c r="Z1156" s="1"/>
      <c r="AA1156" s="1"/>
      <c r="AB1156" s="1"/>
    </row>
    <row r="1157" spans="1:28" ht="13.8">
      <c r="A1157" s="261"/>
      <c r="B1157" s="261"/>
      <c r="C1157" s="115"/>
      <c r="D1157" s="1"/>
      <c r="E1157" s="1"/>
      <c r="F1157" s="1"/>
      <c r="G1157" s="1"/>
      <c r="H1157" s="1"/>
      <c r="I1157" s="1"/>
      <c r="J1157" s="1"/>
      <c r="K1157" s="1"/>
      <c r="L1157" s="2"/>
      <c r="M1157" s="2"/>
      <c r="N1157" s="2"/>
      <c r="O1157" s="2"/>
      <c r="P1157" s="2"/>
      <c r="Q1157" s="2"/>
      <c r="R1157" s="2"/>
      <c r="S1157" s="2"/>
      <c r="T1157" s="3"/>
      <c r="U1157" s="1"/>
      <c r="V1157" s="1"/>
      <c r="W1157" s="1"/>
      <c r="X1157" s="1"/>
      <c r="Y1157" s="1"/>
      <c r="Z1157" s="1"/>
      <c r="AA1157" s="1"/>
      <c r="AB1157" s="1"/>
    </row>
    <row r="1158" spans="1:28" ht="13.8">
      <c r="A1158" s="261"/>
      <c r="B1158" s="261"/>
      <c r="C1158" s="115"/>
      <c r="D1158" s="1"/>
      <c r="E1158" s="1"/>
      <c r="F1158" s="1"/>
      <c r="G1158" s="1"/>
      <c r="H1158" s="1"/>
      <c r="I1158" s="1"/>
      <c r="J1158" s="1"/>
      <c r="K1158" s="1"/>
      <c r="L1158" s="2"/>
      <c r="M1158" s="2"/>
      <c r="N1158" s="2"/>
      <c r="O1158" s="2"/>
      <c r="P1158" s="2"/>
      <c r="Q1158" s="2"/>
      <c r="R1158" s="2"/>
      <c r="S1158" s="2"/>
      <c r="T1158" s="3"/>
      <c r="U1158" s="1"/>
      <c r="V1158" s="1"/>
      <c r="W1158" s="1"/>
      <c r="X1158" s="1"/>
      <c r="Y1158" s="1"/>
      <c r="Z1158" s="1"/>
      <c r="AA1158" s="1"/>
      <c r="AB1158" s="1"/>
    </row>
    <row r="1159" spans="1:28" ht="13.8">
      <c r="A1159" s="261"/>
      <c r="B1159" s="261"/>
      <c r="C1159" s="115"/>
      <c r="D1159" s="1"/>
      <c r="E1159" s="1"/>
      <c r="F1159" s="1"/>
      <c r="G1159" s="1"/>
      <c r="H1159" s="1"/>
      <c r="I1159" s="1"/>
      <c r="J1159" s="1"/>
      <c r="K1159" s="1"/>
      <c r="L1159" s="2"/>
      <c r="M1159" s="2"/>
      <c r="N1159" s="2"/>
      <c r="O1159" s="2"/>
      <c r="P1159" s="2"/>
      <c r="Q1159" s="2"/>
      <c r="R1159" s="2"/>
      <c r="S1159" s="2"/>
      <c r="T1159" s="3"/>
      <c r="U1159" s="1"/>
      <c r="V1159" s="1"/>
      <c r="W1159" s="1"/>
      <c r="X1159" s="1"/>
      <c r="Y1159" s="1"/>
      <c r="Z1159" s="1"/>
      <c r="AA1159" s="1"/>
      <c r="AB1159" s="1"/>
    </row>
    <row r="1160" spans="1:28" ht="13.8">
      <c r="A1160" s="261"/>
      <c r="B1160" s="261"/>
      <c r="C1160" s="115"/>
      <c r="D1160" s="1"/>
      <c r="E1160" s="1"/>
      <c r="F1160" s="1"/>
      <c r="G1160" s="1"/>
      <c r="H1160" s="1"/>
      <c r="I1160" s="1"/>
      <c r="J1160" s="1"/>
      <c r="K1160" s="1"/>
      <c r="L1160" s="2"/>
      <c r="M1160" s="2"/>
      <c r="N1160" s="2"/>
      <c r="O1160" s="2"/>
      <c r="P1160" s="2"/>
      <c r="Q1160" s="2"/>
      <c r="R1160" s="2"/>
      <c r="S1160" s="2"/>
      <c r="T1160" s="3"/>
      <c r="U1160" s="1"/>
      <c r="V1160" s="1"/>
      <c r="W1160" s="1"/>
      <c r="X1160" s="1"/>
      <c r="Y1160" s="1"/>
      <c r="Z1160" s="1"/>
      <c r="AA1160" s="1"/>
      <c r="AB1160" s="1"/>
    </row>
    <row r="1161" spans="1:28" ht="13.8">
      <c r="A1161" s="261"/>
      <c r="B1161" s="261"/>
      <c r="C1161" s="115"/>
      <c r="D1161" s="1"/>
      <c r="E1161" s="1"/>
      <c r="F1161" s="1"/>
      <c r="G1161" s="1"/>
      <c r="H1161" s="1"/>
      <c r="I1161" s="1"/>
      <c r="J1161" s="1"/>
      <c r="K1161" s="1"/>
      <c r="L1161" s="2"/>
      <c r="M1161" s="2"/>
      <c r="N1161" s="2"/>
      <c r="O1161" s="2"/>
      <c r="P1161" s="2"/>
      <c r="Q1161" s="2"/>
      <c r="R1161" s="2"/>
      <c r="S1161" s="2"/>
      <c r="T1161" s="3"/>
      <c r="U1161" s="1"/>
      <c r="V1161" s="1"/>
      <c r="W1161" s="1"/>
      <c r="X1161" s="1"/>
      <c r="Y1161" s="1"/>
      <c r="Z1161" s="1"/>
      <c r="AA1161" s="1"/>
      <c r="AB1161" s="1"/>
    </row>
    <row r="1162" spans="1:28" ht="13.8">
      <c r="A1162" s="261"/>
      <c r="B1162" s="261"/>
      <c r="C1162" s="115"/>
      <c r="D1162" s="1"/>
      <c r="E1162" s="1"/>
      <c r="F1162" s="1"/>
      <c r="G1162" s="1"/>
      <c r="H1162" s="1"/>
      <c r="I1162" s="1"/>
      <c r="J1162" s="1"/>
      <c r="K1162" s="1"/>
      <c r="L1162" s="2"/>
      <c r="M1162" s="2"/>
      <c r="N1162" s="2"/>
      <c r="O1162" s="2"/>
      <c r="P1162" s="2"/>
      <c r="Q1162" s="2"/>
      <c r="R1162" s="2"/>
      <c r="S1162" s="2"/>
      <c r="T1162" s="3"/>
      <c r="U1162" s="1"/>
      <c r="V1162" s="1"/>
      <c r="W1162" s="1"/>
      <c r="X1162" s="1"/>
      <c r="Y1162" s="1"/>
      <c r="Z1162" s="1"/>
      <c r="AA1162" s="1"/>
      <c r="AB1162" s="1"/>
    </row>
    <row r="1163" spans="1:28" ht="13.8">
      <c r="A1163" s="261"/>
      <c r="B1163" s="261"/>
      <c r="C1163" s="115"/>
      <c r="D1163" s="1"/>
      <c r="E1163" s="1"/>
      <c r="F1163" s="1"/>
      <c r="G1163" s="1"/>
      <c r="H1163" s="1"/>
      <c r="I1163" s="1"/>
      <c r="J1163" s="1"/>
      <c r="K1163" s="1"/>
      <c r="L1163" s="2"/>
      <c r="M1163" s="2"/>
      <c r="N1163" s="2"/>
      <c r="O1163" s="2"/>
      <c r="P1163" s="2"/>
      <c r="Q1163" s="2"/>
      <c r="R1163" s="2"/>
      <c r="S1163" s="2"/>
      <c r="T1163" s="3"/>
      <c r="U1163" s="1"/>
      <c r="V1163" s="1"/>
      <c r="W1163" s="1"/>
      <c r="X1163" s="1"/>
      <c r="Y1163" s="1"/>
      <c r="Z1163" s="1"/>
      <c r="AA1163" s="1"/>
      <c r="AB1163" s="1"/>
    </row>
    <row r="1164" spans="1:28" ht="13.8">
      <c r="A1164" s="261"/>
      <c r="B1164" s="261"/>
      <c r="C1164" s="115"/>
      <c r="D1164" s="1"/>
      <c r="E1164" s="1"/>
      <c r="F1164" s="1"/>
      <c r="G1164" s="1"/>
      <c r="H1164" s="1"/>
      <c r="I1164" s="1"/>
      <c r="J1164" s="1"/>
      <c r="K1164" s="1"/>
      <c r="L1164" s="2"/>
      <c r="M1164" s="2"/>
      <c r="N1164" s="2"/>
      <c r="O1164" s="2"/>
      <c r="P1164" s="2"/>
      <c r="Q1164" s="2"/>
      <c r="R1164" s="2"/>
      <c r="S1164" s="2"/>
      <c r="T1164" s="3"/>
      <c r="U1164" s="1"/>
      <c r="V1164" s="1"/>
      <c r="W1164" s="1"/>
      <c r="X1164" s="1"/>
      <c r="Y1164" s="1"/>
      <c r="Z1164" s="1"/>
      <c r="AA1164" s="1"/>
      <c r="AB1164" s="1"/>
    </row>
    <row r="1165" spans="1:28" ht="13.8">
      <c r="A1165" s="261"/>
      <c r="B1165" s="261"/>
      <c r="C1165" s="115"/>
      <c r="D1165" s="1"/>
      <c r="E1165" s="1"/>
      <c r="F1165" s="1"/>
      <c r="G1165" s="1"/>
      <c r="H1165" s="1"/>
      <c r="I1165" s="1"/>
      <c r="J1165" s="1"/>
      <c r="K1165" s="1"/>
      <c r="L1165" s="2"/>
      <c r="M1165" s="2"/>
      <c r="N1165" s="2"/>
      <c r="O1165" s="2"/>
      <c r="P1165" s="2"/>
      <c r="Q1165" s="2"/>
      <c r="R1165" s="2"/>
      <c r="S1165" s="2"/>
      <c r="T1165" s="3"/>
      <c r="U1165" s="1"/>
      <c r="V1165" s="1"/>
      <c r="W1165" s="1"/>
      <c r="X1165" s="1"/>
      <c r="Y1165" s="1"/>
      <c r="Z1165" s="1"/>
      <c r="AA1165" s="1"/>
      <c r="AB1165" s="1"/>
    </row>
    <row r="1166" spans="1:28" ht="13.8">
      <c r="A1166" s="261"/>
      <c r="B1166" s="261"/>
      <c r="C1166" s="115"/>
      <c r="D1166" s="1"/>
      <c r="E1166" s="1"/>
      <c r="F1166" s="1"/>
      <c r="G1166" s="1"/>
      <c r="H1166" s="1"/>
      <c r="I1166" s="1"/>
      <c r="J1166" s="1"/>
      <c r="K1166" s="1"/>
      <c r="L1166" s="2"/>
      <c r="M1166" s="2"/>
      <c r="N1166" s="2"/>
      <c r="O1166" s="2"/>
      <c r="P1166" s="2"/>
      <c r="Q1166" s="2"/>
      <c r="R1166" s="2"/>
      <c r="S1166" s="2"/>
      <c r="T1166" s="3"/>
      <c r="U1166" s="1"/>
      <c r="V1166" s="1"/>
      <c r="W1166" s="1"/>
      <c r="X1166" s="1"/>
      <c r="Y1166" s="1"/>
      <c r="Z1166" s="1"/>
      <c r="AA1166" s="1"/>
      <c r="AB1166" s="1"/>
    </row>
    <row r="1167" spans="1:28" ht="13.8">
      <c r="A1167" s="261"/>
      <c r="B1167" s="261"/>
      <c r="C1167" s="115"/>
      <c r="D1167" s="1"/>
      <c r="E1167" s="1"/>
      <c r="F1167" s="1"/>
      <c r="G1167" s="1"/>
      <c r="H1167" s="1"/>
      <c r="I1167" s="1"/>
      <c r="J1167" s="1"/>
      <c r="K1167" s="1"/>
      <c r="L1167" s="2"/>
      <c r="M1167" s="2"/>
      <c r="N1167" s="2"/>
      <c r="O1167" s="2"/>
      <c r="P1167" s="2"/>
      <c r="Q1167" s="2"/>
      <c r="R1167" s="2"/>
      <c r="S1167" s="2"/>
      <c r="T1167" s="3"/>
      <c r="U1167" s="1"/>
      <c r="V1167" s="1"/>
      <c r="W1167" s="1"/>
      <c r="X1167" s="1"/>
      <c r="Y1167" s="1"/>
      <c r="Z1167" s="1"/>
      <c r="AA1167" s="1"/>
      <c r="AB1167" s="1"/>
    </row>
    <row r="1168" spans="1:28" ht="13.8">
      <c r="A1168" s="261"/>
      <c r="B1168" s="261"/>
      <c r="C1168" s="115"/>
      <c r="D1168" s="1"/>
      <c r="E1168" s="1"/>
      <c r="F1168" s="1"/>
      <c r="G1168" s="1"/>
      <c r="H1168" s="1"/>
      <c r="I1168" s="1"/>
      <c r="J1168" s="1"/>
      <c r="K1168" s="1"/>
      <c r="L1168" s="2"/>
      <c r="M1168" s="2"/>
      <c r="N1168" s="2"/>
      <c r="O1168" s="2"/>
      <c r="P1168" s="2"/>
      <c r="Q1168" s="2"/>
      <c r="R1168" s="2"/>
      <c r="S1168" s="2"/>
      <c r="T1168" s="3"/>
      <c r="U1168" s="1"/>
      <c r="V1168" s="1"/>
      <c r="W1168" s="1"/>
      <c r="X1168" s="1"/>
      <c r="Y1168" s="1"/>
      <c r="Z1168" s="1"/>
      <c r="AA1168" s="1"/>
      <c r="AB1168" s="1"/>
    </row>
    <row r="1169" spans="1:28" ht="13.8">
      <c r="A1169" s="261"/>
      <c r="B1169" s="261"/>
      <c r="C1169" s="115"/>
      <c r="D1169" s="1"/>
      <c r="E1169" s="1"/>
      <c r="F1169" s="1"/>
      <c r="G1169" s="1"/>
      <c r="H1169" s="1"/>
      <c r="I1169" s="1"/>
      <c r="J1169" s="1"/>
      <c r="K1169" s="1"/>
      <c r="L1169" s="2"/>
      <c r="M1169" s="2"/>
      <c r="N1169" s="2"/>
      <c r="O1169" s="2"/>
      <c r="P1169" s="2"/>
      <c r="Q1169" s="2"/>
      <c r="R1169" s="2"/>
      <c r="S1169" s="2"/>
      <c r="T1169" s="3"/>
      <c r="U1169" s="1"/>
      <c r="V1169" s="1"/>
      <c r="W1169" s="1"/>
      <c r="X1169" s="1"/>
      <c r="Y1169" s="1"/>
      <c r="Z1169" s="1"/>
      <c r="AA1169" s="1"/>
      <c r="AB1169" s="1"/>
    </row>
    <row r="1170" spans="1:28" ht="13.8">
      <c r="A1170" s="261"/>
      <c r="B1170" s="261"/>
      <c r="C1170" s="115"/>
      <c r="D1170" s="1"/>
      <c r="E1170" s="1"/>
      <c r="F1170" s="1"/>
      <c r="G1170" s="1"/>
      <c r="H1170" s="1"/>
      <c r="I1170" s="1"/>
      <c r="J1170" s="1"/>
      <c r="K1170" s="1"/>
      <c r="L1170" s="2"/>
      <c r="M1170" s="2"/>
      <c r="N1170" s="2"/>
      <c r="O1170" s="2"/>
      <c r="P1170" s="2"/>
      <c r="Q1170" s="2"/>
      <c r="R1170" s="2"/>
      <c r="S1170" s="2"/>
      <c r="T1170" s="3"/>
      <c r="U1170" s="1"/>
      <c r="V1170" s="1"/>
      <c r="W1170" s="1"/>
      <c r="X1170" s="1"/>
      <c r="Y1170" s="1"/>
      <c r="Z1170" s="1"/>
      <c r="AA1170" s="1"/>
      <c r="AB1170" s="1"/>
    </row>
    <row r="1171" spans="1:28" ht="13.8">
      <c r="A1171" s="261"/>
      <c r="B1171" s="261"/>
      <c r="C1171" s="115"/>
      <c r="D1171" s="1"/>
      <c r="E1171" s="1"/>
      <c r="F1171" s="1"/>
      <c r="G1171" s="1"/>
      <c r="H1171" s="1"/>
      <c r="I1171" s="1"/>
      <c r="J1171" s="1"/>
      <c r="K1171" s="1"/>
      <c r="L1171" s="2"/>
      <c r="M1171" s="2"/>
      <c r="N1171" s="2"/>
      <c r="O1171" s="2"/>
      <c r="P1171" s="2"/>
      <c r="Q1171" s="2"/>
      <c r="R1171" s="2"/>
      <c r="S1171" s="2"/>
      <c r="T1171" s="3"/>
      <c r="U1171" s="1"/>
      <c r="V1171" s="1"/>
      <c r="W1171" s="1"/>
      <c r="X1171" s="1"/>
      <c r="Y1171" s="1"/>
      <c r="Z1171" s="1"/>
      <c r="AA1171" s="1"/>
      <c r="AB1171" s="1"/>
    </row>
    <row r="1172" spans="1:28" ht="13.8">
      <c r="A1172" s="261"/>
      <c r="B1172" s="261"/>
      <c r="C1172" s="115"/>
      <c r="D1172" s="1"/>
      <c r="E1172" s="1"/>
      <c r="F1172" s="1"/>
      <c r="G1172" s="1"/>
      <c r="H1172" s="1"/>
      <c r="I1172" s="1"/>
      <c r="J1172" s="1"/>
      <c r="K1172" s="1"/>
      <c r="L1172" s="2"/>
      <c r="M1172" s="2"/>
      <c r="N1172" s="2"/>
      <c r="O1172" s="2"/>
      <c r="P1172" s="2"/>
      <c r="Q1172" s="2"/>
      <c r="R1172" s="2"/>
      <c r="S1172" s="2"/>
      <c r="T1172" s="3"/>
      <c r="U1172" s="1"/>
      <c r="V1172" s="1"/>
      <c r="W1172" s="1"/>
      <c r="X1172" s="1"/>
      <c r="Y1172" s="1"/>
      <c r="Z1172" s="1"/>
      <c r="AA1172" s="1"/>
      <c r="AB1172" s="1"/>
    </row>
    <row r="1173" spans="1:28" ht="13.8">
      <c r="A1173" s="261"/>
      <c r="B1173" s="261"/>
      <c r="C1173" s="115"/>
      <c r="D1173" s="1"/>
      <c r="E1173" s="1"/>
      <c r="F1173" s="1"/>
      <c r="G1173" s="1"/>
      <c r="H1173" s="1"/>
      <c r="I1173" s="1"/>
      <c r="J1173" s="1"/>
      <c r="K1173" s="1"/>
      <c r="L1173" s="2"/>
      <c r="M1173" s="2"/>
      <c r="N1173" s="2"/>
      <c r="O1173" s="2"/>
      <c r="P1173" s="2"/>
      <c r="Q1173" s="2"/>
      <c r="R1173" s="2"/>
      <c r="S1173" s="2"/>
      <c r="T1173" s="3"/>
      <c r="U1173" s="1"/>
      <c r="V1173" s="1"/>
      <c r="W1173" s="1"/>
      <c r="X1173" s="1"/>
      <c r="Y1173" s="1"/>
      <c r="Z1173" s="1"/>
      <c r="AA1173" s="1"/>
      <c r="AB1173" s="1"/>
    </row>
    <row r="1174" spans="1:28" ht="13.8">
      <c r="A1174" s="260"/>
      <c r="B1174" s="260"/>
      <c r="C1174" s="38"/>
      <c r="D1174" s="4"/>
      <c r="E1174" s="4"/>
      <c r="F1174" s="4"/>
      <c r="G1174" s="4"/>
      <c r="H1174" s="4"/>
      <c r="I1174" s="4"/>
      <c r="J1174" s="4"/>
      <c r="K1174" s="4"/>
      <c r="L1174" s="5"/>
      <c r="M1174" s="5"/>
      <c r="N1174" s="5"/>
      <c r="O1174" s="5"/>
      <c r="P1174" s="5"/>
      <c r="Q1174" s="5"/>
      <c r="R1174" s="5"/>
      <c r="S1174" s="5"/>
      <c r="T1174" s="6"/>
      <c r="U1174" s="1"/>
      <c r="V1174" s="1"/>
      <c r="W1174" s="1"/>
      <c r="X1174" s="1"/>
      <c r="Y1174" s="1"/>
      <c r="Z1174" s="1"/>
      <c r="AA1174" s="1"/>
      <c r="AB1174" s="1"/>
    </row>
    <row r="1175" spans="1:28" ht="13.8">
      <c r="A1175" s="261"/>
      <c r="B1175" s="261"/>
      <c r="C1175" s="115"/>
      <c r="D1175" s="1"/>
      <c r="E1175" s="1"/>
      <c r="F1175" s="1"/>
      <c r="G1175" s="1"/>
      <c r="H1175" s="1"/>
      <c r="I1175" s="1"/>
      <c r="J1175" s="1"/>
      <c r="K1175" s="1"/>
      <c r="L1175" s="2"/>
      <c r="M1175" s="2"/>
      <c r="N1175" s="2"/>
      <c r="O1175" s="2"/>
      <c r="P1175" s="2"/>
      <c r="Q1175" s="2"/>
      <c r="R1175" s="2"/>
      <c r="S1175" s="2"/>
      <c r="T1175" s="3"/>
      <c r="U1175" s="1"/>
      <c r="V1175" s="1"/>
      <c r="W1175" s="1"/>
      <c r="X1175" s="1"/>
      <c r="Y1175" s="1"/>
      <c r="Z1175" s="1"/>
      <c r="AA1175" s="1"/>
      <c r="AB1175" s="1"/>
    </row>
    <row r="1176" spans="1:28" ht="13.8">
      <c r="A1176" s="261"/>
      <c r="B1176" s="261"/>
      <c r="C1176" s="115"/>
      <c r="D1176" s="1"/>
      <c r="E1176" s="1"/>
      <c r="F1176" s="1"/>
      <c r="G1176" s="1"/>
      <c r="H1176" s="1"/>
      <c r="I1176" s="1"/>
      <c r="J1176" s="1"/>
      <c r="K1176" s="1"/>
      <c r="L1176" s="2"/>
      <c r="M1176" s="2"/>
      <c r="N1176" s="2"/>
      <c r="O1176" s="2"/>
      <c r="P1176" s="2"/>
      <c r="Q1176" s="2"/>
      <c r="R1176" s="2"/>
      <c r="S1176" s="2"/>
      <c r="T1176" s="3"/>
      <c r="U1176" s="1"/>
      <c r="V1176" s="1"/>
      <c r="W1176" s="1"/>
      <c r="X1176" s="1"/>
      <c r="Y1176" s="1"/>
      <c r="Z1176" s="1"/>
      <c r="AA1176" s="1"/>
      <c r="AB1176" s="1"/>
    </row>
    <row r="1177" spans="1:28" ht="13.8">
      <c r="A1177" s="261"/>
      <c r="B1177" s="261"/>
      <c r="C1177" s="115"/>
      <c r="D1177" s="1"/>
      <c r="E1177" s="1"/>
      <c r="F1177" s="1"/>
      <c r="G1177" s="1"/>
      <c r="H1177" s="1"/>
      <c r="I1177" s="1"/>
      <c r="J1177" s="1"/>
      <c r="K1177" s="1"/>
      <c r="L1177" s="2"/>
      <c r="M1177" s="2"/>
      <c r="N1177" s="2"/>
      <c r="O1177" s="2"/>
      <c r="P1177" s="2"/>
      <c r="Q1177" s="2"/>
      <c r="R1177" s="2"/>
      <c r="S1177" s="2"/>
      <c r="T1177" s="3"/>
      <c r="U1177" s="1"/>
      <c r="V1177" s="1"/>
      <c r="W1177" s="1"/>
      <c r="X1177" s="1"/>
      <c r="Y1177" s="1"/>
      <c r="Z1177" s="1"/>
      <c r="AA1177" s="1"/>
      <c r="AB1177" s="1"/>
    </row>
    <row r="1178" spans="1:28" ht="13.8">
      <c r="A1178" s="261"/>
      <c r="B1178" s="261"/>
      <c r="C1178" s="115"/>
      <c r="D1178" s="1"/>
      <c r="E1178" s="1"/>
      <c r="F1178" s="1"/>
      <c r="G1178" s="1"/>
      <c r="H1178" s="1"/>
      <c r="I1178" s="1"/>
      <c r="J1178" s="1"/>
      <c r="K1178" s="1"/>
      <c r="L1178" s="2"/>
      <c r="M1178" s="2"/>
      <c r="N1178" s="2"/>
      <c r="O1178" s="2"/>
      <c r="P1178" s="2"/>
      <c r="Q1178" s="2"/>
      <c r="R1178" s="2"/>
      <c r="S1178" s="2"/>
      <c r="T1178" s="3"/>
      <c r="U1178" s="1"/>
      <c r="V1178" s="1"/>
      <c r="W1178" s="1"/>
      <c r="X1178" s="1"/>
      <c r="Y1178" s="1"/>
      <c r="Z1178" s="1"/>
      <c r="AA1178" s="1"/>
      <c r="AB1178" s="1"/>
    </row>
    <row r="1179" spans="1:28" ht="13.8">
      <c r="A1179" s="261"/>
      <c r="B1179" s="261"/>
      <c r="C1179" s="115"/>
      <c r="D1179" s="1"/>
      <c r="E1179" s="1"/>
      <c r="F1179" s="1"/>
      <c r="G1179" s="1"/>
      <c r="H1179" s="1"/>
      <c r="I1179" s="1"/>
      <c r="J1179" s="1"/>
      <c r="K1179" s="1"/>
      <c r="L1179" s="2"/>
      <c r="M1179" s="2"/>
      <c r="N1179" s="2"/>
      <c r="O1179" s="2"/>
      <c r="P1179" s="2"/>
      <c r="Q1179" s="2"/>
      <c r="R1179" s="2"/>
      <c r="S1179" s="2"/>
      <c r="T1179" s="3"/>
      <c r="U1179" s="1"/>
      <c r="V1179" s="1"/>
      <c r="W1179" s="1"/>
      <c r="X1179" s="1"/>
      <c r="Y1179" s="1"/>
      <c r="Z1179" s="1"/>
      <c r="AA1179" s="1"/>
      <c r="AB1179" s="1"/>
    </row>
    <row r="1180" spans="1:28" ht="13.8">
      <c r="A1180" s="261"/>
      <c r="B1180" s="261"/>
      <c r="C1180" s="115"/>
      <c r="D1180" s="1"/>
      <c r="E1180" s="1"/>
      <c r="F1180" s="1"/>
      <c r="G1180" s="1"/>
      <c r="H1180" s="1"/>
      <c r="I1180" s="1"/>
      <c r="J1180" s="1"/>
      <c r="K1180" s="1"/>
      <c r="L1180" s="2"/>
      <c r="M1180" s="2"/>
      <c r="N1180" s="2"/>
      <c r="O1180" s="2"/>
      <c r="P1180" s="2"/>
      <c r="Q1180" s="2"/>
      <c r="R1180" s="2"/>
      <c r="S1180" s="2"/>
      <c r="T1180" s="3"/>
      <c r="U1180" s="1"/>
      <c r="V1180" s="1"/>
      <c r="W1180" s="1"/>
      <c r="X1180" s="1"/>
      <c r="Y1180" s="1"/>
      <c r="Z1180" s="1"/>
      <c r="AA1180" s="1"/>
      <c r="AB1180" s="1"/>
    </row>
    <row r="1181" spans="1:28" ht="13.8">
      <c r="A1181" s="261"/>
      <c r="B1181" s="261"/>
      <c r="C1181" s="115"/>
      <c r="D1181" s="1"/>
      <c r="E1181" s="1"/>
      <c r="F1181" s="1"/>
      <c r="G1181" s="1"/>
      <c r="H1181" s="1"/>
      <c r="I1181" s="1"/>
      <c r="J1181" s="1"/>
      <c r="K1181" s="1"/>
      <c r="L1181" s="2"/>
      <c r="M1181" s="2"/>
      <c r="N1181" s="2"/>
      <c r="O1181" s="2"/>
      <c r="P1181" s="2"/>
      <c r="Q1181" s="2"/>
      <c r="R1181" s="2"/>
      <c r="S1181" s="2"/>
      <c r="T1181" s="3"/>
      <c r="U1181" s="1"/>
      <c r="V1181" s="1"/>
      <c r="W1181" s="1"/>
      <c r="X1181" s="1"/>
      <c r="Y1181" s="1"/>
      <c r="Z1181" s="1"/>
      <c r="AA1181" s="1"/>
      <c r="AB1181" s="1"/>
    </row>
    <row r="1182" spans="1:28" ht="13.8">
      <c r="A1182" s="261"/>
      <c r="B1182" s="261"/>
      <c r="C1182" s="115"/>
      <c r="D1182" s="1"/>
      <c r="E1182" s="1"/>
      <c r="F1182" s="1"/>
      <c r="G1182" s="1"/>
      <c r="H1182" s="1"/>
      <c r="I1182" s="1"/>
      <c r="J1182" s="1"/>
      <c r="K1182" s="1"/>
      <c r="L1182" s="2"/>
      <c r="M1182" s="2"/>
      <c r="N1182" s="2"/>
      <c r="O1182" s="2"/>
      <c r="P1182" s="2"/>
      <c r="Q1182" s="2"/>
      <c r="R1182" s="2"/>
      <c r="S1182" s="2"/>
      <c r="T1182" s="3"/>
      <c r="U1182" s="1"/>
      <c r="V1182" s="1"/>
      <c r="W1182" s="1"/>
      <c r="X1182" s="1"/>
      <c r="Y1182" s="1"/>
      <c r="Z1182" s="1"/>
      <c r="AA1182" s="1"/>
      <c r="AB1182" s="1"/>
    </row>
    <row r="1183" spans="1:28" ht="13.8">
      <c r="A1183" s="261"/>
      <c r="B1183" s="261"/>
      <c r="C1183" s="115"/>
      <c r="D1183" s="1"/>
      <c r="E1183" s="1"/>
      <c r="F1183" s="1"/>
      <c r="G1183" s="1"/>
      <c r="H1183" s="1"/>
      <c r="I1183" s="1"/>
      <c r="J1183" s="1"/>
      <c r="K1183" s="1"/>
      <c r="L1183" s="2"/>
      <c r="M1183" s="2"/>
      <c r="N1183" s="2"/>
      <c r="O1183" s="2"/>
      <c r="P1183" s="2"/>
      <c r="Q1183" s="2"/>
      <c r="R1183" s="2"/>
      <c r="S1183" s="2"/>
      <c r="T1183" s="3"/>
      <c r="U1183" s="1"/>
      <c r="V1183" s="1"/>
      <c r="W1183" s="1"/>
      <c r="X1183" s="1"/>
      <c r="Y1183" s="1"/>
      <c r="Z1183" s="1"/>
      <c r="AA1183" s="1"/>
      <c r="AB1183" s="1"/>
    </row>
    <row r="1184" spans="1:28" ht="13.8">
      <c r="A1184" s="261"/>
      <c r="B1184" s="261"/>
      <c r="C1184" s="115"/>
      <c r="D1184" s="1"/>
      <c r="E1184" s="1"/>
      <c r="F1184" s="1"/>
      <c r="G1184" s="1"/>
      <c r="H1184" s="1"/>
      <c r="I1184" s="1"/>
      <c r="J1184" s="1"/>
      <c r="K1184" s="1"/>
      <c r="L1184" s="2"/>
      <c r="M1184" s="2"/>
      <c r="N1184" s="2"/>
      <c r="O1184" s="2"/>
      <c r="P1184" s="2"/>
      <c r="Q1184" s="2"/>
      <c r="R1184" s="2"/>
      <c r="S1184" s="2"/>
      <c r="T1184" s="3"/>
      <c r="U1184" s="1"/>
      <c r="V1184" s="1"/>
      <c r="W1184" s="1"/>
      <c r="X1184" s="1"/>
      <c r="Y1184" s="1"/>
      <c r="Z1184" s="1"/>
      <c r="AA1184" s="1"/>
      <c r="AB1184" s="1"/>
    </row>
    <row r="1185" spans="1:28" ht="13.8">
      <c r="A1185" s="261"/>
      <c r="B1185" s="261"/>
      <c r="C1185" s="115"/>
      <c r="D1185" s="1"/>
      <c r="E1185" s="1"/>
      <c r="F1185" s="1"/>
      <c r="G1185" s="1"/>
      <c r="H1185" s="1"/>
      <c r="I1185" s="1"/>
      <c r="J1185" s="1"/>
      <c r="K1185" s="1"/>
      <c r="L1185" s="2"/>
      <c r="M1185" s="2"/>
      <c r="N1185" s="2"/>
      <c r="O1185" s="2"/>
      <c r="P1185" s="2"/>
      <c r="Q1185" s="2"/>
      <c r="R1185" s="2"/>
      <c r="S1185" s="2"/>
      <c r="T1185" s="3"/>
      <c r="U1185" s="1"/>
      <c r="V1185" s="1"/>
      <c r="W1185" s="1"/>
      <c r="X1185" s="1"/>
      <c r="Y1185" s="1"/>
      <c r="Z1185" s="1"/>
      <c r="AA1185" s="1"/>
      <c r="AB1185" s="1"/>
    </row>
    <row r="1186" spans="1:28" ht="13.8">
      <c r="A1186" s="261"/>
      <c r="B1186" s="261"/>
      <c r="C1186" s="115"/>
      <c r="D1186" s="1"/>
      <c r="E1186" s="1"/>
      <c r="F1186" s="1"/>
      <c r="G1186" s="1"/>
      <c r="H1186" s="1"/>
      <c r="I1186" s="1"/>
      <c r="J1186" s="1"/>
      <c r="K1186" s="1"/>
      <c r="L1186" s="2"/>
      <c r="M1186" s="2"/>
      <c r="N1186" s="2"/>
      <c r="O1186" s="2"/>
      <c r="P1186" s="2"/>
      <c r="Q1186" s="2"/>
      <c r="R1186" s="2"/>
      <c r="S1186" s="2"/>
      <c r="T1186" s="3"/>
      <c r="U1186" s="1"/>
      <c r="V1186" s="1"/>
      <c r="W1186" s="1"/>
      <c r="X1186" s="1"/>
      <c r="Y1186" s="1"/>
      <c r="Z1186" s="1"/>
      <c r="AA1186" s="1"/>
      <c r="AB1186" s="1"/>
    </row>
    <row r="1187" spans="1:28" ht="13.8">
      <c r="A1187" s="261"/>
      <c r="B1187" s="261"/>
      <c r="C1187" s="115"/>
      <c r="D1187" s="1"/>
      <c r="E1187" s="1"/>
      <c r="F1187" s="1"/>
      <c r="G1187" s="1"/>
      <c r="H1187" s="1"/>
      <c r="I1187" s="1"/>
      <c r="J1187" s="1"/>
      <c r="K1187" s="1"/>
      <c r="L1187" s="2"/>
      <c r="M1187" s="2"/>
      <c r="N1187" s="2"/>
      <c r="O1187" s="2"/>
      <c r="P1187" s="2"/>
      <c r="Q1187" s="2"/>
      <c r="R1187" s="2"/>
      <c r="S1187" s="2"/>
      <c r="T1187" s="3"/>
      <c r="U1187" s="1"/>
      <c r="V1187" s="1"/>
      <c r="W1187" s="1"/>
      <c r="X1187" s="1"/>
      <c r="Y1187" s="1"/>
      <c r="Z1187" s="1"/>
      <c r="AA1187" s="1"/>
      <c r="AB1187" s="1"/>
    </row>
    <row r="1188" spans="1:28" ht="13.8">
      <c r="A1188" s="261"/>
      <c r="B1188" s="261"/>
      <c r="C1188" s="115"/>
      <c r="D1188" s="1"/>
      <c r="E1188" s="1"/>
      <c r="F1188" s="1"/>
      <c r="G1188" s="1"/>
      <c r="H1188" s="1"/>
      <c r="I1188" s="1"/>
      <c r="J1188" s="1"/>
      <c r="K1188" s="1"/>
      <c r="L1188" s="2"/>
      <c r="M1188" s="2"/>
      <c r="N1188" s="2"/>
      <c r="O1188" s="2"/>
      <c r="P1188" s="2"/>
      <c r="Q1188" s="2"/>
      <c r="R1188" s="2"/>
      <c r="S1188" s="2"/>
      <c r="T1188" s="3"/>
      <c r="U1188" s="1"/>
      <c r="V1188" s="1"/>
      <c r="W1188" s="1"/>
      <c r="X1188" s="1"/>
      <c r="Y1188" s="1"/>
      <c r="Z1188" s="1"/>
      <c r="AA1188" s="1"/>
      <c r="AB1188" s="1"/>
    </row>
    <row r="1189" spans="1:28" ht="13.8">
      <c r="A1189" s="261"/>
      <c r="B1189" s="261"/>
      <c r="C1189" s="115"/>
      <c r="D1189" s="1"/>
      <c r="E1189" s="1"/>
      <c r="F1189" s="1"/>
      <c r="G1189" s="1"/>
      <c r="H1189" s="1"/>
      <c r="I1189" s="1"/>
      <c r="J1189" s="1"/>
      <c r="K1189" s="1"/>
      <c r="L1189" s="2"/>
      <c r="M1189" s="2"/>
      <c r="N1189" s="2"/>
      <c r="O1189" s="2"/>
      <c r="P1189" s="2"/>
      <c r="Q1189" s="2"/>
      <c r="R1189" s="2"/>
      <c r="S1189" s="2"/>
      <c r="T1189" s="3"/>
      <c r="U1189" s="1"/>
      <c r="V1189" s="1"/>
      <c r="W1189" s="1"/>
      <c r="X1189" s="1"/>
      <c r="Y1189" s="1"/>
      <c r="Z1189" s="1"/>
      <c r="AA1189" s="1"/>
      <c r="AB1189" s="1"/>
    </row>
    <row r="1190" spans="1:28" ht="13.8">
      <c r="A1190" s="261"/>
      <c r="B1190" s="261"/>
      <c r="C1190" s="115"/>
      <c r="D1190" s="1"/>
      <c r="E1190" s="1"/>
      <c r="F1190" s="1"/>
      <c r="G1190" s="1"/>
      <c r="H1190" s="1"/>
      <c r="I1190" s="1"/>
      <c r="J1190" s="1"/>
      <c r="K1190" s="1"/>
      <c r="L1190" s="2"/>
      <c r="M1190" s="2"/>
      <c r="N1190" s="2"/>
      <c r="O1190" s="2"/>
      <c r="P1190" s="2"/>
      <c r="Q1190" s="2"/>
      <c r="R1190" s="2"/>
      <c r="S1190" s="2"/>
      <c r="T1190" s="3"/>
      <c r="U1190" s="1"/>
      <c r="V1190" s="1"/>
      <c r="W1190" s="1"/>
      <c r="X1190" s="1"/>
      <c r="Y1190" s="1"/>
      <c r="Z1190" s="1"/>
      <c r="AA1190" s="1"/>
      <c r="AB1190" s="1"/>
    </row>
    <row r="1191" spans="1:28" ht="13.8">
      <c r="A1191" s="261"/>
      <c r="B1191" s="261"/>
      <c r="C1191" s="115"/>
      <c r="D1191" s="1"/>
      <c r="E1191" s="1"/>
      <c r="F1191" s="1"/>
      <c r="G1191" s="1"/>
      <c r="H1191" s="1"/>
      <c r="I1191" s="1"/>
      <c r="J1191" s="1"/>
      <c r="K1191" s="1"/>
      <c r="L1191" s="2"/>
      <c r="M1191" s="2"/>
      <c r="N1191" s="2"/>
      <c r="O1191" s="2"/>
      <c r="P1191" s="2"/>
      <c r="Q1191" s="2"/>
      <c r="R1191" s="2"/>
      <c r="S1191" s="2"/>
      <c r="T1191" s="3"/>
      <c r="U1191" s="1"/>
      <c r="V1191" s="1"/>
      <c r="W1191" s="1"/>
      <c r="X1191" s="1"/>
      <c r="Y1191" s="1"/>
      <c r="Z1191" s="1"/>
      <c r="AA1191" s="1"/>
      <c r="AB1191" s="1"/>
    </row>
    <row r="1192" spans="1:28" ht="13.8">
      <c r="A1192" s="261"/>
      <c r="B1192" s="261"/>
      <c r="C1192" s="115"/>
      <c r="D1192" s="1"/>
      <c r="E1192" s="1"/>
      <c r="F1192" s="1"/>
      <c r="G1192" s="1"/>
      <c r="H1192" s="1"/>
      <c r="I1192" s="1"/>
      <c r="J1192" s="1"/>
      <c r="K1192" s="1"/>
      <c r="L1192" s="2"/>
      <c r="M1192" s="2"/>
      <c r="N1192" s="2"/>
      <c r="O1192" s="2"/>
      <c r="P1192" s="2"/>
      <c r="Q1192" s="2"/>
      <c r="R1192" s="2"/>
      <c r="S1192" s="2"/>
      <c r="T1192" s="3"/>
      <c r="U1192" s="1"/>
      <c r="V1192" s="1"/>
      <c r="W1192" s="1"/>
      <c r="X1192" s="1"/>
      <c r="Y1192" s="1"/>
      <c r="Z1192" s="1"/>
      <c r="AA1192" s="1"/>
      <c r="AB1192" s="1"/>
    </row>
    <row r="1193" spans="1:28" ht="13.8">
      <c r="A1193" s="261"/>
      <c r="B1193" s="261"/>
      <c r="C1193" s="115"/>
      <c r="D1193" s="1"/>
      <c r="E1193" s="1"/>
      <c r="F1193" s="1"/>
      <c r="G1193" s="1"/>
      <c r="H1193" s="1"/>
      <c r="I1193" s="1"/>
      <c r="J1193" s="1"/>
      <c r="K1193" s="1"/>
      <c r="L1193" s="2"/>
      <c r="M1193" s="2"/>
      <c r="N1193" s="2"/>
      <c r="O1193" s="2"/>
      <c r="P1193" s="2"/>
      <c r="Q1193" s="2"/>
      <c r="R1193" s="2"/>
      <c r="S1193" s="2"/>
      <c r="T1193" s="3"/>
      <c r="U1193" s="1"/>
      <c r="V1193" s="1"/>
      <c r="W1193" s="1"/>
      <c r="X1193" s="1"/>
      <c r="Y1193" s="1"/>
      <c r="Z1193" s="1"/>
      <c r="AA1193" s="1"/>
      <c r="AB1193" s="1"/>
    </row>
    <row r="1194" spans="1:28" ht="13.8">
      <c r="A1194" s="261"/>
      <c r="B1194" s="261"/>
      <c r="C1194" s="115"/>
      <c r="D1194" s="1"/>
      <c r="E1194" s="1"/>
      <c r="F1194" s="1"/>
      <c r="G1194" s="1"/>
      <c r="H1194" s="1"/>
      <c r="I1194" s="1"/>
      <c r="J1194" s="1"/>
      <c r="K1194" s="1"/>
      <c r="L1194" s="2"/>
      <c r="M1194" s="2"/>
      <c r="N1194" s="2"/>
      <c r="O1194" s="2"/>
      <c r="P1194" s="2"/>
      <c r="Q1194" s="2"/>
      <c r="R1194" s="2"/>
      <c r="S1194" s="2"/>
      <c r="T1194" s="3"/>
      <c r="U1194" s="1"/>
      <c r="V1194" s="1"/>
      <c r="W1194" s="1"/>
      <c r="X1194" s="1"/>
      <c r="Y1194" s="1"/>
      <c r="Z1194" s="1"/>
      <c r="AA1194" s="1"/>
      <c r="AB1194" s="1"/>
    </row>
    <row r="1195" spans="1:28" ht="13.8">
      <c r="A1195" s="261"/>
      <c r="B1195" s="261"/>
      <c r="C1195" s="115"/>
      <c r="D1195" s="1"/>
      <c r="E1195" s="1"/>
      <c r="F1195" s="1"/>
      <c r="G1195" s="1"/>
      <c r="H1195" s="1"/>
      <c r="I1195" s="1"/>
      <c r="J1195" s="1"/>
      <c r="K1195" s="1"/>
      <c r="L1195" s="2"/>
      <c r="M1195" s="2"/>
      <c r="N1195" s="2"/>
      <c r="O1195" s="2"/>
      <c r="P1195" s="2"/>
      <c r="Q1195" s="2"/>
      <c r="R1195" s="2"/>
      <c r="S1195" s="2"/>
      <c r="T1195" s="3"/>
      <c r="U1195" s="1"/>
      <c r="V1195" s="1"/>
      <c r="W1195" s="1"/>
      <c r="X1195" s="1"/>
      <c r="Y1195" s="1"/>
      <c r="Z1195" s="1"/>
      <c r="AA1195" s="1"/>
      <c r="AB1195" s="1"/>
    </row>
    <row r="1196" spans="1:28" ht="13.8">
      <c r="A1196" s="261"/>
      <c r="B1196" s="261"/>
      <c r="C1196" s="115"/>
      <c r="D1196" s="1"/>
      <c r="E1196" s="1"/>
      <c r="F1196" s="1"/>
      <c r="G1196" s="1"/>
      <c r="H1196" s="1"/>
      <c r="I1196" s="1"/>
      <c r="J1196" s="1"/>
      <c r="K1196" s="1"/>
      <c r="L1196" s="2"/>
      <c r="M1196" s="2"/>
      <c r="N1196" s="2"/>
      <c r="O1196" s="2"/>
      <c r="P1196" s="2"/>
      <c r="Q1196" s="2"/>
      <c r="R1196" s="2"/>
      <c r="S1196" s="2"/>
      <c r="T1196" s="3"/>
      <c r="U1196" s="1"/>
      <c r="V1196" s="1"/>
      <c r="W1196" s="1"/>
      <c r="X1196" s="1"/>
      <c r="Y1196" s="1"/>
      <c r="Z1196" s="1"/>
      <c r="AA1196" s="1"/>
      <c r="AB1196" s="1"/>
    </row>
    <row r="1197" spans="1:28" ht="13.8">
      <c r="A1197" s="261"/>
      <c r="B1197" s="261"/>
      <c r="C1197" s="115"/>
      <c r="D1197" s="1"/>
      <c r="E1197" s="1"/>
      <c r="F1197" s="1"/>
      <c r="G1197" s="1"/>
      <c r="H1197" s="1"/>
      <c r="I1197" s="1"/>
      <c r="J1197" s="1"/>
      <c r="K1197" s="1"/>
      <c r="L1197" s="2"/>
      <c r="M1197" s="2"/>
      <c r="N1197" s="2"/>
      <c r="O1197" s="2"/>
      <c r="P1197" s="2"/>
      <c r="Q1197" s="2"/>
      <c r="R1197" s="2"/>
      <c r="S1197" s="2"/>
      <c r="T1197" s="3"/>
      <c r="U1197" s="1"/>
      <c r="V1197" s="1"/>
      <c r="W1197" s="1"/>
      <c r="X1197" s="1"/>
      <c r="Y1197" s="1"/>
      <c r="Z1197" s="1"/>
      <c r="AA1197" s="1"/>
      <c r="AB1197" s="1"/>
    </row>
    <row r="1198" spans="1:28" ht="13.8">
      <c r="A1198" s="261"/>
      <c r="B1198" s="261"/>
      <c r="C1198" s="115"/>
      <c r="D1198" s="1"/>
      <c r="E1198" s="1"/>
      <c r="F1198" s="1"/>
      <c r="G1198" s="1"/>
      <c r="H1198" s="1"/>
      <c r="I1198" s="1"/>
      <c r="J1198" s="1"/>
      <c r="K1198" s="1"/>
      <c r="L1198" s="2"/>
      <c r="M1198" s="2"/>
      <c r="N1198" s="2"/>
      <c r="O1198" s="2"/>
      <c r="P1198" s="2"/>
      <c r="Q1198" s="2"/>
      <c r="R1198" s="2"/>
      <c r="S1198" s="2"/>
      <c r="T1198" s="3"/>
      <c r="U1198" s="1"/>
      <c r="V1198" s="1"/>
      <c r="W1198" s="1"/>
      <c r="X1198" s="1"/>
      <c r="Y1198" s="1"/>
      <c r="Z1198" s="1"/>
      <c r="AA1198" s="1"/>
      <c r="AB1198" s="1"/>
    </row>
    <row r="1199" spans="1:28" ht="13.8">
      <c r="A1199" s="261"/>
      <c r="B1199" s="261"/>
      <c r="C1199" s="115"/>
      <c r="D1199" s="1"/>
      <c r="E1199" s="1"/>
      <c r="F1199" s="1"/>
      <c r="G1199" s="1"/>
      <c r="H1199" s="1"/>
      <c r="I1199" s="1"/>
      <c r="J1199" s="1"/>
      <c r="K1199" s="1"/>
      <c r="L1199" s="2"/>
      <c r="M1199" s="2"/>
      <c r="N1199" s="2"/>
      <c r="O1199" s="2"/>
      <c r="P1199" s="2"/>
      <c r="Q1199" s="2"/>
      <c r="R1199" s="2"/>
      <c r="S1199" s="2"/>
      <c r="T1199" s="3"/>
      <c r="U1199" s="1"/>
      <c r="V1199" s="1"/>
      <c r="W1199" s="1"/>
      <c r="X1199" s="1"/>
      <c r="Y1199" s="1"/>
      <c r="Z1199" s="1"/>
      <c r="AA1199" s="1"/>
      <c r="AB1199" s="1"/>
    </row>
    <row r="1200" spans="1:28" ht="13.8">
      <c r="A1200" s="261"/>
      <c r="B1200" s="261"/>
      <c r="C1200" s="115"/>
      <c r="D1200" s="1"/>
      <c r="E1200" s="1"/>
      <c r="F1200" s="1"/>
      <c r="G1200" s="1"/>
      <c r="H1200" s="1"/>
      <c r="I1200" s="1"/>
      <c r="J1200" s="1"/>
      <c r="K1200" s="1"/>
      <c r="L1200" s="2"/>
      <c r="M1200" s="2"/>
      <c r="N1200" s="2"/>
      <c r="O1200" s="2"/>
      <c r="P1200" s="2"/>
      <c r="Q1200" s="2"/>
      <c r="R1200" s="2"/>
      <c r="S1200" s="2"/>
      <c r="T1200" s="3"/>
      <c r="U1200" s="1"/>
      <c r="V1200" s="1"/>
      <c r="W1200" s="1"/>
      <c r="X1200" s="1"/>
      <c r="Y1200" s="1"/>
      <c r="Z1200" s="1"/>
      <c r="AA1200" s="1"/>
      <c r="AB1200" s="1"/>
    </row>
    <row r="1201" spans="1:28" ht="13.8">
      <c r="A1201" s="261"/>
      <c r="B1201" s="261"/>
      <c r="C1201" s="115"/>
      <c r="D1201" s="1"/>
      <c r="E1201" s="1"/>
      <c r="F1201" s="1"/>
      <c r="G1201" s="1"/>
      <c r="H1201" s="1"/>
      <c r="I1201" s="1"/>
      <c r="J1201" s="1"/>
      <c r="K1201" s="1"/>
      <c r="L1201" s="2"/>
      <c r="M1201" s="2"/>
      <c r="N1201" s="2"/>
      <c r="O1201" s="2"/>
      <c r="P1201" s="2"/>
      <c r="Q1201" s="2"/>
      <c r="R1201" s="2"/>
      <c r="S1201" s="2"/>
      <c r="T1201" s="3"/>
      <c r="U1201" s="1"/>
      <c r="V1201" s="1"/>
      <c r="W1201" s="1"/>
      <c r="X1201" s="1"/>
      <c r="Y1201" s="1"/>
      <c r="Z1201" s="1"/>
      <c r="AA1201" s="1"/>
      <c r="AB1201" s="1"/>
    </row>
    <row r="1202" spans="1:28" ht="13.8">
      <c r="A1202" s="261"/>
      <c r="B1202" s="261"/>
      <c r="C1202" s="115"/>
      <c r="D1202" s="1"/>
      <c r="E1202" s="1"/>
      <c r="F1202" s="1"/>
      <c r="G1202" s="1"/>
      <c r="H1202" s="1"/>
      <c r="I1202" s="1"/>
      <c r="J1202" s="1"/>
      <c r="K1202" s="1"/>
      <c r="L1202" s="2"/>
      <c r="M1202" s="2"/>
      <c r="N1202" s="2"/>
      <c r="O1202" s="2"/>
      <c r="P1202" s="2"/>
      <c r="Q1202" s="2"/>
      <c r="R1202" s="2"/>
      <c r="S1202" s="2"/>
      <c r="T1202" s="3"/>
      <c r="U1202" s="1"/>
      <c r="V1202" s="1"/>
      <c r="W1202" s="1"/>
      <c r="X1202" s="1"/>
      <c r="Y1202" s="1"/>
      <c r="Z1202" s="1"/>
      <c r="AA1202" s="1"/>
      <c r="AB1202" s="1"/>
    </row>
    <row r="1203" spans="1:28" ht="13.8">
      <c r="A1203" s="261"/>
      <c r="B1203" s="261"/>
      <c r="C1203" s="115"/>
      <c r="D1203" s="1"/>
      <c r="E1203" s="1"/>
      <c r="F1203" s="1"/>
      <c r="G1203" s="1"/>
      <c r="H1203" s="1"/>
      <c r="I1203" s="1"/>
      <c r="J1203" s="1"/>
      <c r="K1203" s="1"/>
      <c r="L1203" s="2"/>
      <c r="M1203" s="2"/>
      <c r="N1203" s="2"/>
      <c r="O1203" s="2"/>
      <c r="P1203" s="2"/>
      <c r="Q1203" s="2"/>
      <c r="R1203" s="2"/>
      <c r="S1203" s="2"/>
      <c r="T1203" s="3"/>
      <c r="U1203" s="1"/>
      <c r="V1203" s="1"/>
      <c r="W1203" s="1"/>
      <c r="X1203" s="1"/>
      <c r="Y1203" s="1"/>
      <c r="Z1203" s="1"/>
      <c r="AA1203" s="1"/>
      <c r="AB1203" s="1"/>
    </row>
    <row r="1204" spans="1:28" ht="13.8">
      <c r="A1204" s="261"/>
      <c r="B1204" s="261"/>
      <c r="C1204" s="115"/>
      <c r="D1204" s="1"/>
      <c r="E1204" s="1"/>
      <c r="F1204" s="1"/>
      <c r="G1204" s="1"/>
      <c r="H1204" s="1"/>
      <c r="I1204" s="1"/>
      <c r="J1204" s="1"/>
      <c r="K1204" s="1"/>
      <c r="L1204" s="2"/>
      <c r="M1204" s="2"/>
      <c r="N1204" s="2"/>
      <c r="O1204" s="2"/>
      <c r="P1204" s="2"/>
      <c r="Q1204" s="2"/>
      <c r="R1204" s="2"/>
      <c r="S1204" s="2"/>
      <c r="T1204" s="3"/>
      <c r="U1204" s="1"/>
      <c r="V1204" s="1"/>
      <c r="W1204" s="1"/>
      <c r="X1204" s="1"/>
      <c r="Y1204" s="1"/>
      <c r="Z1204" s="1"/>
      <c r="AA1204" s="1"/>
      <c r="AB1204" s="1"/>
    </row>
    <row r="1205" spans="1:28" ht="13.8">
      <c r="A1205" s="261"/>
      <c r="B1205" s="261"/>
      <c r="C1205" s="115"/>
      <c r="D1205" s="1"/>
      <c r="E1205" s="1"/>
      <c r="F1205" s="1"/>
      <c r="G1205" s="1"/>
      <c r="H1205" s="1"/>
      <c r="I1205" s="1"/>
      <c r="J1205" s="1"/>
      <c r="K1205" s="1"/>
      <c r="L1205" s="2"/>
      <c r="M1205" s="2"/>
      <c r="N1205" s="2"/>
      <c r="O1205" s="2"/>
      <c r="P1205" s="2"/>
      <c r="Q1205" s="2"/>
      <c r="R1205" s="2"/>
      <c r="S1205" s="2"/>
      <c r="T1205" s="3"/>
      <c r="U1205" s="1"/>
      <c r="V1205" s="1"/>
      <c r="W1205" s="1"/>
      <c r="X1205" s="1"/>
      <c r="Y1205" s="1"/>
      <c r="Z1205" s="1"/>
      <c r="AA1205" s="1"/>
      <c r="AB1205" s="1"/>
    </row>
    <row r="1206" spans="1:28" ht="13.8">
      <c r="A1206" s="261"/>
      <c r="B1206" s="261"/>
      <c r="C1206" s="115"/>
      <c r="D1206" s="1"/>
      <c r="E1206" s="1"/>
      <c r="F1206" s="1"/>
      <c r="G1206" s="1"/>
      <c r="H1206" s="1"/>
      <c r="I1206" s="1"/>
      <c r="J1206" s="1"/>
      <c r="K1206" s="1"/>
      <c r="L1206" s="2"/>
      <c r="M1206" s="2"/>
      <c r="N1206" s="2"/>
      <c r="O1206" s="2"/>
      <c r="P1206" s="2"/>
      <c r="Q1206" s="2"/>
      <c r="R1206" s="2"/>
      <c r="S1206" s="2"/>
      <c r="T1206" s="3"/>
      <c r="U1206" s="1"/>
      <c r="V1206" s="1"/>
      <c r="W1206" s="1"/>
      <c r="X1206" s="1"/>
      <c r="Y1206" s="1"/>
      <c r="Z1206" s="1"/>
      <c r="AA1206" s="1"/>
      <c r="AB1206" s="1"/>
    </row>
    <row r="1207" spans="1:28" ht="13.8">
      <c r="A1207" s="261"/>
      <c r="B1207" s="261"/>
      <c r="C1207" s="115"/>
      <c r="D1207" s="1"/>
      <c r="E1207" s="1"/>
      <c r="F1207" s="1"/>
      <c r="G1207" s="1"/>
      <c r="H1207" s="1"/>
      <c r="I1207" s="1"/>
      <c r="J1207" s="1"/>
      <c r="K1207" s="1"/>
      <c r="L1207" s="2"/>
      <c r="M1207" s="2"/>
      <c r="N1207" s="2"/>
      <c r="O1207" s="2"/>
      <c r="P1207" s="2"/>
      <c r="Q1207" s="2"/>
      <c r="R1207" s="2"/>
      <c r="S1207" s="2"/>
      <c r="T1207" s="3"/>
      <c r="U1207" s="1"/>
      <c r="V1207" s="1"/>
      <c r="W1207" s="1"/>
      <c r="X1207" s="1"/>
      <c r="Y1207" s="1"/>
      <c r="Z1207" s="1"/>
      <c r="AA1207" s="1"/>
      <c r="AB1207" s="1"/>
    </row>
    <row r="1208" spans="1:28" ht="13.8">
      <c r="A1208" s="261"/>
      <c r="B1208" s="261"/>
      <c r="C1208" s="115"/>
      <c r="D1208" s="1"/>
      <c r="E1208" s="1"/>
      <c r="F1208" s="1"/>
      <c r="G1208" s="1"/>
      <c r="H1208" s="1"/>
      <c r="I1208" s="1"/>
      <c r="J1208" s="1"/>
      <c r="K1208" s="1"/>
      <c r="L1208" s="2"/>
      <c r="M1208" s="2"/>
      <c r="N1208" s="2"/>
      <c r="O1208" s="2"/>
      <c r="P1208" s="2"/>
      <c r="Q1208" s="2"/>
      <c r="R1208" s="2"/>
      <c r="S1208" s="2"/>
      <c r="T1208" s="3"/>
      <c r="U1208" s="1"/>
      <c r="V1208" s="1"/>
      <c r="W1208" s="1"/>
      <c r="X1208" s="1"/>
      <c r="Y1208" s="1"/>
      <c r="Z1208" s="1"/>
      <c r="AA1208" s="1"/>
      <c r="AB1208" s="1"/>
    </row>
    <row r="1209" spans="1:28" ht="13.8">
      <c r="A1209" s="261"/>
      <c r="B1209" s="261"/>
      <c r="C1209" s="115"/>
      <c r="D1209" s="1"/>
      <c r="E1209" s="1"/>
      <c r="F1209" s="1"/>
      <c r="G1209" s="1"/>
      <c r="H1209" s="1"/>
      <c r="I1209" s="1"/>
      <c r="J1209" s="1"/>
      <c r="K1209" s="1"/>
      <c r="L1209" s="2"/>
      <c r="M1209" s="2"/>
      <c r="N1209" s="2"/>
      <c r="O1209" s="2"/>
      <c r="P1209" s="2"/>
      <c r="Q1209" s="2"/>
      <c r="R1209" s="2"/>
      <c r="S1209" s="2"/>
      <c r="T1209" s="3"/>
      <c r="U1209" s="1"/>
      <c r="V1209" s="1"/>
      <c r="W1209" s="1"/>
      <c r="X1209" s="1"/>
      <c r="Y1209" s="1"/>
      <c r="Z1209" s="1"/>
      <c r="AA1209" s="1"/>
      <c r="AB1209" s="1"/>
    </row>
    <row r="1210" spans="1:28" ht="13.8">
      <c r="A1210" s="261"/>
      <c r="B1210" s="261"/>
      <c r="C1210" s="115"/>
      <c r="D1210" s="1"/>
      <c r="E1210" s="1"/>
      <c r="F1210" s="1"/>
      <c r="G1210" s="1"/>
      <c r="H1210" s="1"/>
      <c r="I1210" s="1"/>
      <c r="J1210" s="1"/>
      <c r="K1210" s="1"/>
      <c r="L1210" s="2"/>
      <c r="M1210" s="2"/>
      <c r="N1210" s="2"/>
      <c r="O1210" s="2"/>
      <c r="P1210" s="2"/>
      <c r="Q1210" s="2"/>
      <c r="R1210" s="2"/>
      <c r="S1210" s="2"/>
      <c r="T1210" s="3"/>
      <c r="U1210" s="1"/>
      <c r="V1210" s="1"/>
      <c r="W1210" s="1"/>
      <c r="X1210" s="1"/>
      <c r="Y1210" s="1"/>
      <c r="Z1210" s="1"/>
      <c r="AA1210" s="1"/>
      <c r="AB1210" s="1"/>
    </row>
    <row r="1211" spans="1:28" ht="13.8">
      <c r="A1211" s="261"/>
      <c r="B1211" s="261"/>
      <c r="C1211" s="115"/>
      <c r="D1211" s="1"/>
      <c r="E1211" s="1"/>
      <c r="F1211" s="1"/>
      <c r="G1211" s="1"/>
      <c r="H1211" s="1"/>
      <c r="I1211" s="1"/>
      <c r="J1211" s="1"/>
      <c r="K1211" s="1"/>
      <c r="L1211" s="2"/>
      <c r="M1211" s="2"/>
      <c r="N1211" s="2"/>
      <c r="O1211" s="2"/>
      <c r="P1211" s="2"/>
      <c r="Q1211" s="2"/>
      <c r="R1211" s="2"/>
      <c r="S1211" s="2"/>
      <c r="T1211" s="3"/>
      <c r="U1211" s="1"/>
      <c r="V1211" s="1"/>
      <c r="W1211" s="1"/>
      <c r="X1211" s="1"/>
      <c r="Y1211" s="1"/>
      <c r="Z1211" s="1"/>
      <c r="AA1211" s="1"/>
      <c r="AB1211" s="1"/>
    </row>
    <row r="1212" spans="1:28" ht="13.8">
      <c r="A1212" s="261"/>
      <c r="B1212" s="261"/>
      <c r="C1212" s="115"/>
      <c r="D1212" s="1"/>
      <c r="E1212" s="1"/>
      <c r="F1212" s="1"/>
      <c r="G1212" s="1"/>
      <c r="H1212" s="1"/>
      <c r="I1212" s="1"/>
      <c r="J1212" s="1"/>
      <c r="K1212" s="1"/>
      <c r="L1212" s="2"/>
      <c r="M1212" s="2"/>
      <c r="N1212" s="2"/>
      <c r="O1212" s="2"/>
      <c r="P1212" s="2"/>
      <c r="Q1212" s="2"/>
      <c r="R1212" s="2"/>
      <c r="S1212" s="2"/>
      <c r="T1212" s="3"/>
      <c r="U1212" s="1"/>
      <c r="V1212" s="1"/>
      <c r="W1212" s="1"/>
      <c r="X1212" s="1"/>
      <c r="Y1212" s="1"/>
      <c r="Z1212" s="1"/>
      <c r="AA1212" s="1"/>
      <c r="AB1212" s="1"/>
    </row>
    <row r="1213" spans="1:28" ht="13.8">
      <c r="A1213" s="261"/>
      <c r="B1213" s="261"/>
      <c r="C1213" s="115"/>
      <c r="D1213" s="1"/>
      <c r="E1213" s="1"/>
      <c r="F1213" s="1"/>
      <c r="G1213" s="1"/>
      <c r="H1213" s="1"/>
      <c r="I1213" s="1"/>
      <c r="J1213" s="1"/>
      <c r="K1213" s="1"/>
      <c r="L1213" s="2"/>
      <c r="M1213" s="2"/>
      <c r="N1213" s="2"/>
      <c r="O1213" s="2"/>
      <c r="P1213" s="2"/>
      <c r="Q1213" s="2"/>
      <c r="R1213" s="2"/>
      <c r="S1213" s="2"/>
      <c r="T1213" s="3"/>
      <c r="U1213" s="1"/>
      <c r="V1213" s="1"/>
      <c r="W1213" s="1"/>
      <c r="X1213" s="1"/>
      <c r="Y1213" s="1"/>
      <c r="Z1213" s="1"/>
      <c r="AA1213" s="1"/>
      <c r="AB1213" s="1"/>
    </row>
    <row r="1214" spans="1:28" ht="13.8">
      <c r="A1214" s="261"/>
      <c r="B1214" s="261"/>
      <c r="C1214" s="115"/>
      <c r="D1214" s="1"/>
      <c r="E1214" s="1"/>
      <c r="F1214" s="1"/>
      <c r="G1214" s="1"/>
      <c r="H1214" s="1"/>
      <c r="I1214" s="1"/>
      <c r="J1214" s="1"/>
      <c r="K1214" s="1"/>
      <c r="L1214" s="2"/>
      <c r="M1214" s="2"/>
      <c r="N1214" s="2"/>
      <c r="O1214" s="2"/>
      <c r="P1214" s="2"/>
      <c r="Q1214" s="2"/>
      <c r="R1214" s="2"/>
      <c r="S1214" s="2"/>
      <c r="T1214" s="3"/>
      <c r="U1214" s="1"/>
      <c r="V1214" s="1"/>
      <c r="W1214" s="1"/>
      <c r="X1214" s="1"/>
      <c r="Y1214" s="1"/>
      <c r="Z1214" s="1"/>
      <c r="AA1214" s="1"/>
      <c r="AB1214" s="1"/>
    </row>
    <row r="1215" spans="1:28" ht="13.8">
      <c r="A1215" s="261"/>
      <c r="B1215" s="261"/>
      <c r="C1215" s="115"/>
      <c r="D1215" s="1"/>
      <c r="E1215" s="1"/>
      <c r="F1215" s="1"/>
      <c r="G1215" s="1"/>
      <c r="H1215" s="1"/>
      <c r="I1215" s="1"/>
      <c r="J1215" s="1"/>
      <c r="K1215" s="1"/>
      <c r="L1215" s="2"/>
      <c r="M1215" s="2"/>
      <c r="N1215" s="2"/>
      <c r="O1215" s="2"/>
      <c r="P1215" s="2"/>
      <c r="Q1215" s="2"/>
      <c r="R1215" s="2"/>
      <c r="S1215" s="2"/>
      <c r="T1215" s="3"/>
      <c r="U1215" s="1"/>
      <c r="V1215" s="1"/>
      <c r="W1215" s="1"/>
      <c r="X1215" s="1"/>
      <c r="Y1215" s="1"/>
      <c r="Z1215" s="1"/>
      <c r="AA1215" s="1"/>
      <c r="AB1215" s="1"/>
    </row>
    <row r="1216" spans="1:28" ht="13.8">
      <c r="A1216" s="261"/>
      <c r="B1216" s="261"/>
      <c r="C1216" s="115"/>
      <c r="D1216" s="1"/>
      <c r="E1216" s="1"/>
      <c r="F1216" s="1"/>
      <c r="G1216" s="1"/>
      <c r="H1216" s="1"/>
      <c r="I1216" s="1"/>
      <c r="J1216" s="1"/>
      <c r="K1216" s="1"/>
      <c r="L1216" s="2"/>
      <c r="M1216" s="2"/>
      <c r="N1216" s="2"/>
      <c r="O1216" s="2"/>
      <c r="P1216" s="2"/>
      <c r="Q1216" s="2"/>
      <c r="R1216" s="2"/>
      <c r="S1216" s="2"/>
      <c r="T1216" s="3"/>
      <c r="U1216" s="1"/>
      <c r="V1216" s="1"/>
      <c r="W1216" s="1"/>
      <c r="X1216" s="1"/>
      <c r="Y1216" s="1"/>
      <c r="Z1216" s="1"/>
      <c r="AA1216" s="1"/>
      <c r="AB1216" s="1"/>
    </row>
    <row r="1217" spans="1:28" ht="13.8">
      <c r="A1217" s="261"/>
      <c r="B1217" s="261"/>
      <c r="C1217" s="115"/>
      <c r="D1217" s="1"/>
      <c r="E1217" s="1"/>
      <c r="F1217" s="1"/>
      <c r="G1217" s="1"/>
      <c r="H1217" s="1"/>
      <c r="I1217" s="1"/>
      <c r="J1217" s="1"/>
      <c r="K1217" s="1"/>
      <c r="L1217" s="2"/>
      <c r="M1217" s="2"/>
      <c r="N1217" s="2"/>
      <c r="O1217" s="2"/>
      <c r="P1217" s="2"/>
      <c r="Q1217" s="2"/>
      <c r="R1217" s="2"/>
      <c r="S1217" s="2"/>
      <c r="T1217" s="3"/>
      <c r="U1217" s="1"/>
      <c r="V1217" s="1"/>
      <c r="W1217" s="1"/>
      <c r="X1217" s="1"/>
      <c r="Y1217" s="1"/>
      <c r="Z1217" s="1"/>
      <c r="AA1217" s="1"/>
      <c r="AB1217" s="1"/>
    </row>
    <row r="1218" spans="1:28" ht="13.8">
      <c r="A1218" s="261"/>
      <c r="B1218" s="261"/>
      <c r="C1218" s="115"/>
      <c r="D1218" s="1"/>
      <c r="E1218" s="1"/>
      <c r="F1218" s="1"/>
      <c r="G1218" s="1"/>
      <c r="H1218" s="1"/>
      <c r="I1218" s="1"/>
      <c r="J1218" s="1"/>
      <c r="K1218" s="1"/>
      <c r="L1218" s="2"/>
      <c r="M1218" s="2"/>
      <c r="N1218" s="2"/>
      <c r="O1218" s="2"/>
      <c r="P1218" s="2"/>
      <c r="Q1218" s="2"/>
      <c r="R1218" s="2"/>
      <c r="S1218" s="2"/>
      <c r="T1218" s="3"/>
      <c r="U1218" s="1"/>
      <c r="V1218" s="1"/>
      <c r="W1218" s="1"/>
      <c r="X1218" s="1"/>
      <c r="Y1218" s="1"/>
      <c r="Z1218" s="1"/>
      <c r="AA1218" s="1"/>
      <c r="AB1218" s="1"/>
    </row>
    <row r="1219" spans="1:28" ht="13.8">
      <c r="A1219" s="261"/>
      <c r="B1219" s="261"/>
      <c r="C1219" s="115"/>
      <c r="D1219" s="1"/>
      <c r="E1219" s="1"/>
      <c r="F1219" s="1"/>
      <c r="G1219" s="1"/>
      <c r="H1219" s="1"/>
      <c r="I1219" s="1"/>
      <c r="J1219" s="1"/>
      <c r="K1219" s="1"/>
      <c r="L1219" s="2"/>
      <c r="M1219" s="2"/>
      <c r="N1219" s="2"/>
      <c r="O1219" s="2"/>
      <c r="P1219" s="2"/>
      <c r="Q1219" s="2"/>
      <c r="R1219" s="2"/>
      <c r="S1219" s="2"/>
      <c r="T1219" s="3"/>
      <c r="U1219" s="1"/>
      <c r="V1219" s="1"/>
      <c r="W1219" s="1"/>
      <c r="X1219" s="1"/>
      <c r="Y1219" s="1"/>
      <c r="Z1219" s="1"/>
      <c r="AA1219" s="1"/>
      <c r="AB1219" s="1"/>
    </row>
    <row r="1220" spans="1:28" ht="13.8">
      <c r="A1220" s="261"/>
      <c r="B1220" s="261"/>
      <c r="C1220" s="115"/>
      <c r="D1220" s="1"/>
      <c r="E1220" s="1"/>
      <c r="F1220" s="1"/>
      <c r="G1220" s="1"/>
      <c r="H1220" s="1"/>
      <c r="I1220" s="1"/>
      <c r="J1220" s="1"/>
      <c r="K1220" s="1"/>
      <c r="L1220" s="2"/>
      <c r="M1220" s="2"/>
      <c r="N1220" s="2"/>
      <c r="O1220" s="2"/>
      <c r="P1220" s="2"/>
      <c r="Q1220" s="2"/>
      <c r="R1220" s="2"/>
      <c r="S1220" s="2"/>
      <c r="T1220" s="3"/>
      <c r="U1220" s="1"/>
      <c r="V1220" s="1"/>
      <c r="W1220" s="1"/>
      <c r="X1220" s="1"/>
      <c r="Y1220" s="1"/>
      <c r="Z1220" s="1"/>
      <c r="AA1220" s="1"/>
      <c r="AB1220" s="1"/>
    </row>
    <row r="1221" spans="1:28" ht="13.8">
      <c r="A1221" s="261"/>
      <c r="B1221" s="261"/>
      <c r="C1221" s="115"/>
      <c r="D1221" s="1"/>
      <c r="E1221" s="1"/>
      <c r="F1221" s="1"/>
      <c r="G1221" s="1"/>
      <c r="H1221" s="1"/>
      <c r="I1221" s="1"/>
      <c r="J1221" s="1"/>
      <c r="K1221" s="1"/>
      <c r="L1221" s="2"/>
      <c r="M1221" s="2"/>
      <c r="N1221" s="2"/>
      <c r="O1221" s="2"/>
      <c r="P1221" s="2"/>
      <c r="Q1221" s="2"/>
      <c r="R1221" s="2"/>
      <c r="S1221" s="2"/>
      <c r="T1221" s="3"/>
      <c r="U1221" s="1"/>
      <c r="V1221" s="1"/>
      <c r="W1221" s="1"/>
      <c r="X1221" s="1"/>
      <c r="Y1221" s="1"/>
      <c r="Z1221" s="1"/>
      <c r="AA1221" s="1"/>
      <c r="AB1221" s="1"/>
    </row>
    <row r="1222" spans="1:28" ht="13.8">
      <c r="A1222" s="261"/>
      <c r="B1222" s="261"/>
      <c r="C1222" s="115"/>
      <c r="D1222" s="1"/>
      <c r="E1222" s="1"/>
      <c r="F1222" s="1"/>
      <c r="G1222" s="1"/>
      <c r="H1222" s="1"/>
      <c r="I1222" s="1"/>
      <c r="J1222" s="1"/>
      <c r="K1222" s="1"/>
      <c r="L1222" s="2"/>
      <c r="M1222" s="2"/>
      <c r="N1222" s="2"/>
      <c r="O1222" s="2"/>
      <c r="P1222" s="2"/>
      <c r="Q1222" s="2"/>
      <c r="R1222" s="2"/>
      <c r="S1222" s="2"/>
      <c r="T1222" s="3"/>
      <c r="U1222" s="1"/>
      <c r="V1222" s="1"/>
      <c r="W1222" s="1"/>
      <c r="X1222" s="1"/>
      <c r="Y1222" s="1"/>
      <c r="Z1222" s="1"/>
      <c r="AA1222" s="1"/>
      <c r="AB1222" s="1"/>
    </row>
    <row r="1223" spans="1:28" ht="13.8">
      <c r="A1223" s="261"/>
      <c r="B1223" s="261"/>
      <c r="C1223" s="115"/>
      <c r="D1223" s="1"/>
      <c r="E1223" s="1"/>
      <c r="F1223" s="1"/>
      <c r="G1223" s="1"/>
      <c r="H1223" s="1"/>
      <c r="I1223" s="1"/>
      <c r="J1223" s="1"/>
      <c r="K1223" s="1"/>
      <c r="L1223" s="2"/>
      <c r="M1223" s="2"/>
      <c r="N1223" s="2"/>
      <c r="O1223" s="2"/>
      <c r="P1223" s="2"/>
      <c r="Q1223" s="2"/>
      <c r="R1223" s="2"/>
      <c r="S1223" s="2"/>
      <c r="T1223" s="3"/>
      <c r="U1223" s="1"/>
      <c r="V1223" s="1"/>
      <c r="W1223" s="1"/>
      <c r="X1223" s="1"/>
      <c r="Y1223" s="1"/>
      <c r="Z1223" s="1"/>
      <c r="AA1223" s="1"/>
      <c r="AB1223" s="1"/>
    </row>
    <row r="1224" spans="1:28" ht="13.8">
      <c r="A1224" s="261"/>
      <c r="B1224" s="261"/>
      <c r="C1224" s="115"/>
      <c r="D1224" s="1"/>
      <c r="E1224" s="1"/>
      <c r="F1224" s="1"/>
      <c r="G1224" s="1"/>
      <c r="H1224" s="1"/>
      <c r="I1224" s="1"/>
      <c r="J1224" s="1"/>
      <c r="K1224" s="1"/>
      <c r="L1224" s="2"/>
      <c r="M1224" s="2"/>
      <c r="N1224" s="2"/>
      <c r="O1224" s="2"/>
      <c r="P1224" s="2"/>
      <c r="Q1224" s="2"/>
      <c r="R1224" s="2"/>
      <c r="S1224" s="2"/>
      <c r="T1224" s="3"/>
      <c r="U1224" s="1"/>
      <c r="V1224" s="1"/>
      <c r="W1224" s="1"/>
      <c r="X1224" s="1"/>
      <c r="Y1224" s="1"/>
      <c r="Z1224" s="1"/>
      <c r="AA1224" s="1"/>
      <c r="AB1224" s="1"/>
    </row>
    <row r="1225" spans="1:28" ht="13.8">
      <c r="A1225" s="261"/>
      <c r="B1225" s="261"/>
      <c r="C1225" s="115"/>
      <c r="D1225" s="1"/>
      <c r="E1225" s="1"/>
      <c r="F1225" s="1"/>
      <c r="G1225" s="1"/>
      <c r="H1225" s="1"/>
      <c r="I1225" s="1"/>
      <c r="J1225" s="1"/>
      <c r="K1225" s="1"/>
      <c r="L1225" s="2"/>
      <c r="M1225" s="2"/>
      <c r="N1225" s="2"/>
      <c r="O1225" s="2"/>
      <c r="P1225" s="2"/>
      <c r="Q1225" s="2"/>
      <c r="R1225" s="2"/>
      <c r="S1225" s="2"/>
      <c r="T1225" s="3"/>
      <c r="U1225" s="1"/>
      <c r="V1225" s="1"/>
      <c r="W1225" s="1"/>
      <c r="X1225" s="1"/>
      <c r="Y1225" s="1"/>
      <c r="Z1225" s="1"/>
      <c r="AA1225" s="1"/>
      <c r="AB1225" s="1"/>
    </row>
    <row r="1226" spans="1:28" ht="13.8">
      <c r="A1226" s="261"/>
      <c r="B1226" s="261"/>
      <c r="C1226" s="115"/>
      <c r="D1226" s="1"/>
      <c r="E1226" s="1"/>
      <c r="F1226" s="1"/>
      <c r="G1226" s="1"/>
      <c r="H1226" s="1"/>
      <c r="I1226" s="1"/>
      <c r="J1226" s="1"/>
      <c r="K1226" s="1"/>
      <c r="L1226" s="2"/>
      <c r="M1226" s="2"/>
      <c r="N1226" s="2"/>
      <c r="O1226" s="2"/>
      <c r="P1226" s="2"/>
      <c r="Q1226" s="2"/>
      <c r="R1226" s="2"/>
      <c r="S1226" s="2"/>
      <c r="T1226" s="3"/>
      <c r="U1226" s="1"/>
      <c r="V1226" s="1"/>
      <c r="W1226" s="1"/>
      <c r="X1226" s="1"/>
      <c r="Y1226" s="1"/>
      <c r="Z1226" s="1"/>
      <c r="AA1226" s="1"/>
      <c r="AB1226" s="1"/>
    </row>
    <row r="1227" spans="1:28" ht="13.8">
      <c r="A1227" s="261"/>
      <c r="B1227" s="261"/>
      <c r="C1227" s="115"/>
      <c r="D1227" s="1"/>
      <c r="E1227" s="1"/>
      <c r="F1227" s="1"/>
      <c r="G1227" s="1"/>
      <c r="H1227" s="1"/>
      <c r="I1227" s="1"/>
      <c r="J1227" s="1"/>
      <c r="K1227" s="1"/>
      <c r="L1227" s="2"/>
      <c r="M1227" s="2"/>
      <c r="N1227" s="2"/>
      <c r="O1227" s="2"/>
      <c r="P1227" s="2"/>
      <c r="Q1227" s="2"/>
      <c r="R1227" s="2"/>
      <c r="S1227" s="2"/>
      <c r="T1227" s="3"/>
      <c r="U1227" s="1"/>
      <c r="V1227" s="1"/>
      <c r="W1227" s="1"/>
      <c r="X1227" s="1"/>
      <c r="Y1227" s="1"/>
      <c r="Z1227" s="1"/>
      <c r="AA1227" s="1"/>
      <c r="AB1227" s="1"/>
    </row>
    <row r="1228" spans="1:28" ht="13.8">
      <c r="A1228" s="261"/>
      <c r="B1228" s="261"/>
      <c r="C1228" s="115"/>
      <c r="D1228" s="1"/>
      <c r="E1228" s="1"/>
      <c r="F1228" s="1"/>
      <c r="G1228" s="1"/>
      <c r="H1228" s="1"/>
      <c r="I1228" s="1"/>
      <c r="J1228" s="1"/>
      <c r="K1228" s="1"/>
      <c r="L1228" s="2"/>
      <c r="M1228" s="2"/>
      <c r="N1228" s="2"/>
      <c r="O1228" s="2"/>
      <c r="P1228" s="2"/>
      <c r="Q1228" s="2"/>
      <c r="R1228" s="2"/>
      <c r="S1228" s="2"/>
      <c r="T1228" s="3"/>
      <c r="U1228" s="1"/>
      <c r="V1228" s="1"/>
      <c r="W1228" s="1"/>
      <c r="X1228" s="1"/>
      <c r="Y1228" s="1"/>
      <c r="Z1228" s="1"/>
      <c r="AA1228" s="1"/>
      <c r="AB1228" s="1"/>
    </row>
    <row r="1229" spans="1:28" ht="13.8">
      <c r="A1229" s="261"/>
      <c r="B1229" s="261"/>
      <c r="C1229" s="115"/>
      <c r="D1229" s="1"/>
      <c r="E1229" s="1"/>
      <c r="F1229" s="1"/>
      <c r="G1229" s="1"/>
      <c r="H1229" s="1"/>
      <c r="I1229" s="1"/>
      <c r="J1229" s="1"/>
      <c r="K1229" s="1"/>
      <c r="L1229" s="2"/>
      <c r="M1229" s="2"/>
      <c r="N1229" s="2"/>
      <c r="O1229" s="2"/>
      <c r="P1229" s="2"/>
      <c r="Q1229" s="2"/>
      <c r="R1229" s="2"/>
      <c r="S1229" s="2"/>
      <c r="T1229" s="3"/>
      <c r="U1229" s="1"/>
      <c r="V1229" s="1"/>
      <c r="W1229" s="1"/>
      <c r="X1229" s="1"/>
      <c r="Y1229" s="1"/>
      <c r="Z1229" s="1"/>
      <c r="AA1229" s="1"/>
      <c r="AB1229" s="1"/>
    </row>
    <row r="1230" spans="1:28" ht="13.8">
      <c r="A1230" s="261"/>
      <c r="B1230" s="261"/>
      <c r="C1230" s="115"/>
      <c r="D1230" s="1"/>
      <c r="E1230" s="1"/>
      <c r="F1230" s="1"/>
      <c r="G1230" s="1"/>
      <c r="H1230" s="1"/>
      <c r="I1230" s="1"/>
      <c r="J1230" s="1"/>
      <c r="K1230" s="1"/>
      <c r="L1230" s="2"/>
      <c r="M1230" s="2"/>
      <c r="N1230" s="2"/>
      <c r="O1230" s="2"/>
      <c r="P1230" s="2"/>
      <c r="Q1230" s="2"/>
      <c r="R1230" s="2"/>
      <c r="S1230" s="2"/>
      <c r="T1230" s="3"/>
      <c r="U1230" s="1"/>
      <c r="V1230" s="1"/>
      <c r="W1230" s="1"/>
      <c r="X1230" s="1"/>
      <c r="Y1230" s="1"/>
      <c r="Z1230" s="1"/>
      <c r="AA1230" s="1"/>
      <c r="AB1230" s="1"/>
    </row>
    <row r="1231" spans="1:28" ht="13.8">
      <c r="A1231" s="261"/>
      <c r="B1231" s="261"/>
      <c r="C1231" s="115"/>
      <c r="D1231" s="1"/>
      <c r="E1231" s="1"/>
      <c r="F1231" s="1"/>
      <c r="G1231" s="1"/>
      <c r="H1231" s="1"/>
      <c r="I1231" s="1"/>
      <c r="J1231" s="1"/>
      <c r="K1231" s="1"/>
      <c r="L1231" s="2"/>
      <c r="M1231" s="2"/>
      <c r="N1231" s="2"/>
      <c r="O1231" s="2"/>
      <c r="P1231" s="2"/>
      <c r="Q1231" s="2"/>
      <c r="R1231" s="2"/>
      <c r="S1231" s="2"/>
      <c r="T1231" s="3"/>
      <c r="U1231" s="1"/>
      <c r="V1231" s="1"/>
      <c r="W1231" s="1"/>
      <c r="X1231" s="1"/>
      <c r="Y1231" s="1"/>
      <c r="Z1231" s="1"/>
      <c r="AA1231" s="1"/>
      <c r="AB1231" s="1"/>
    </row>
    <row r="1232" spans="1:28" ht="13.8">
      <c r="A1232" s="261"/>
      <c r="B1232" s="261"/>
      <c r="C1232" s="115"/>
      <c r="D1232" s="1"/>
      <c r="E1232" s="1"/>
      <c r="F1232" s="1"/>
      <c r="G1232" s="1"/>
      <c r="H1232" s="1"/>
      <c r="I1232" s="1"/>
      <c r="J1232" s="1"/>
      <c r="K1232" s="1"/>
      <c r="L1232" s="2"/>
      <c r="M1232" s="2"/>
      <c r="N1232" s="2"/>
      <c r="O1232" s="2"/>
      <c r="P1232" s="2"/>
      <c r="Q1232" s="2"/>
      <c r="R1232" s="2"/>
      <c r="S1232" s="2"/>
      <c r="T1232" s="3"/>
      <c r="U1232" s="1"/>
      <c r="V1232" s="1"/>
      <c r="W1232" s="1"/>
      <c r="X1232" s="1"/>
      <c r="Y1232" s="1"/>
      <c r="Z1232" s="1"/>
      <c r="AA1232" s="1"/>
      <c r="AB1232" s="1"/>
    </row>
    <row r="1233" spans="1:28" ht="13.8">
      <c r="A1233" s="261"/>
      <c r="B1233" s="261"/>
      <c r="C1233" s="115"/>
      <c r="D1233" s="1"/>
      <c r="E1233" s="1"/>
      <c r="F1233" s="1"/>
      <c r="G1233" s="1"/>
      <c r="H1233" s="1"/>
      <c r="I1233" s="1"/>
      <c r="J1233" s="1"/>
      <c r="K1233" s="1"/>
      <c r="L1233" s="2"/>
      <c r="M1233" s="2"/>
      <c r="N1233" s="2"/>
      <c r="O1233" s="2"/>
      <c r="P1233" s="2"/>
      <c r="Q1233" s="2"/>
      <c r="R1233" s="2"/>
      <c r="S1233" s="2"/>
      <c r="T1233" s="3"/>
      <c r="U1233" s="1"/>
      <c r="V1233" s="1"/>
      <c r="W1233" s="1"/>
      <c r="X1233" s="1"/>
      <c r="Y1233" s="1"/>
      <c r="Z1233" s="1"/>
      <c r="AA1233" s="1"/>
      <c r="AB1233" s="1"/>
    </row>
    <row r="1234" spans="1:28" ht="13.8">
      <c r="A1234" s="261"/>
      <c r="B1234" s="261"/>
      <c r="C1234" s="115"/>
      <c r="D1234" s="1"/>
      <c r="E1234" s="1"/>
      <c r="F1234" s="1"/>
      <c r="G1234" s="1"/>
      <c r="H1234" s="1"/>
      <c r="I1234" s="1"/>
      <c r="J1234" s="1"/>
      <c r="K1234" s="1"/>
      <c r="L1234" s="2"/>
      <c r="M1234" s="2"/>
      <c r="N1234" s="2"/>
      <c r="O1234" s="2"/>
      <c r="P1234" s="2"/>
      <c r="Q1234" s="2"/>
      <c r="R1234" s="2"/>
      <c r="S1234" s="2"/>
      <c r="T1234" s="3"/>
      <c r="U1234" s="1"/>
      <c r="V1234" s="1"/>
      <c r="W1234" s="1"/>
      <c r="X1234" s="1"/>
      <c r="Y1234" s="1"/>
      <c r="Z1234" s="1"/>
      <c r="AA1234" s="1"/>
      <c r="AB1234" s="1"/>
    </row>
    <row r="1235" spans="1:28" ht="13.8">
      <c r="A1235" s="261"/>
      <c r="B1235" s="261"/>
      <c r="C1235" s="115"/>
      <c r="D1235" s="1"/>
      <c r="E1235" s="1"/>
      <c r="F1235" s="1"/>
      <c r="G1235" s="1"/>
      <c r="H1235" s="1"/>
      <c r="I1235" s="1"/>
      <c r="J1235" s="1"/>
      <c r="K1235" s="1"/>
      <c r="L1235" s="2"/>
      <c r="M1235" s="2"/>
      <c r="N1235" s="2"/>
      <c r="O1235" s="2"/>
      <c r="P1235" s="2"/>
      <c r="Q1235" s="2"/>
      <c r="R1235" s="2"/>
      <c r="S1235" s="2"/>
      <c r="T1235" s="3"/>
      <c r="U1235" s="1"/>
      <c r="V1235" s="1"/>
      <c r="W1235" s="1"/>
      <c r="X1235" s="1"/>
      <c r="Y1235" s="1"/>
      <c r="Z1235" s="1"/>
      <c r="AA1235" s="1"/>
      <c r="AB1235" s="1"/>
    </row>
    <row r="1236" spans="1:28" ht="13.8">
      <c r="A1236" s="261"/>
      <c r="B1236" s="261"/>
      <c r="C1236" s="115"/>
      <c r="D1236" s="1"/>
      <c r="E1236" s="1"/>
      <c r="F1236" s="1"/>
      <c r="G1236" s="1"/>
      <c r="H1236" s="1"/>
      <c r="I1236" s="1"/>
      <c r="J1236" s="1"/>
      <c r="K1236" s="1"/>
      <c r="L1236" s="2"/>
      <c r="M1236" s="2"/>
      <c r="N1236" s="2"/>
      <c r="O1236" s="2"/>
      <c r="P1236" s="2"/>
      <c r="Q1236" s="2"/>
      <c r="R1236" s="2"/>
      <c r="S1236" s="2"/>
      <c r="T1236" s="3"/>
      <c r="U1236" s="1"/>
      <c r="V1236" s="1"/>
      <c r="W1236" s="1"/>
      <c r="X1236" s="1"/>
      <c r="Y1236" s="1"/>
      <c r="Z1236" s="1"/>
      <c r="AA1236" s="1"/>
      <c r="AB1236" s="1"/>
    </row>
    <row r="1237" spans="1:28" ht="13.8">
      <c r="A1237" s="261"/>
      <c r="B1237" s="261"/>
      <c r="C1237" s="115"/>
      <c r="D1237" s="1"/>
      <c r="E1237" s="1"/>
      <c r="F1237" s="1"/>
      <c r="G1237" s="1"/>
      <c r="H1237" s="1"/>
      <c r="I1237" s="1"/>
      <c r="J1237" s="1"/>
      <c r="K1237" s="1"/>
      <c r="L1237" s="2"/>
      <c r="M1237" s="2"/>
      <c r="N1237" s="2"/>
      <c r="O1237" s="2"/>
      <c r="P1237" s="2"/>
      <c r="Q1237" s="2"/>
      <c r="R1237" s="2"/>
      <c r="S1237" s="2"/>
      <c r="T1237" s="3"/>
      <c r="U1237" s="1"/>
      <c r="V1237" s="1"/>
      <c r="W1237" s="1"/>
      <c r="X1237" s="1"/>
      <c r="Y1237" s="1"/>
      <c r="Z1237" s="1"/>
      <c r="AA1237" s="1"/>
      <c r="AB1237" s="1"/>
    </row>
    <row r="1238" spans="1:28" ht="13.8">
      <c r="A1238" s="261"/>
      <c r="B1238" s="261"/>
      <c r="C1238" s="115"/>
      <c r="D1238" s="1"/>
      <c r="E1238" s="1"/>
      <c r="F1238" s="1"/>
      <c r="G1238" s="1"/>
      <c r="H1238" s="1"/>
      <c r="I1238" s="1"/>
      <c r="J1238" s="1"/>
      <c r="K1238" s="1"/>
      <c r="L1238" s="2"/>
      <c r="M1238" s="2"/>
      <c r="N1238" s="2"/>
      <c r="O1238" s="2"/>
      <c r="P1238" s="2"/>
      <c r="Q1238" s="2"/>
      <c r="R1238" s="2"/>
      <c r="S1238" s="2"/>
      <c r="T1238" s="3"/>
      <c r="U1238" s="1"/>
      <c r="V1238" s="1"/>
      <c r="W1238" s="1"/>
      <c r="X1238" s="1"/>
      <c r="Y1238" s="1"/>
      <c r="Z1238" s="1"/>
      <c r="AA1238" s="1"/>
      <c r="AB1238" s="1"/>
    </row>
    <row r="1239" spans="1:28" ht="13.8">
      <c r="A1239" s="261"/>
      <c r="B1239" s="261"/>
      <c r="C1239" s="115"/>
      <c r="D1239" s="1"/>
      <c r="E1239" s="1"/>
      <c r="F1239" s="1"/>
      <c r="G1239" s="1"/>
      <c r="H1239" s="1"/>
      <c r="I1239" s="1"/>
      <c r="J1239" s="1"/>
      <c r="K1239" s="1"/>
      <c r="L1239" s="2"/>
      <c r="M1239" s="2"/>
      <c r="N1239" s="2"/>
      <c r="O1239" s="2"/>
      <c r="P1239" s="2"/>
      <c r="Q1239" s="2"/>
      <c r="R1239" s="2"/>
      <c r="S1239" s="2"/>
      <c r="T1239" s="3"/>
      <c r="U1239" s="1"/>
      <c r="V1239" s="1"/>
      <c r="W1239" s="1"/>
      <c r="X1239" s="1"/>
      <c r="Y1239" s="1"/>
      <c r="Z1239" s="1"/>
      <c r="AA1239" s="1"/>
      <c r="AB1239" s="1"/>
    </row>
    <row r="1240" spans="1:28" ht="13.8">
      <c r="A1240" s="261"/>
      <c r="B1240" s="261"/>
      <c r="C1240" s="115"/>
      <c r="D1240" s="1"/>
      <c r="E1240" s="1"/>
      <c r="F1240" s="1"/>
      <c r="G1240" s="1"/>
      <c r="H1240" s="1"/>
      <c r="I1240" s="1"/>
      <c r="J1240" s="1"/>
      <c r="K1240" s="1"/>
      <c r="L1240" s="2"/>
      <c r="M1240" s="2"/>
      <c r="N1240" s="2"/>
      <c r="O1240" s="2"/>
      <c r="P1240" s="2"/>
      <c r="Q1240" s="2"/>
      <c r="R1240" s="2"/>
      <c r="S1240" s="2"/>
      <c r="T1240" s="3"/>
      <c r="U1240" s="1"/>
      <c r="V1240" s="1"/>
      <c r="W1240" s="1"/>
      <c r="X1240" s="1"/>
      <c r="Y1240" s="1"/>
      <c r="Z1240" s="1"/>
      <c r="AA1240" s="1"/>
      <c r="AB1240" s="1"/>
    </row>
    <row r="1241" spans="1:28" ht="13.8">
      <c r="A1241" s="261"/>
      <c r="B1241" s="261"/>
      <c r="C1241" s="115"/>
      <c r="D1241" s="1"/>
      <c r="E1241" s="1"/>
      <c r="F1241" s="1"/>
      <c r="G1241" s="1"/>
      <c r="H1241" s="1"/>
      <c r="I1241" s="1"/>
      <c r="J1241" s="1"/>
      <c r="K1241" s="1"/>
      <c r="L1241" s="2"/>
      <c r="M1241" s="2"/>
      <c r="N1241" s="2"/>
      <c r="O1241" s="2"/>
      <c r="P1241" s="2"/>
      <c r="Q1241" s="2"/>
      <c r="R1241" s="2"/>
      <c r="S1241" s="2"/>
      <c r="T1241" s="3"/>
      <c r="U1241" s="1"/>
      <c r="V1241" s="1"/>
      <c r="W1241" s="1"/>
      <c r="X1241" s="1"/>
      <c r="Y1241" s="1"/>
      <c r="Z1241" s="1"/>
      <c r="AA1241" s="1"/>
      <c r="AB1241" s="1"/>
    </row>
    <row r="1242" spans="1:28" ht="13.8">
      <c r="A1242" s="261"/>
      <c r="B1242" s="261"/>
      <c r="C1242" s="115"/>
      <c r="D1242" s="1"/>
      <c r="E1242" s="1"/>
      <c r="F1242" s="1"/>
      <c r="G1242" s="1"/>
      <c r="H1242" s="1"/>
      <c r="I1242" s="1"/>
      <c r="J1242" s="1"/>
      <c r="K1242" s="1"/>
      <c r="L1242" s="2"/>
      <c r="M1242" s="2"/>
      <c r="N1242" s="2"/>
      <c r="O1242" s="2"/>
      <c r="P1242" s="2"/>
      <c r="Q1242" s="2"/>
      <c r="R1242" s="2"/>
      <c r="S1242" s="2"/>
      <c r="T1242" s="3"/>
      <c r="U1242" s="1"/>
      <c r="V1242" s="1"/>
      <c r="W1242" s="1"/>
      <c r="X1242" s="1"/>
      <c r="Y1242" s="1"/>
      <c r="Z1242" s="1"/>
      <c r="AA1242" s="1"/>
      <c r="AB1242" s="1"/>
    </row>
    <row r="1243" spans="1:28" ht="13.8">
      <c r="A1243" s="261"/>
      <c r="B1243" s="261"/>
      <c r="C1243" s="115"/>
      <c r="D1243" s="1"/>
      <c r="E1243" s="1"/>
      <c r="F1243" s="1"/>
      <c r="G1243" s="1"/>
      <c r="H1243" s="1"/>
      <c r="I1243" s="1"/>
      <c r="J1243" s="1"/>
      <c r="K1243" s="1"/>
      <c r="L1243" s="2"/>
      <c r="M1243" s="2"/>
      <c r="N1243" s="2"/>
      <c r="O1243" s="2"/>
      <c r="P1243" s="2"/>
      <c r="Q1243" s="2"/>
      <c r="R1243" s="2"/>
      <c r="S1243" s="2"/>
      <c r="T1243" s="3"/>
      <c r="U1243" s="1"/>
      <c r="V1243" s="1"/>
      <c r="W1243" s="1"/>
      <c r="X1243" s="1"/>
      <c r="Y1243" s="1"/>
      <c r="Z1243" s="1"/>
      <c r="AA1243" s="1"/>
      <c r="AB1243" s="1"/>
    </row>
    <row r="1244" spans="1:28" ht="13.8">
      <c r="A1244" s="261"/>
      <c r="B1244" s="261"/>
      <c r="C1244" s="115"/>
      <c r="D1244" s="1"/>
      <c r="E1244" s="1"/>
      <c r="F1244" s="1"/>
      <c r="G1244" s="1"/>
      <c r="H1244" s="1"/>
      <c r="I1244" s="1"/>
      <c r="J1244" s="1"/>
      <c r="K1244" s="1"/>
      <c r="L1244" s="2"/>
      <c r="M1244" s="2"/>
      <c r="N1244" s="2"/>
      <c r="O1244" s="2"/>
      <c r="P1244" s="2"/>
      <c r="Q1244" s="2"/>
      <c r="R1244" s="2"/>
      <c r="S1244" s="2"/>
      <c r="T1244" s="3"/>
      <c r="U1244" s="1"/>
      <c r="V1244" s="1"/>
      <c r="W1244" s="1"/>
      <c r="X1244" s="1"/>
      <c r="Y1244" s="1"/>
      <c r="Z1244" s="1"/>
      <c r="AA1244" s="1"/>
      <c r="AB1244" s="1"/>
    </row>
    <row r="1245" spans="1:28" ht="13.8">
      <c r="A1245" s="261"/>
      <c r="B1245" s="261"/>
      <c r="C1245" s="115"/>
      <c r="D1245" s="1"/>
      <c r="E1245" s="1"/>
      <c r="F1245" s="1"/>
      <c r="G1245" s="1"/>
      <c r="H1245" s="1"/>
      <c r="I1245" s="1"/>
      <c r="J1245" s="1"/>
      <c r="K1245" s="1"/>
      <c r="L1245" s="2"/>
      <c r="M1245" s="2"/>
      <c r="N1245" s="2"/>
      <c r="O1245" s="2"/>
      <c r="P1245" s="2"/>
      <c r="Q1245" s="2"/>
      <c r="R1245" s="2"/>
      <c r="S1245" s="2"/>
      <c r="T1245" s="3"/>
      <c r="U1245" s="1"/>
      <c r="V1245" s="1"/>
      <c r="W1245" s="1"/>
      <c r="X1245" s="1"/>
      <c r="Y1245" s="1"/>
      <c r="Z1245" s="1"/>
      <c r="AA1245" s="1"/>
      <c r="AB1245" s="1"/>
    </row>
    <row r="1246" spans="1:28" ht="13.8">
      <c r="A1246" s="261"/>
      <c r="B1246" s="261"/>
      <c r="C1246" s="115"/>
      <c r="D1246" s="1"/>
      <c r="E1246" s="1"/>
      <c r="F1246" s="1"/>
      <c r="G1246" s="1"/>
      <c r="H1246" s="1"/>
      <c r="I1246" s="1"/>
      <c r="J1246" s="1"/>
      <c r="K1246" s="1"/>
      <c r="L1246" s="2"/>
      <c r="M1246" s="2"/>
      <c r="N1246" s="2"/>
      <c r="O1246" s="2"/>
      <c r="P1246" s="2"/>
      <c r="Q1246" s="2"/>
      <c r="R1246" s="2"/>
      <c r="S1246" s="2"/>
      <c r="T1246" s="3"/>
      <c r="U1246" s="1"/>
      <c r="V1246" s="1"/>
      <c r="W1246" s="1"/>
      <c r="X1246" s="1"/>
      <c r="Y1246" s="1"/>
      <c r="Z1246" s="1"/>
      <c r="AA1246" s="1"/>
      <c r="AB1246" s="1"/>
    </row>
    <row r="1247" spans="1:28" ht="13.8">
      <c r="A1247" s="261"/>
      <c r="B1247" s="261"/>
      <c r="C1247" s="115"/>
      <c r="D1247" s="1"/>
      <c r="E1247" s="1"/>
      <c r="F1247" s="1"/>
      <c r="G1247" s="1"/>
      <c r="H1247" s="1"/>
      <c r="I1247" s="1"/>
      <c r="J1247" s="1"/>
      <c r="K1247" s="1"/>
      <c r="L1247" s="2"/>
      <c r="M1247" s="2"/>
      <c r="N1247" s="2"/>
      <c r="O1247" s="2"/>
      <c r="P1247" s="2"/>
      <c r="Q1247" s="2"/>
      <c r="R1247" s="2"/>
      <c r="S1247" s="2"/>
      <c r="T1247" s="3"/>
      <c r="U1247" s="1"/>
      <c r="V1247" s="1"/>
      <c r="W1247" s="1"/>
      <c r="X1247" s="1"/>
      <c r="Y1247" s="1"/>
      <c r="Z1247" s="1"/>
      <c r="AA1247" s="1"/>
      <c r="AB1247" s="1"/>
    </row>
    <row r="1248" spans="1:28" ht="13.8">
      <c r="A1248" s="261"/>
      <c r="B1248" s="261"/>
      <c r="C1248" s="115"/>
      <c r="D1248" s="1"/>
      <c r="E1248" s="1"/>
      <c r="F1248" s="1"/>
      <c r="G1248" s="1"/>
      <c r="H1248" s="1"/>
      <c r="I1248" s="1"/>
      <c r="J1248" s="1"/>
      <c r="K1248" s="1"/>
      <c r="L1248" s="2"/>
      <c r="M1248" s="2"/>
      <c r="N1248" s="2"/>
      <c r="O1248" s="2"/>
      <c r="P1248" s="2"/>
      <c r="Q1248" s="2"/>
      <c r="R1248" s="2"/>
      <c r="S1248" s="2"/>
      <c r="T1248" s="3"/>
      <c r="U1248" s="1"/>
      <c r="V1248" s="1"/>
      <c r="W1248" s="1"/>
      <c r="X1248" s="1"/>
      <c r="Y1248" s="1"/>
      <c r="Z1248" s="1"/>
      <c r="AA1248" s="1"/>
      <c r="AB1248" s="1"/>
    </row>
    <row r="1249" spans="1:28" ht="13.8">
      <c r="A1249" s="261"/>
      <c r="B1249" s="261"/>
      <c r="C1249" s="115"/>
      <c r="D1249" s="1"/>
      <c r="E1249" s="1"/>
      <c r="F1249" s="1"/>
      <c r="G1249" s="1"/>
      <c r="H1249" s="1"/>
      <c r="I1249" s="1"/>
      <c r="J1249" s="1"/>
      <c r="K1249" s="1"/>
      <c r="L1249" s="2"/>
      <c r="M1249" s="2"/>
      <c r="N1249" s="2"/>
      <c r="O1249" s="2"/>
      <c r="P1249" s="2"/>
      <c r="Q1249" s="2"/>
      <c r="R1249" s="2"/>
      <c r="S1249" s="2"/>
      <c r="T1249" s="3"/>
      <c r="U1249" s="1"/>
      <c r="V1249" s="1"/>
      <c r="W1249" s="1"/>
      <c r="X1249" s="1"/>
      <c r="Y1249" s="1"/>
      <c r="Z1249" s="1"/>
      <c r="AA1249" s="1"/>
      <c r="AB1249" s="1"/>
    </row>
    <row r="1250" spans="1:28" ht="13.8">
      <c r="A1250" s="261"/>
      <c r="B1250" s="261"/>
      <c r="C1250" s="115"/>
      <c r="D1250" s="1"/>
      <c r="E1250" s="1"/>
      <c r="F1250" s="1"/>
      <c r="G1250" s="1"/>
      <c r="H1250" s="1"/>
      <c r="I1250" s="1"/>
      <c r="J1250" s="1"/>
      <c r="K1250" s="1"/>
      <c r="L1250" s="2"/>
      <c r="M1250" s="2"/>
      <c r="N1250" s="2"/>
      <c r="O1250" s="2"/>
      <c r="P1250" s="2"/>
      <c r="Q1250" s="2"/>
      <c r="R1250" s="2"/>
      <c r="S1250" s="2"/>
      <c r="T1250" s="3"/>
      <c r="U1250" s="1"/>
      <c r="V1250" s="1"/>
      <c r="W1250" s="1"/>
      <c r="X1250" s="1"/>
      <c r="Y1250" s="1"/>
      <c r="Z1250" s="1"/>
      <c r="AA1250" s="1"/>
      <c r="AB1250" s="1"/>
    </row>
    <row r="1251" spans="1:28" ht="13.8">
      <c r="A1251" s="261"/>
      <c r="B1251" s="261"/>
      <c r="C1251" s="115"/>
      <c r="D1251" s="1"/>
      <c r="E1251" s="1"/>
      <c r="F1251" s="1"/>
      <c r="G1251" s="1"/>
      <c r="H1251" s="1"/>
      <c r="I1251" s="1"/>
      <c r="J1251" s="1"/>
      <c r="K1251" s="1"/>
      <c r="L1251" s="2"/>
      <c r="M1251" s="2"/>
      <c r="N1251" s="2"/>
      <c r="O1251" s="2"/>
      <c r="P1251" s="2"/>
      <c r="Q1251" s="2"/>
      <c r="R1251" s="2"/>
      <c r="S1251" s="2"/>
      <c r="T1251" s="3"/>
      <c r="U1251" s="1"/>
      <c r="V1251" s="1"/>
      <c r="W1251" s="1"/>
      <c r="X1251" s="1"/>
      <c r="Y1251" s="1"/>
      <c r="Z1251" s="1"/>
      <c r="AA1251" s="1"/>
      <c r="AB1251" s="1"/>
    </row>
    <row r="1252" spans="1:28" ht="13.8">
      <c r="A1252" s="261"/>
      <c r="B1252" s="261"/>
      <c r="C1252" s="115"/>
      <c r="D1252" s="1"/>
      <c r="E1252" s="1"/>
      <c r="F1252" s="1"/>
      <c r="G1252" s="1"/>
      <c r="H1252" s="1"/>
      <c r="I1252" s="1"/>
      <c r="J1252" s="1"/>
      <c r="K1252" s="1"/>
      <c r="L1252" s="2"/>
      <c r="M1252" s="2"/>
      <c r="N1252" s="2"/>
      <c r="O1252" s="2"/>
      <c r="P1252" s="2"/>
      <c r="Q1252" s="2"/>
      <c r="R1252" s="2"/>
      <c r="S1252" s="2"/>
      <c r="T1252" s="3"/>
      <c r="U1252" s="1"/>
      <c r="V1252" s="1"/>
      <c r="W1252" s="1"/>
      <c r="X1252" s="1"/>
      <c r="Y1252" s="1"/>
      <c r="Z1252" s="1"/>
      <c r="AA1252" s="1"/>
      <c r="AB1252" s="1"/>
    </row>
    <row r="1253" spans="1:28" ht="13.8">
      <c r="A1253" s="261"/>
      <c r="B1253" s="261"/>
      <c r="C1253" s="115"/>
      <c r="D1253" s="1"/>
      <c r="E1253" s="1"/>
      <c r="F1253" s="1"/>
      <c r="G1253" s="1"/>
      <c r="H1253" s="1"/>
      <c r="I1253" s="1"/>
      <c r="J1253" s="1"/>
      <c r="K1253" s="1"/>
      <c r="L1253" s="2"/>
      <c r="M1253" s="2"/>
      <c r="N1253" s="2"/>
      <c r="O1253" s="2"/>
      <c r="P1253" s="2"/>
      <c r="Q1253" s="2"/>
      <c r="R1253" s="2"/>
      <c r="S1253" s="2"/>
      <c r="T1253" s="3"/>
      <c r="U1253" s="1"/>
      <c r="V1253" s="1"/>
      <c r="W1253" s="1"/>
      <c r="X1253" s="1"/>
      <c r="Y1253" s="1"/>
      <c r="Z1253" s="1"/>
      <c r="AA1253" s="1"/>
      <c r="AB1253" s="1"/>
    </row>
    <row r="1254" spans="1:28" ht="13.8">
      <c r="A1254" s="261"/>
      <c r="B1254" s="261"/>
      <c r="C1254" s="115"/>
      <c r="D1254" s="1"/>
      <c r="E1254" s="1"/>
      <c r="F1254" s="1"/>
      <c r="G1254" s="1"/>
      <c r="H1254" s="1"/>
      <c r="I1254" s="1"/>
      <c r="J1254" s="1"/>
      <c r="K1254" s="1"/>
      <c r="L1254" s="2"/>
      <c r="M1254" s="2"/>
      <c r="N1254" s="2"/>
      <c r="O1254" s="2"/>
      <c r="P1254" s="2"/>
      <c r="Q1254" s="2"/>
      <c r="R1254" s="2"/>
      <c r="S1254" s="2"/>
      <c r="T1254" s="3"/>
      <c r="U1254" s="1"/>
      <c r="V1254" s="1"/>
      <c r="W1254" s="1"/>
      <c r="X1254" s="1"/>
      <c r="Y1254" s="1"/>
      <c r="Z1254" s="1"/>
      <c r="AA1254" s="1"/>
      <c r="AB1254" s="1"/>
    </row>
    <row r="1255" spans="1:28" ht="13.8">
      <c r="A1255" s="261"/>
      <c r="B1255" s="261"/>
      <c r="C1255" s="115"/>
      <c r="D1255" s="1"/>
      <c r="E1255" s="1"/>
      <c r="F1255" s="1"/>
      <c r="G1255" s="1"/>
      <c r="H1255" s="1"/>
      <c r="I1255" s="1"/>
      <c r="J1255" s="1"/>
      <c r="K1255" s="1"/>
      <c r="L1255" s="2"/>
      <c r="M1255" s="2"/>
      <c r="N1255" s="2"/>
      <c r="O1255" s="2"/>
      <c r="P1255" s="2"/>
      <c r="Q1255" s="2"/>
      <c r="R1255" s="2"/>
      <c r="S1255" s="2"/>
      <c r="T1255" s="3"/>
      <c r="U1255" s="1"/>
      <c r="V1255" s="1"/>
      <c r="W1255" s="1"/>
      <c r="X1255" s="1"/>
      <c r="Y1255" s="1"/>
      <c r="Z1255" s="1"/>
      <c r="AA1255" s="1"/>
      <c r="AB1255" s="1"/>
    </row>
    <row r="1256" spans="1:28" ht="13.8">
      <c r="A1256" s="261"/>
      <c r="B1256" s="261"/>
      <c r="C1256" s="115"/>
      <c r="D1256" s="1"/>
      <c r="E1256" s="1"/>
      <c r="F1256" s="1"/>
      <c r="G1256" s="1"/>
      <c r="H1256" s="1"/>
      <c r="I1256" s="1"/>
      <c r="J1256" s="1"/>
      <c r="K1256" s="1"/>
      <c r="L1256" s="2"/>
      <c r="M1256" s="2"/>
      <c r="N1256" s="2"/>
      <c r="O1256" s="2"/>
      <c r="P1256" s="2"/>
      <c r="Q1256" s="2"/>
      <c r="R1256" s="2"/>
      <c r="S1256" s="2"/>
      <c r="T1256" s="3"/>
      <c r="U1256" s="1"/>
      <c r="V1256" s="1"/>
      <c r="W1256" s="1"/>
      <c r="X1256" s="1"/>
      <c r="Y1256" s="1"/>
      <c r="Z1256" s="1"/>
      <c r="AA1256" s="1"/>
      <c r="AB1256" s="1"/>
    </row>
    <row r="1257" spans="1:28" ht="13.8">
      <c r="A1257" s="261"/>
      <c r="B1257" s="261"/>
      <c r="C1257" s="115"/>
      <c r="D1257" s="1"/>
      <c r="E1257" s="1"/>
      <c r="F1257" s="1"/>
      <c r="G1257" s="1"/>
      <c r="H1257" s="1"/>
      <c r="I1257" s="1"/>
      <c r="J1257" s="1"/>
      <c r="K1257" s="1"/>
      <c r="L1257" s="2"/>
      <c r="M1257" s="2"/>
      <c r="N1257" s="2"/>
      <c r="O1257" s="2"/>
      <c r="P1257" s="2"/>
      <c r="Q1257" s="2"/>
      <c r="R1257" s="2"/>
      <c r="S1257" s="2"/>
      <c r="T1257" s="3"/>
      <c r="U1257" s="1"/>
      <c r="V1257" s="1"/>
      <c r="W1257" s="1"/>
      <c r="X1257" s="1"/>
      <c r="Y1257" s="1"/>
      <c r="Z1257" s="1"/>
      <c r="AA1257" s="1"/>
      <c r="AB1257" s="1"/>
    </row>
    <row r="1258" spans="1:28" ht="13.8">
      <c r="A1258" s="261"/>
      <c r="B1258" s="261"/>
      <c r="C1258" s="115"/>
      <c r="D1258" s="1"/>
      <c r="E1258" s="1"/>
      <c r="F1258" s="1"/>
      <c r="G1258" s="1"/>
      <c r="H1258" s="1"/>
      <c r="I1258" s="1"/>
      <c r="J1258" s="1"/>
      <c r="K1258" s="1"/>
      <c r="L1258" s="2"/>
      <c r="M1258" s="2"/>
      <c r="N1258" s="2"/>
      <c r="O1258" s="2"/>
      <c r="P1258" s="2"/>
      <c r="Q1258" s="2"/>
      <c r="R1258" s="2"/>
      <c r="S1258" s="2"/>
      <c r="T1258" s="3"/>
      <c r="U1258" s="1"/>
      <c r="V1258" s="1"/>
      <c r="W1258" s="1"/>
      <c r="X1258" s="1"/>
      <c r="Y1258" s="1"/>
      <c r="Z1258" s="1"/>
      <c r="AA1258" s="1"/>
      <c r="AB1258" s="1"/>
    </row>
    <row r="1259" spans="1:28" ht="13.8">
      <c r="A1259" s="261"/>
      <c r="B1259" s="261"/>
      <c r="C1259" s="115"/>
      <c r="D1259" s="1"/>
      <c r="E1259" s="1"/>
      <c r="F1259" s="1"/>
      <c r="G1259" s="1"/>
      <c r="H1259" s="1"/>
      <c r="I1259" s="1"/>
      <c r="J1259" s="1"/>
      <c r="K1259" s="1"/>
      <c r="L1259" s="2"/>
      <c r="M1259" s="2"/>
      <c r="N1259" s="2"/>
      <c r="O1259" s="2"/>
      <c r="P1259" s="2"/>
      <c r="Q1259" s="2"/>
      <c r="R1259" s="2"/>
      <c r="S1259" s="2"/>
      <c r="T1259" s="3"/>
      <c r="U1259" s="1"/>
      <c r="V1259" s="1"/>
      <c r="W1259" s="1"/>
      <c r="X1259" s="1"/>
      <c r="Y1259" s="1"/>
      <c r="Z1259" s="1"/>
      <c r="AA1259" s="1"/>
      <c r="AB1259" s="1"/>
    </row>
    <row r="1260" spans="1:28" ht="13.8">
      <c r="A1260" s="261"/>
      <c r="B1260" s="261"/>
      <c r="C1260" s="115"/>
      <c r="D1260" s="1"/>
      <c r="E1260" s="1"/>
      <c r="F1260" s="1"/>
      <c r="G1260" s="1"/>
      <c r="H1260" s="1"/>
      <c r="I1260" s="1"/>
      <c r="J1260" s="1"/>
      <c r="K1260" s="1"/>
      <c r="L1260" s="2"/>
      <c r="M1260" s="2"/>
      <c r="N1260" s="2"/>
      <c r="O1260" s="2"/>
      <c r="P1260" s="2"/>
      <c r="Q1260" s="2"/>
      <c r="R1260" s="2"/>
      <c r="S1260" s="2"/>
      <c r="T1260" s="3"/>
      <c r="U1260" s="1"/>
      <c r="V1260" s="1"/>
      <c r="W1260" s="1"/>
      <c r="X1260" s="1"/>
      <c r="Y1260" s="1"/>
      <c r="Z1260" s="1"/>
      <c r="AA1260" s="1"/>
      <c r="AB1260" s="1"/>
    </row>
    <row r="1261" spans="1:28" ht="13.8">
      <c r="A1261" s="261"/>
      <c r="B1261" s="261"/>
      <c r="C1261" s="115"/>
      <c r="D1261" s="1"/>
      <c r="E1261" s="1"/>
      <c r="F1261" s="1"/>
      <c r="G1261" s="1"/>
      <c r="H1261" s="1"/>
      <c r="I1261" s="1"/>
      <c r="J1261" s="1"/>
      <c r="K1261" s="1"/>
      <c r="L1261" s="2"/>
      <c r="M1261" s="2"/>
      <c r="N1261" s="2"/>
      <c r="O1261" s="2"/>
      <c r="P1261" s="2"/>
      <c r="Q1261" s="2"/>
      <c r="R1261" s="2"/>
      <c r="S1261" s="2"/>
      <c r="T1261" s="3"/>
      <c r="U1261" s="1"/>
      <c r="V1261" s="1"/>
      <c r="W1261" s="1"/>
      <c r="X1261" s="1"/>
      <c r="Y1261" s="1"/>
      <c r="Z1261" s="1"/>
      <c r="AA1261" s="1"/>
      <c r="AB1261" s="1"/>
    </row>
    <row r="1262" spans="1:28" ht="13.8">
      <c r="A1262" s="261"/>
      <c r="B1262" s="261"/>
      <c r="C1262" s="115"/>
      <c r="D1262" s="1"/>
      <c r="E1262" s="1"/>
      <c r="F1262" s="1"/>
      <c r="G1262" s="1"/>
      <c r="H1262" s="1"/>
      <c r="I1262" s="1"/>
      <c r="J1262" s="1"/>
      <c r="K1262" s="1"/>
      <c r="L1262" s="2"/>
      <c r="M1262" s="2"/>
      <c r="N1262" s="2"/>
      <c r="O1262" s="2"/>
      <c r="P1262" s="2"/>
      <c r="Q1262" s="2"/>
      <c r="R1262" s="2"/>
      <c r="S1262" s="2"/>
      <c r="T1262" s="3"/>
      <c r="U1262" s="1"/>
      <c r="V1262" s="1"/>
      <c r="W1262" s="1"/>
      <c r="X1262" s="1"/>
      <c r="Y1262" s="1"/>
      <c r="Z1262" s="1"/>
      <c r="AA1262" s="1"/>
      <c r="AB1262" s="1"/>
    </row>
    <row r="1263" spans="1:28" ht="13.8">
      <c r="A1263" s="261"/>
      <c r="B1263" s="261"/>
      <c r="C1263" s="115"/>
      <c r="D1263" s="1"/>
      <c r="E1263" s="1"/>
      <c r="F1263" s="1"/>
      <c r="G1263" s="1"/>
      <c r="H1263" s="1"/>
      <c r="I1263" s="1"/>
      <c r="J1263" s="1"/>
      <c r="K1263" s="1"/>
      <c r="L1263" s="2"/>
      <c r="M1263" s="2"/>
      <c r="N1263" s="2"/>
      <c r="O1263" s="2"/>
      <c r="P1263" s="2"/>
      <c r="Q1263" s="2"/>
      <c r="R1263" s="2"/>
      <c r="S1263" s="2"/>
      <c r="T1263" s="3"/>
      <c r="U1263" s="1"/>
      <c r="V1263" s="1"/>
      <c r="W1263" s="1"/>
      <c r="X1263" s="1"/>
      <c r="Y1263" s="1"/>
      <c r="Z1263" s="1"/>
      <c r="AA1263" s="1"/>
      <c r="AB1263" s="1"/>
    </row>
    <row r="1264" spans="1:28" ht="13.8">
      <c r="A1264" s="261"/>
      <c r="B1264" s="261"/>
      <c r="C1264" s="115"/>
      <c r="D1264" s="1"/>
      <c r="E1264" s="1"/>
      <c r="F1264" s="1"/>
      <c r="G1264" s="1"/>
      <c r="H1264" s="1"/>
      <c r="I1264" s="1"/>
      <c r="J1264" s="1"/>
      <c r="K1264" s="1"/>
      <c r="L1264" s="2"/>
      <c r="M1264" s="2"/>
      <c r="N1264" s="2"/>
      <c r="O1264" s="2"/>
      <c r="P1264" s="2"/>
      <c r="Q1264" s="2"/>
      <c r="R1264" s="2"/>
      <c r="S1264" s="2"/>
      <c r="T1264" s="3"/>
      <c r="U1264" s="1"/>
      <c r="V1264" s="1"/>
      <c r="W1264" s="1"/>
      <c r="X1264" s="1"/>
      <c r="Y1264" s="1"/>
      <c r="Z1264" s="1"/>
      <c r="AA1264" s="1"/>
      <c r="AB1264" s="1"/>
    </row>
    <row r="1265" spans="1:28" ht="13.8">
      <c r="A1265" s="261"/>
      <c r="B1265" s="261"/>
      <c r="C1265" s="115"/>
      <c r="D1265" s="1"/>
      <c r="E1265" s="1"/>
      <c r="F1265" s="1"/>
      <c r="G1265" s="1"/>
      <c r="H1265" s="1"/>
      <c r="I1265" s="1"/>
      <c r="J1265" s="1"/>
      <c r="K1265" s="1"/>
      <c r="L1265" s="2"/>
      <c r="M1265" s="2"/>
      <c r="N1265" s="2"/>
      <c r="O1265" s="2"/>
      <c r="P1265" s="2"/>
      <c r="Q1265" s="2"/>
      <c r="R1265" s="2"/>
      <c r="S1265" s="2"/>
      <c r="T1265" s="3"/>
      <c r="U1265" s="1"/>
      <c r="V1265" s="1"/>
      <c r="W1265" s="1"/>
      <c r="X1265" s="1"/>
      <c r="Y1265" s="1"/>
      <c r="Z1265" s="1"/>
      <c r="AA1265" s="1"/>
      <c r="AB1265" s="1"/>
    </row>
    <row r="1266" spans="1:28" ht="13.8">
      <c r="A1266" s="261"/>
      <c r="B1266" s="261"/>
      <c r="C1266" s="115"/>
      <c r="D1266" s="1"/>
      <c r="E1266" s="1"/>
      <c r="F1266" s="1"/>
      <c r="G1266" s="1"/>
      <c r="H1266" s="1"/>
      <c r="I1266" s="1"/>
      <c r="J1266" s="1"/>
      <c r="K1266" s="1"/>
      <c r="L1266" s="2"/>
      <c r="M1266" s="2"/>
      <c r="N1266" s="2"/>
      <c r="O1266" s="2"/>
      <c r="P1266" s="2"/>
      <c r="Q1266" s="2"/>
      <c r="R1266" s="2"/>
      <c r="S1266" s="2"/>
      <c r="T1266" s="3"/>
      <c r="U1266" s="1"/>
      <c r="V1266" s="1"/>
      <c r="W1266" s="1"/>
      <c r="X1266" s="1"/>
      <c r="Y1266" s="1"/>
      <c r="Z1266" s="1"/>
      <c r="AA1266" s="1"/>
      <c r="AB1266" s="1"/>
    </row>
    <row r="1267" spans="1:28" ht="13.8">
      <c r="A1267" s="261"/>
      <c r="B1267" s="261"/>
      <c r="C1267" s="115"/>
      <c r="D1267" s="1"/>
      <c r="E1267" s="1"/>
      <c r="F1267" s="1"/>
      <c r="G1267" s="1"/>
      <c r="H1267" s="1"/>
      <c r="I1267" s="1"/>
      <c r="J1267" s="1"/>
      <c r="K1267" s="1"/>
      <c r="L1267" s="2"/>
      <c r="M1267" s="2"/>
      <c r="N1267" s="2"/>
      <c r="O1267" s="2"/>
      <c r="P1267" s="2"/>
      <c r="Q1267" s="2"/>
      <c r="R1267" s="2"/>
      <c r="S1267" s="2"/>
      <c r="T1267" s="3"/>
      <c r="U1267" s="1"/>
      <c r="V1267" s="1"/>
      <c r="W1267" s="1"/>
      <c r="X1267" s="1"/>
      <c r="Y1267" s="1"/>
      <c r="Z1267" s="1"/>
      <c r="AA1267" s="1"/>
      <c r="AB1267" s="1"/>
    </row>
    <row r="1268" spans="1:28" ht="13.8">
      <c r="A1268" s="261"/>
      <c r="B1268" s="261"/>
      <c r="C1268" s="115"/>
      <c r="D1268" s="1"/>
      <c r="E1268" s="1"/>
      <c r="F1268" s="1"/>
      <c r="G1268" s="1"/>
      <c r="H1268" s="1"/>
      <c r="I1268" s="1"/>
      <c r="J1268" s="1"/>
      <c r="K1268" s="1"/>
      <c r="L1268" s="2"/>
      <c r="M1268" s="2"/>
      <c r="N1268" s="2"/>
      <c r="O1268" s="2"/>
      <c r="P1268" s="2"/>
      <c r="Q1268" s="2"/>
      <c r="R1268" s="2"/>
      <c r="S1268" s="2"/>
      <c r="T1268" s="3"/>
      <c r="U1268" s="1"/>
      <c r="V1268" s="1"/>
      <c r="W1268" s="1"/>
      <c r="X1268" s="1"/>
      <c r="Y1268" s="1"/>
      <c r="Z1268" s="1"/>
      <c r="AA1268" s="1"/>
      <c r="AB1268" s="1"/>
    </row>
    <row r="1269" spans="1:28" ht="13.8">
      <c r="A1269" s="261"/>
      <c r="B1269" s="261"/>
      <c r="C1269" s="115"/>
      <c r="D1269" s="1"/>
      <c r="E1269" s="1"/>
      <c r="F1269" s="1"/>
      <c r="G1269" s="1"/>
      <c r="H1269" s="1"/>
      <c r="I1269" s="1"/>
      <c r="J1269" s="1"/>
      <c r="K1269" s="1"/>
      <c r="L1269" s="2"/>
      <c r="M1269" s="2"/>
      <c r="N1269" s="2"/>
      <c r="O1269" s="2"/>
      <c r="P1269" s="2"/>
      <c r="Q1269" s="2"/>
      <c r="R1269" s="2"/>
      <c r="S1269" s="2"/>
      <c r="T1269" s="3"/>
      <c r="U1269" s="1"/>
      <c r="V1269" s="1"/>
      <c r="W1269" s="1"/>
      <c r="X1269" s="1"/>
      <c r="Y1269" s="1"/>
      <c r="Z1269" s="1"/>
      <c r="AA1269" s="1"/>
      <c r="AB1269" s="1"/>
    </row>
    <row r="1270" spans="1:28" ht="13.8">
      <c r="A1270" s="261"/>
      <c r="B1270" s="261"/>
      <c r="C1270" s="115"/>
      <c r="D1270" s="1"/>
      <c r="E1270" s="1"/>
      <c r="F1270" s="1"/>
      <c r="G1270" s="1"/>
      <c r="H1270" s="1"/>
      <c r="I1270" s="1"/>
      <c r="J1270" s="1"/>
      <c r="K1270" s="1"/>
      <c r="L1270" s="2"/>
      <c r="M1270" s="2"/>
      <c r="N1270" s="2"/>
      <c r="O1270" s="2"/>
      <c r="P1270" s="2"/>
      <c r="Q1270" s="2"/>
      <c r="R1270" s="2"/>
      <c r="S1270" s="2"/>
      <c r="T1270" s="3"/>
      <c r="U1270" s="1"/>
      <c r="V1270" s="1"/>
      <c r="W1270" s="1"/>
      <c r="X1270" s="1"/>
      <c r="Y1270" s="1"/>
      <c r="Z1270" s="1"/>
      <c r="AA1270" s="1"/>
      <c r="AB1270" s="1"/>
    </row>
    <row r="1271" spans="1:28" ht="13.8">
      <c r="A1271" s="261"/>
      <c r="B1271" s="261"/>
      <c r="C1271" s="115"/>
      <c r="D1271" s="1"/>
      <c r="E1271" s="1"/>
      <c r="F1271" s="1"/>
      <c r="G1271" s="1"/>
      <c r="H1271" s="1"/>
      <c r="I1271" s="1"/>
      <c r="J1271" s="1"/>
      <c r="K1271" s="1"/>
      <c r="L1271" s="2"/>
      <c r="M1271" s="2"/>
      <c r="N1271" s="2"/>
      <c r="O1271" s="2"/>
      <c r="P1271" s="2"/>
      <c r="Q1271" s="2"/>
      <c r="R1271" s="2"/>
      <c r="S1271" s="2"/>
      <c r="T1271" s="3"/>
      <c r="U1271" s="1"/>
      <c r="V1271" s="1"/>
      <c r="W1271" s="1"/>
      <c r="X1271" s="1"/>
      <c r="Y1271" s="1"/>
      <c r="Z1271" s="1"/>
      <c r="AA1271" s="1"/>
      <c r="AB1271" s="1"/>
    </row>
    <row r="1272" spans="1:28" ht="13.8">
      <c r="A1272" s="261"/>
      <c r="B1272" s="261"/>
      <c r="C1272" s="115"/>
      <c r="D1272" s="1"/>
      <c r="E1272" s="1"/>
      <c r="F1272" s="1"/>
      <c r="G1272" s="1"/>
      <c r="H1272" s="1"/>
      <c r="I1272" s="1"/>
      <c r="J1272" s="1"/>
      <c r="K1272" s="1"/>
      <c r="L1272" s="2"/>
      <c r="M1272" s="2"/>
      <c r="N1272" s="2"/>
      <c r="O1272" s="2"/>
      <c r="P1272" s="2"/>
      <c r="Q1272" s="2"/>
      <c r="R1272" s="2"/>
      <c r="S1272" s="2"/>
      <c r="T1272" s="3"/>
      <c r="U1272" s="1"/>
      <c r="V1272" s="1"/>
      <c r="W1272" s="1"/>
      <c r="X1272" s="1"/>
      <c r="Y1272" s="1"/>
      <c r="Z1272" s="1"/>
      <c r="AA1272" s="1"/>
      <c r="AB1272" s="1"/>
    </row>
    <row r="1273" spans="1:28" ht="13.8">
      <c r="A1273" s="261"/>
      <c r="B1273" s="261"/>
      <c r="C1273" s="115"/>
      <c r="D1273" s="1"/>
      <c r="E1273" s="1"/>
      <c r="F1273" s="1"/>
      <c r="G1273" s="1"/>
      <c r="H1273" s="1"/>
      <c r="I1273" s="1"/>
      <c r="J1273" s="1"/>
      <c r="K1273" s="1"/>
      <c r="L1273" s="2"/>
      <c r="M1273" s="2"/>
      <c r="N1273" s="2"/>
      <c r="O1273" s="2"/>
      <c r="P1273" s="2"/>
      <c r="Q1273" s="2"/>
      <c r="R1273" s="2"/>
      <c r="S1273" s="2"/>
      <c r="T1273" s="3"/>
      <c r="U1273" s="1"/>
      <c r="V1273" s="1"/>
      <c r="W1273" s="1"/>
      <c r="X1273" s="1"/>
      <c r="Y1273" s="1"/>
      <c r="Z1273" s="1"/>
      <c r="AA1273" s="1"/>
      <c r="AB1273" s="1"/>
    </row>
    <row r="1274" spans="1:28" ht="13.8">
      <c r="A1274" s="261"/>
      <c r="B1274" s="261"/>
      <c r="C1274" s="115"/>
      <c r="D1274" s="1"/>
      <c r="E1274" s="1"/>
      <c r="F1274" s="1"/>
      <c r="G1274" s="1"/>
      <c r="H1274" s="1"/>
      <c r="I1274" s="1"/>
      <c r="J1274" s="1"/>
      <c r="K1274" s="1"/>
      <c r="L1274" s="2"/>
      <c r="M1274" s="2"/>
      <c r="N1274" s="2"/>
      <c r="O1274" s="2"/>
      <c r="P1274" s="2"/>
      <c r="Q1274" s="2"/>
      <c r="R1274" s="2"/>
      <c r="S1274" s="2"/>
      <c r="T1274" s="3"/>
      <c r="U1274" s="1"/>
      <c r="V1274" s="1"/>
      <c r="W1274" s="1"/>
      <c r="X1274" s="1"/>
      <c r="Y1274" s="1"/>
      <c r="Z1274" s="1"/>
      <c r="AA1274" s="1"/>
      <c r="AB1274" s="1"/>
    </row>
    <row r="1275" spans="1:28" ht="13.8">
      <c r="A1275" s="261"/>
      <c r="B1275" s="261"/>
      <c r="C1275" s="115"/>
      <c r="D1275" s="1"/>
      <c r="E1275" s="1"/>
      <c r="F1275" s="1"/>
      <c r="G1275" s="1"/>
      <c r="H1275" s="1"/>
      <c r="I1275" s="1"/>
      <c r="J1275" s="1"/>
      <c r="K1275" s="1"/>
      <c r="L1275" s="2"/>
      <c r="M1275" s="2"/>
      <c r="N1275" s="2"/>
      <c r="O1275" s="2"/>
      <c r="P1275" s="2"/>
      <c r="Q1275" s="2"/>
      <c r="R1275" s="2"/>
      <c r="S1275" s="2"/>
      <c r="T1275" s="3"/>
      <c r="U1275" s="1"/>
      <c r="V1275" s="1"/>
      <c r="W1275" s="1"/>
      <c r="X1275" s="1"/>
      <c r="Y1275" s="1"/>
      <c r="Z1275" s="1"/>
      <c r="AA1275" s="1"/>
      <c r="AB1275" s="1"/>
    </row>
    <row r="1276" spans="1:28" ht="13.8">
      <c r="A1276" s="261"/>
      <c r="B1276" s="261"/>
      <c r="C1276" s="115"/>
      <c r="D1276" s="1"/>
      <c r="E1276" s="1"/>
      <c r="F1276" s="1"/>
      <c r="G1276" s="1"/>
      <c r="H1276" s="1"/>
      <c r="I1276" s="1"/>
      <c r="J1276" s="1"/>
      <c r="K1276" s="1"/>
      <c r="L1276" s="2"/>
      <c r="M1276" s="2"/>
      <c r="N1276" s="2"/>
      <c r="O1276" s="2"/>
      <c r="P1276" s="2"/>
      <c r="Q1276" s="2"/>
      <c r="R1276" s="2"/>
      <c r="S1276" s="2"/>
      <c r="T1276" s="3"/>
      <c r="U1276" s="1"/>
      <c r="V1276" s="1"/>
      <c r="W1276" s="1"/>
      <c r="X1276" s="1"/>
      <c r="Y1276" s="1"/>
      <c r="Z1276" s="1"/>
      <c r="AA1276" s="1"/>
      <c r="AB1276" s="1"/>
    </row>
    <row r="1277" spans="1:28" ht="13.8">
      <c r="A1277" s="261"/>
      <c r="B1277" s="261"/>
      <c r="C1277" s="115"/>
      <c r="D1277" s="1"/>
      <c r="E1277" s="1"/>
      <c r="F1277" s="1"/>
      <c r="G1277" s="1"/>
      <c r="H1277" s="1"/>
      <c r="I1277" s="1"/>
      <c r="J1277" s="1"/>
      <c r="K1277" s="1"/>
      <c r="L1277" s="2"/>
      <c r="M1277" s="2"/>
      <c r="N1277" s="2"/>
      <c r="O1277" s="2"/>
      <c r="P1277" s="2"/>
      <c r="Q1277" s="2"/>
      <c r="R1277" s="2"/>
      <c r="S1277" s="2"/>
      <c r="T1277" s="3"/>
      <c r="U1277" s="1"/>
      <c r="V1277" s="1"/>
      <c r="W1277" s="1"/>
      <c r="X1277" s="1"/>
      <c r="Y1277" s="1"/>
      <c r="Z1277" s="1"/>
      <c r="AA1277" s="1"/>
      <c r="AB1277" s="1"/>
    </row>
    <row r="1278" spans="1:28" ht="13.8">
      <c r="A1278" s="261"/>
      <c r="B1278" s="261"/>
      <c r="C1278" s="115"/>
      <c r="D1278" s="1"/>
      <c r="E1278" s="1"/>
      <c r="F1278" s="1"/>
      <c r="G1278" s="1"/>
      <c r="H1278" s="1"/>
      <c r="I1278" s="1"/>
      <c r="J1278" s="1"/>
      <c r="K1278" s="1"/>
      <c r="L1278" s="2"/>
      <c r="M1278" s="2"/>
      <c r="N1278" s="2"/>
      <c r="O1278" s="2"/>
      <c r="P1278" s="2"/>
      <c r="Q1278" s="2"/>
      <c r="R1278" s="2"/>
      <c r="S1278" s="2"/>
      <c r="T1278" s="3"/>
      <c r="U1278" s="1"/>
      <c r="V1278" s="1"/>
      <c r="W1278" s="1"/>
      <c r="X1278" s="1"/>
      <c r="Y1278" s="1"/>
      <c r="Z1278" s="1"/>
      <c r="AA1278" s="1"/>
      <c r="AB1278" s="1"/>
    </row>
    <row r="1279" spans="1:28" ht="13.8">
      <c r="A1279" s="261"/>
      <c r="B1279" s="261"/>
      <c r="C1279" s="115"/>
      <c r="D1279" s="1"/>
      <c r="E1279" s="1"/>
      <c r="F1279" s="1"/>
      <c r="G1279" s="1"/>
      <c r="H1279" s="1"/>
      <c r="I1279" s="1"/>
      <c r="J1279" s="1"/>
      <c r="K1279" s="1"/>
      <c r="L1279" s="2"/>
      <c r="M1279" s="2"/>
      <c r="N1279" s="2"/>
      <c r="O1279" s="2"/>
      <c r="P1279" s="2"/>
      <c r="Q1279" s="2"/>
      <c r="R1279" s="2"/>
      <c r="S1279" s="2"/>
      <c r="T1279" s="3"/>
      <c r="U1279" s="1"/>
      <c r="V1279" s="1"/>
      <c r="W1279" s="1"/>
      <c r="X1279" s="1"/>
      <c r="Y1279" s="1"/>
      <c r="Z1279" s="1"/>
      <c r="AA1279" s="1"/>
      <c r="AB1279" s="1"/>
    </row>
    <row r="1280" spans="1:28" ht="13.8">
      <c r="A1280" s="261"/>
      <c r="B1280" s="261"/>
      <c r="C1280" s="115"/>
      <c r="D1280" s="1"/>
      <c r="E1280" s="1"/>
      <c r="F1280" s="1"/>
      <c r="G1280" s="1"/>
      <c r="H1280" s="1"/>
      <c r="I1280" s="1"/>
      <c r="J1280" s="1"/>
      <c r="K1280" s="1"/>
      <c r="L1280" s="2"/>
      <c r="M1280" s="2"/>
      <c r="N1280" s="2"/>
      <c r="O1280" s="2"/>
      <c r="P1280" s="2"/>
      <c r="Q1280" s="2"/>
      <c r="R1280" s="2"/>
      <c r="S1280" s="2"/>
      <c r="T1280" s="3"/>
      <c r="U1280" s="1"/>
      <c r="V1280" s="1"/>
      <c r="W1280" s="1"/>
      <c r="X1280" s="1"/>
      <c r="Y1280" s="1"/>
      <c r="Z1280" s="1"/>
      <c r="AA1280" s="1"/>
      <c r="AB1280" s="1"/>
    </row>
    <row r="1281" spans="1:28" ht="13.8">
      <c r="A1281" s="261"/>
      <c r="B1281" s="261"/>
      <c r="C1281" s="115"/>
      <c r="D1281" s="1"/>
      <c r="E1281" s="1"/>
      <c r="F1281" s="1"/>
      <c r="G1281" s="1"/>
      <c r="H1281" s="1"/>
      <c r="I1281" s="1"/>
      <c r="J1281" s="1"/>
      <c r="K1281" s="1"/>
      <c r="L1281" s="2"/>
      <c r="M1281" s="2"/>
      <c r="N1281" s="2"/>
      <c r="O1281" s="2"/>
      <c r="P1281" s="2"/>
      <c r="Q1281" s="2"/>
      <c r="R1281" s="2"/>
      <c r="S1281" s="2"/>
      <c r="T1281" s="3"/>
      <c r="U1281" s="1"/>
      <c r="V1281" s="1"/>
      <c r="W1281" s="1"/>
      <c r="X1281" s="1"/>
      <c r="Y1281" s="1"/>
      <c r="Z1281" s="1"/>
      <c r="AA1281" s="1"/>
      <c r="AB1281" s="1"/>
    </row>
    <row r="1282" spans="1:28" ht="13.8">
      <c r="A1282" s="261"/>
      <c r="B1282" s="261"/>
      <c r="C1282" s="115"/>
      <c r="D1282" s="1"/>
      <c r="E1282" s="1"/>
      <c r="F1282" s="1"/>
      <c r="G1282" s="1"/>
      <c r="H1282" s="1"/>
      <c r="I1282" s="1"/>
      <c r="J1282" s="1"/>
      <c r="K1282" s="1"/>
      <c r="L1282" s="2"/>
      <c r="M1282" s="2"/>
      <c r="N1282" s="2"/>
      <c r="O1282" s="2"/>
      <c r="P1282" s="2"/>
      <c r="Q1282" s="2"/>
      <c r="R1282" s="2"/>
      <c r="S1282" s="2"/>
      <c r="T1282" s="3"/>
      <c r="U1282" s="1"/>
      <c r="V1282" s="1"/>
      <c r="W1282" s="1"/>
      <c r="X1282" s="1"/>
      <c r="Y1282" s="1"/>
      <c r="Z1282" s="1"/>
      <c r="AA1282" s="1"/>
      <c r="AB1282" s="1"/>
    </row>
    <row r="1283" spans="1:28" ht="13.8">
      <c r="A1283" s="261"/>
      <c r="B1283" s="261"/>
      <c r="C1283" s="115"/>
      <c r="D1283" s="1"/>
      <c r="E1283" s="1"/>
      <c r="F1283" s="1"/>
      <c r="G1283" s="1"/>
      <c r="H1283" s="1"/>
      <c r="I1283" s="1"/>
      <c r="J1283" s="1"/>
      <c r="K1283" s="1"/>
      <c r="L1283" s="2"/>
      <c r="M1283" s="2"/>
      <c r="N1283" s="2"/>
      <c r="O1283" s="2"/>
      <c r="P1283" s="2"/>
      <c r="Q1283" s="2"/>
      <c r="R1283" s="2"/>
      <c r="S1283" s="2"/>
      <c r="T1283" s="3"/>
      <c r="U1283" s="1"/>
      <c r="V1283" s="1"/>
      <c r="W1283" s="1"/>
      <c r="X1283" s="1"/>
      <c r="Y1283" s="1"/>
      <c r="Z1283" s="1"/>
      <c r="AA1283" s="1"/>
      <c r="AB1283" s="1"/>
    </row>
    <row r="1284" spans="1:28" ht="13.8">
      <c r="A1284" s="261"/>
      <c r="B1284" s="261"/>
      <c r="C1284" s="115"/>
      <c r="D1284" s="1"/>
      <c r="E1284" s="1"/>
      <c r="F1284" s="1"/>
      <c r="G1284" s="1"/>
      <c r="H1284" s="1"/>
      <c r="I1284" s="1"/>
      <c r="J1284" s="1"/>
      <c r="K1284" s="1"/>
      <c r="L1284" s="2"/>
      <c r="M1284" s="2"/>
      <c r="N1284" s="2"/>
      <c r="O1284" s="2"/>
      <c r="P1284" s="2"/>
      <c r="Q1284" s="2"/>
      <c r="R1284" s="2"/>
      <c r="S1284" s="2"/>
      <c r="T1284" s="3"/>
      <c r="U1284" s="1"/>
      <c r="V1284" s="1"/>
      <c r="W1284" s="1"/>
      <c r="X1284" s="1"/>
      <c r="Y1284" s="1"/>
      <c r="Z1284" s="1"/>
      <c r="AA1284" s="1"/>
      <c r="AB1284" s="1"/>
    </row>
    <row r="1285" spans="1:28" ht="13.8">
      <c r="A1285" s="261"/>
      <c r="B1285" s="261"/>
      <c r="C1285" s="115"/>
      <c r="D1285" s="1"/>
      <c r="E1285" s="1"/>
      <c r="F1285" s="1"/>
      <c r="G1285" s="1"/>
      <c r="H1285" s="1"/>
      <c r="I1285" s="1"/>
      <c r="J1285" s="1"/>
      <c r="K1285" s="1"/>
      <c r="L1285" s="2"/>
      <c r="M1285" s="2"/>
      <c r="N1285" s="2"/>
      <c r="O1285" s="2"/>
      <c r="P1285" s="2"/>
      <c r="Q1285" s="2"/>
      <c r="R1285" s="2"/>
      <c r="S1285" s="2"/>
      <c r="T1285" s="3"/>
      <c r="U1285" s="1"/>
      <c r="V1285" s="1"/>
      <c r="W1285" s="1"/>
      <c r="X1285" s="1"/>
      <c r="Y1285" s="1"/>
      <c r="Z1285" s="1"/>
      <c r="AA1285" s="1"/>
      <c r="AB1285" s="1"/>
    </row>
    <row r="1286" spans="1:28" ht="13.8">
      <c r="A1286" s="261"/>
      <c r="B1286" s="261"/>
      <c r="C1286" s="115"/>
      <c r="D1286" s="1"/>
      <c r="E1286" s="1"/>
      <c r="F1286" s="1"/>
      <c r="G1286" s="1"/>
      <c r="H1286" s="1"/>
      <c r="I1286" s="1"/>
      <c r="J1286" s="1"/>
      <c r="K1286" s="1"/>
      <c r="L1286" s="2"/>
      <c r="M1286" s="2"/>
      <c r="N1286" s="2"/>
      <c r="O1286" s="2"/>
      <c r="P1286" s="2"/>
      <c r="Q1286" s="2"/>
      <c r="R1286" s="2"/>
      <c r="S1286" s="2"/>
      <c r="T1286" s="3"/>
      <c r="U1286" s="1"/>
      <c r="V1286" s="1"/>
      <c r="W1286" s="1"/>
      <c r="X1286" s="1"/>
      <c r="Y1286" s="1"/>
      <c r="Z1286" s="1"/>
      <c r="AA1286" s="1"/>
      <c r="AB1286" s="1"/>
    </row>
    <row r="1287" spans="1:28" ht="13.8">
      <c r="A1287" s="261"/>
      <c r="B1287" s="261"/>
      <c r="C1287" s="115"/>
      <c r="D1287" s="1"/>
      <c r="E1287" s="1"/>
      <c r="F1287" s="1"/>
      <c r="G1287" s="1"/>
      <c r="H1287" s="1"/>
      <c r="I1287" s="1"/>
      <c r="J1287" s="1"/>
      <c r="K1287" s="1"/>
      <c r="L1287" s="2"/>
      <c r="M1287" s="2"/>
      <c r="N1287" s="2"/>
      <c r="O1287" s="2"/>
      <c r="P1287" s="2"/>
      <c r="Q1287" s="2"/>
      <c r="R1287" s="2"/>
      <c r="S1287" s="2"/>
      <c r="T1287" s="3"/>
      <c r="U1287" s="1"/>
      <c r="V1287" s="1"/>
      <c r="W1287" s="1"/>
      <c r="X1287" s="1"/>
      <c r="Y1287" s="1"/>
      <c r="Z1287" s="1"/>
      <c r="AA1287" s="1"/>
      <c r="AB1287" s="1"/>
    </row>
    <row r="1288" spans="1:28" ht="13.8">
      <c r="A1288" s="261"/>
      <c r="B1288" s="261"/>
      <c r="C1288" s="115"/>
      <c r="D1288" s="1"/>
      <c r="E1288" s="1"/>
      <c r="F1288" s="1"/>
      <c r="G1288" s="1"/>
      <c r="H1288" s="1"/>
      <c r="I1288" s="1"/>
      <c r="J1288" s="1"/>
      <c r="K1288" s="1"/>
      <c r="L1288" s="2"/>
      <c r="M1288" s="2"/>
      <c r="N1288" s="2"/>
      <c r="O1288" s="2"/>
      <c r="P1288" s="2"/>
      <c r="Q1288" s="2"/>
      <c r="R1288" s="2"/>
      <c r="S1288" s="2"/>
      <c r="T1288" s="3"/>
      <c r="U1288" s="1"/>
      <c r="V1288" s="1"/>
      <c r="W1288" s="1"/>
      <c r="X1288" s="1"/>
      <c r="Y1288" s="1"/>
      <c r="Z1288" s="1"/>
      <c r="AA1288" s="1"/>
      <c r="AB1288" s="1"/>
    </row>
    <row r="1289" spans="1:28" ht="13.8">
      <c r="A1289" s="260"/>
      <c r="B1289" s="260"/>
      <c r="C1289" s="38"/>
      <c r="D1289" s="4"/>
      <c r="E1289" s="4"/>
      <c r="F1289" s="4"/>
      <c r="G1289" s="4"/>
      <c r="H1289" s="4"/>
      <c r="I1289" s="4"/>
      <c r="J1289" s="4"/>
      <c r="K1289" s="4"/>
      <c r="L1289" s="5"/>
      <c r="M1289" s="5"/>
      <c r="N1289" s="5"/>
      <c r="O1289" s="5"/>
      <c r="P1289" s="5"/>
      <c r="Q1289" s="5"/>
      <c r="R1289" s="5"/>
      <c r="S1289" s="5"/>
      <c r="T1289" s="6"/>
      <c r="U1289" s="1"/>
      <c r="V1289" s="1"/>
      <c r="W1289" s="1"/>
      <c r="X1289" s="1"/>
      <c r="Y1289" s="1"/>
      <c r="Z1289" s="1"/>
      <c r="AA1289" s="1"/>
      <c r="AB1289" s="1"/>
    </row>
    <row r="1290" spans="1:28" ht="13.8">
      <c r="A1290" s="260"/>
      <c r="B1290" s="260"/>
      <c r="C1290" s="38"/>
      <c r="D1290" s="4"/>
      <c r="E1290" s="4"/>
      <c r="F1290" s="4"/>
      <c r="G1290" s="4"/>
      <c r="H1290" s="4"/>
      <c r="I1290" s="4"/>
      <c r="J1290" s="4"/>
      <c r="K1290" s="4"/>
      <c r="L1290" s="5"/>
      <c r="M1290" s="5"/>
      <c r="N1290" s="5"/>
      <c r="O1290" s="5"/>
      <c r="P1290" s="5"/>
      <c r="Q1290" s="5"/>
      <c r="R1290" s="5"/>
      <c r="S1290" s="5"/>
      <c r="T1290" s="6"/>
      <c r="U1290" s="1"/>
      <c r="V1290" s="1"/>
      <c r="W1290" s="1"/>
      <c r="X1290" s="1"/>
      <c r="Y1290" s="1"/>
      <c r="Z1290" s="1"/>
      <c r="AA1290" s="1"/>
      <c r="AB1290" s="1"/>
    </row>
    <row r="1291" spans="1:28" ht="13.8">
      <c r="A1291" s="261"/>
      <c r="B1291" s="261"/>
      <c r="C1291" s="115"/>
      <c r="D1291" s="1"/>
      <c r="E1291" s="1"/>
      <c r="F1291" s="1"/>
      <c r="G1291" s="1"/>
      <c r="H1291" s="1"/>
      <c r="I1291" s="1"/>
      <c r="J1291" s="1"/>
      <c r="K1291" s="1"/>
      <c r="L1291" s="2"/>
      <c r="M1291" s="2"/>
      <c r="N1291" s="2"/>
      <c r="O1291" s="2"/>
      <c r="P1291" s="2"/>
      <c r="Q1291" s="2"/>
      <c r="R1291" s="2"/>
      <c r="S1291" s="2"/>
      <c r="T1291" s="3"/>
      <c r="U1291" s="1"/>
      <c r="V1291" s="1"/>
      <c r="W1291" s="1"/>
      <c r="X1291" s="1"/>
      <c r="Y1291" s="1"/>
      <c r="Z1291" s="1"/>
      <c r="AA1291" s="1"/>
      <c r="AB1291" s="1"/>
    </row>
    <row r="1292" spans="1:28" ht="13.8">
      <c r="A1292" s="261"/>
      <c r="B1292" s="261"/>
      <c r="C1292" s="115"/>
      <c r="D1292" s="1"/>
      <c r="E1292" s="1"/>
      <c r="F1292" s="1"/>
      <c r="G1292" s="1"/>
      <c r="H1292" s="1"/>
      <c r="I1292" s="1"/>
      <c r="J1292" s="1"/>
      <c r="K1292" s="1"/>
      <c r="L1292" s="2"/>
      <c r="M1292" s="2"/>
      <c r="N1292" s="2"/>
      <c r="O1292" s="2"/>
      <c r="P1292" s="2"/>
      <c r="Q1292" s="2"/>
      <c r="R1292" s="2"/>
      <c r="S1292" s="2"/>
      <c r="T1292" s="3"/>
      <c r="U1292" s="1"/>
      <c r="V1292" s="1"/>
      <c r="W1292" s="1"/>
      <c r="X1292" s="1"/>
      <c r="Y1292" s="1"/>
      <c r="Z1292" s="1"/>
      <c r="AA1292" s="1"/>
      <c r="AB1292" s="1"/>
    </row>
  </sheetData>
  <hyperlinks>
    <hyperlink ref="A2" r:id="rId1" display="https://tupiel.darsistemas.com/consulta/34927" xr:uid="{778DB761-5BCD-41BE-99DC-EE369ECC21F2}"/>
    <hyperlink ref="B2" r:id="rId2" display="https://tupiel.darsistemas.com/consulta_cups/costos?id=23972" xr:uid="{7FB64452-272A-4F38-9671-4097CD7D506E}"/>
    <hyperlink ref="A3" r:id="rId3" display="https://tupiel.darsistemas.com/consulta/35869" xr:uid="{C96880B5-E7DD-4F92-BB71-1F72B6E75AD2}"/>
    <hyperlink ref="B3" r:id="rId4" display="https://tupiel.darsistemas.com/consulta_cups/costos?id=25474" xr:uid="{5B6D5B4F-8671-42E2-A6F7-BB73975DBC00}"/>
    <hyperlink ref="A4" r:id="rId5" display="https://tupiel.darsistemas.com/consulta/34445" xr:uid="{8C84DC7A-2B31-47AB-A100-88C91A628321}"/>
    <hyperlink ref="B4" r:id="rId6" display="https://tupiel.darsistemas.com/consulta_cups/costos?id=24779" xr:uid="{3FC47573-26ED-420E-9BD8-9AB08CADCDF5}"/>
    <hyperlink ref="A5" r:id="rId7" display="https://tupiel.darsistemas.com/consulta/35859" xr:uid="{3A26D637-CFAE-4D6A-A926-A8BD4AF9F314}"/>
    <hyperlink ref="B5" r:id="rId8" display="https://tupiel.darsistemas.com/consulta_cups/costos?id=25461" xr:uid="{937CAA50-6157-4ED9-8438-9E0504FEB993}"/>
    <hyperlink ref="A6" r:id="rId9" display="https://tupiel.darsistemas.com/consulta/35960" xr:uid="{600FC889-D0AB-46A4-9D55-AD822E836ED7}"/>
    <hyperlink ref="B6" r:id="rId10" display="https://tupiel.darsistemas.com/consulta_cups/costos?id=25631" xr:uid="{E8BF612D-2577-40FB-8AA6-40E12482A949}"/>
    <hyperlink ref="A7" r:id="rId11" display="https://tupiel.darsistemas.com/consulta/35990" xr:uid="{80764EF8-AA52-45A8-9C94-88ED853EC793}"/>
    <hyperlink ref="B7" r:id="rId12" display="https://tupiel.darsistemas.com/consulta_cups/costos?id=25697" xr:uid="{615EC9B8-9216-400F-8A96-709ABE01D165}"/>
    <hyperlink ref="A8" r:id="rId13" display="https://tupiel.darsistemas.com/consulta/35816" xr:uid="{B107FDC0-F51C-4780-A882-732D9B513FE0}"/>
    <hyperlink ref="B8" r:id="rId14" display="https://tupiel.darsistemas.com/consulta_cups/costos?id=25374" xr:uid="{E20A0127-8E9F-41EC-8EEE-BB387C7A539C}"/>
    <hyperlink ref="A9" r:id="rId15" display="https://tupiel.darsistemas.com/consulta/36052" xr:uid="{0EE9F9DC-5A19-425F-8126-A476DD89268B}"/>
    <hyperlink ref="B9" r:id="rId16" display="https://tupiel.darsistemas.com/consulta_cups/costos?id=25819" xr:uid="{B1A0D788-028F-4CB2-9709-949DBA43BF2F}"/>
    <hyperlink ref="A10" r:id="rId17" display="https://tupiel.darsistemas.com/consulta/36012" xr:uid="{A67AE1BA-5115-42F1-AB1F-BB7D1DA6B28C}"/>
    <hyperlink ref="B10" r:id="rId18" display="https://tupiel.darsistemas.com/consulta_cups/costos?id=25736" xr:uid="{42235ED7-2481-4A72-B978-611E2CF093EE}"/>
    <hyperlink ref="A11" r:id="rId19" display="https://tupiel.darsistemas.com/consulta/36028" xr:uid="{2F567DA7-BEED-4743-BBB8-4F96B74F3D4F}"/>
    <hyperlink ref="B11" r:id="rId20" display="https://tupiel.darsistemas.com/consulta_cups/costos?id=25776" xr:uid="{29CF2453-512B-4803-99DD-B139814FB4F1}"/>
    <hyperlink ref="A12" r:id="rId21" display="https://tupiel.darsistemas.com/consulta/36000" xr:uid="{1785402A-0020-4636-AB15-E4190B12D0EF}"/>
    <hyperlink ref="B12" r:id="rId22" display="https://tupiel.darsistemas.com/consulta_cups/costos?id=25718" xr:uid="{26873AB0-DCA2-47CF-8C27-A67153AB7219}"/>
    <hyperlink ref="A13" r:id="rId23" display="https://tupiel.darsistemas.com/consulta/36001" xr:uid="{48CA1473-503E-4740-8A77-5B0D844E964E}"/>
    <hyperlink ref="B13" r:id="rId24" display="https://tupiel.darsistemas.com/consulta_cups/costos?id=25721" xr:uid="{07675DF7-5FCC-40FF-AF34-4759E35D8C63}"/>
    <hyperlink ref="A14" r:id="rId25" display="https://tupiel.darsistemas.com/consulta/34589" xr:uid="{E40B59E1-F4D3-44F0-8B48-94FCB661DC11}"/>
    <hyperlink ref="B14" r:id="rId26" display="https://tupiel.darsistemas.com/consulta_cups/costos?id=23461" xr:uid="{F6209D72-38C4-426A-988C-8CC8A4D0918C}"/>
    <hyperlink ref="A15" r:id="rId27" display="https://tupiel.darsistemas.com/consulta/35512" xr:uid="{FC25DED4-406F-40CA-AF46-5EF90EF1DE2A}"/>
    <hyperlink ref="B15" r:id="rId28" display="https://tupiel.darsistemas.com/consulta_cups/costos?id=24840" xr:uid="{5B6FFC62-1AD2-4C8A-A7E7-BC8AE67E53BE}"/>
    <hyperlink ref="A16" r:id="rId29" display="https://tupiel.darsistemas.com/consulta/35966" xr:uid="{E596D167-1279-4299-A780-5FE2A46ED97B}"/>
    <hyperlink ref="B16" r:id="rId30" display="https://tupiel.darsistemas.com/consulta_cups/costos?id=25645" xr:uid="{F8B27138-EEA2-4BEE-BD5C-4A7DB5CD8EA0}"/>
    <hyperlink ref="A17" r:id="rId31" display="https://tupiel.darsistemas.com/consulta/36051" xr:uid="{845BD410-ABBE-4F00-886F-7E0B0D8DC116}"/>
    <hyperlink ref="B17" r:id="rId32" display="https://tupiel.darsistemas.com/consulta_cups/costos?id=25818" xr:uid="{86BB99DC-AB10-4959-B973-E42DB3A1A398}"/>
    <hyperlink ref="A18" r:id="rId33" display="https://tupiel.darsistemas.com/consulta/35497" xr:uid="{733338B7-DB15-48EC-9E78-0B8DE056CEBD}"/>
    <hyperlink ref="B18" r:id="rId34" display="https://tupiel.darsistemas.com/consulta_cups/costos?id=25172" xr:uid="{70EA08BB-6165-4A94-8962-00A2E37F2851}"/>
    <hyperlink ref="A19" r:id="rId35" display="https://tupiel.darsistemas.com/consulta/35996" xr:uid="{1A5B91A9-8972-4440-945A-8C97FE406619}"/>
    <hyperlink ref="B19" r:id="rId36" display="https://tupiel.darsistemas.com/consulta_cups/costos?id=25713" xr:uid="{625865EF-A4B8-4D0D-8853-0AC26132F15C}"/>
    <hyperlink ref="A20" r:id="rId37" display="https://tupiel.darsistemas.com/consulta/35993" xr:uid="{8DE6C915-37E5-4010-9B25-55B1FC007552}"/>
    <hyperlink ref="B20" r:id="rId38" display="https://tupiel.darsistemas.com/consulta_cups/costos?id=25701" xr:uid="{B7A258AD-8DAD-4664-BA39-2317220FAF61}"/>
    <hyperlink ref="A21" r:id="rId39" display="https://tupiel.darsistemas.com/consulta/36058" xr:uid="{D415A2C0-31CE-42D1-BFB0-5AE70D2B68FA}"/>
    <hyperlink ref="B21" r:id="rId40" display="https://tupiel.darsistemas.com/consulta_cups/costos?id=25830" xr:uid="{D31A03AA-49D8-44B9-8E23-68DED084AF51}"/>
    <hyperlink ref="A22" r:id="rId41" display="https://tupiel.darsistemas.com/consulta/35634" xr:uid="{5BCA9F83-6219-4A70-91C5-F38A0AC8C03B}"/>
    <hyperlink ref="B22" r:id="rId42" display="https://tupiel.darsistemas.com/consulta_cups/costos?id=25846" xr:uid="{B5C7F4DE-2050-4AA3-8319-3697E7BEAEFD}"/>
    <hyperlink ref="A23" r:id="rId43" display="https://tupiel.darsistemas.com/consulta/35959" xr:uid="{E84B8F3C-3558-4D4D-9E84-E04EC0C5315D}"/>
    <hyperlink ref="B23" r:id="rId44" display="https://tupiel.darsistemas.com/consulta_cups/costos?id=25821" xr:uid="{F73D59D4-D777-4195-9DD7-BE6F9AB545E5}"/>
    <hyperlink ref="A24" r:id="rId45" display="https://tupiel.darsistemas.com/consulta/35959" xr:uid="{53DE9F93-D07A-4397-A48B-DC04AA0C32C6}"/>
    <hyperlink ref="B24" r:id="rId46" display="https://tupiel.darsistemas.com/consulta_cups/costos?id=25630" xr:uid="{AFE43F7C-7691-4B7F-826F-9420383DA354}"/>
    <hyperlink ref="A25" r:id="rId47" display="https://tupiel.darsistemas.com/consulta/36058" xr:uid="{0CB294A7-A8DC-42C3-A317-E2CE5E20192E}"/>
    <hyperlink ref="B25" r:id="rId48" display="https://tupiel.darsistemas.com/consulta_cups/costos?id=25829" xr:uid="{01EB35E5-336F-495E-8064-18436B41B630}"/>
    <hyperlink ref="A26" r:id="rId49" display="https://tupiel.darsistemas.com/consulta/36058" xr:uid="{B0E1E5C4-E079-4B96-9944-77FB7AA9532F}"/>
    <hyperlink ref="B26" r:id="rId50" display="https://tupiel.darsistemas.com/consulta_cups/costos?id=25828" xr:uid="{D3D79314-813E-4DCA-B983-3169883257E1}"/>
    <hyperlink ref="A27" r:id="rId51" display="https://tupiel.darsistemas.com/consulta/36058" xr:uid="{340EA106-F608-441A-908E-CDE26FDE7393}"/>
    <hyperlink ref="B27" r:id="rId52" display="https://tupiel.darsistemas.com/consulta_cups/costos?id=25835" xr:uid="{B7F842AD-FA85-4A8C-A15D-EA44E548C906}"/>
    <hyperlink ref="A28" r:id="rId53" display="https://tupiel.darsistemas.com/consulta/35497" xr:uid="{3895D260-375F-4F48-A59B-2AC2A1942272}"/>
    <hyperlink ref="B28" r:id="rId54" display="https://tupiel.darsistemas.com/consulta_cups/costos?id=25407" xr:uid="{C655EDA5-1E7D-4232-93A0-FB6E866B47BF}"/>
    <hyperlink ref="A29" r:id="rId55" display="https://tupiel.darsistemas.com/consulta/35497" xr:uid="{1CA49343-C81F-44AA-9504-21024D487F29}"/>
    <hyperlink ref="B29" r:id="rId56" display="https://tupiel.darsistemas.com/consulta_cups/costos?id=25831" xr:uid="{55459FC9-6C11-46B6-9E43-8F519F0191D7}"/>
    <hyperlink ref="A30" r:id="rId57" display="https://tupiel.darsistemas.com/consulta/35939" xr:uid="{6515DEDE-B937-4850-9AD7-592E44762E2F}"/>
    <hyperlink ref="B30" r:id="rId58" display="https://tupiel.darsistemas.com/consulta_cups/costos?id=25595" xr:uid="{AC92F854-15F4-4568-89CD-A93833B60859}"/>
    <hyperlink ref="A31" r:id="rId59" display="https://tupiel.darsistemas.com/consulta/35854" xr:uid="{A91D8B38-FBEB-4B2A-9481-58F8A4B1BA70}"/>
    <hyperlink ref="B31" r:id="rId60" display="https://tupiel.darsistemas.com/consulta_cups/costos?id=25854" xr:uid="{03798C7C-5323-4605-8985-4E3AE50348B0}"/>
    <hyperlink ref="A32" r:id="rId61" display="https://tupiel.darsistemas.com/consulta/36053" xr:uid="{519CAB17-2997-4E26-B446-EC33526633F7}"/>
    <hyperlink ref="B32" r:id="rId62" display="https://tupiel.darsistemas.com/consulta_cups/costos?id=25820" xr:uid="{EADD8B8B-D73C-49D8-A0D2-2D90537F2E7A}"/>
    <hyperlink ref="A33" r:id="rId63" display="https://tupiel.darsistemas.com/consulta/36075" xr:uid="{1B6181D2-15C4-4151-B468-E70D0105C511}"/>
    <hyperlink ref="B33" r:id="rId64" display="https://tupiel.darsistemas.com/consulta_cups/costos?id=25859" xr:uid="{406DF2E7-9332-4353-B0FB-D8652343A5F5}"/>
    <hyperlink ref="A34" r:id="rId65" display="https://tupiel.darsistemas.com/consulta/35947" xr:uid="{BC136BAA-20AE-47C3-B96D-3F51960D4ECD}"/>
    <hyperlink ref="B34" r:id="rId66" display="https://tupiel.darsistemas.com/consulta_cups/costos?id=25609" xr:uid="{A26BFC1B-97FF-4F38-80CE-FE7E9C858B4B}"/>
    <hyperlink ref="A35" r:id="rId67" display="https://tupiel.darsistemas.com/consulta/35708" xr:uid="{DC3133E2-B976-4E0A-9ED8-CB6CB91C4DBE}"/>
    <hyperlink ref="B35" r:id="rId68" display="https://tupiel.darsistemas.com/consulta_cups/costos?id=25646" xr:uid="{4607D9F1-5008-4A63-9D50-8F5359B0315E}"/>
    <hyperlink ref="A36" r:id="rId69" display="https://tupiel.darsistemas.com/consulta/35708" xr:uid="{0FE9893A-24E3-4702-B0F3-BC3AF4461B9B}"/>
    <hyperlink ref="B36" r:id="rId70" display="https://tupiel.darsistemas.com/consulta_cups/costos?id=25647" xr:uid="{D654A578-6632-423F-BFC9-8F135B1BAB77}"/>
    <hyperlink ref="A37" r:id="rId71" display="https://tupiel.darsistemas.com/consulta/35120" xr:uid="{6CF8BA57-58C2-41FF-B80C-1942949C7020}"/>
    <hyperlink ref="B37" r:id="rId72" display="https://tupiel.darsistemas.com/consulta_cups/costos?id=24223" xr:uid="{5FDD84CE-5A01-4D73-B689-BDD7BFC33CFA}"/>
    <hyperlink ref="A38" r:id="rId73" display="https://tupiel.darsistemas.com/consulta/28241" xr:uid="{15DCD3AF-1FBD-436E-9C73-A803A9F98926}"/>
    <hyperlink ref="B38" r:id="rId74" display="https://tupiel.darsistemas.com/consulta_cups/costos?id=25869" xr:uid="{47687F80-E28F-490E-8F42-404025253E26}"/>
    <hyperlink ref="A39" r:id="rId75" display="https://tupiel.darsistemas.com/consulta/36031" xr:uid="{A884E4F3-40A0-4C5A-A9B5-43FE9BE6131D}"/>
    <hyperlink ref="B39" r:id="rId76" display="https://tupiel.darsistemas.com/consulta_cups/costos?id=25781" xr:uid="{01C8979F-3980-43B9-8178-C0B356D84151}"/>
    <hyperlink ref="A40" r:id="rId77" display="https://tupiel.darsistemas.com/consulta/34985" xr:uid="{F06811B7-A044-489D-B6C3-23CC661A5726}"/>
    <hyperlink ref="B40" r:id="rId78" display="https://tupiel.darsistemas.com/consulta_cups/costos?id=24219" xr:uid="{D6454318-4570-42E5-93D0-35EAD872499F}"/>
    <hyperlink ref="A41" r:id="rId79" display="https://tupiel.darsistemas.com/consulta/36050" xr:uid="{922EFCCC-DAA4-464C-9E93-C38F967C9E33}"/>
    <hyperlink ref="B41" r:id="rId80" display="https://tupiel.darsistemas.com/consulta_cups/costos?id=25817" xr:uid="{AD1BF695-DD45-4EAB-89E7-D5A7B488D9FE}"/>
    <hyperlink ref="A42" r:id="rId81" display="https://tupiel.darsistemas.com/consulta/36055" xr:uid="{8203288F-AB20-4F62-9DF7-DB4901A3F773}"/>
    <hyperlink ref="B42" r:id="rId82" display="https://tupiel.darsistemas.com/consulta_cups/costos?id=25826" xr:uid="{1E93B981-E071-42F8-AE4C-B41319616EEB}"/>
    <hyperlink ref="A43" r:id="rId83" display="https://tupiel.darsistemas.com/consulta/21286" xr:uid="{A0600DE3-896E-4AE0-B1A1-625A97B42D72}"/>
    <hyperlink ref="B43" r:id="rId84" display="https://tupiel.darsistemas.com/consulta_cups/costos?id=25845" xr:uid="{996AF90B-B6F8-43AF-9139-E46A255997FF}"/>
    <hyperlink ref="A44" r:id="rId85" display="https://tupiel.darsistemas.com/consulta/21286" xr:uid="{214423FD-9A13-4D9D-9DB9-5F2961279E85}"/>
    <hyperlink ref="B44" r:id="rId86" display="https://tupiel.darsistemas.com/consulta_cups/costos?id=25844" xr:uid="{EABB6F17-C84D-4A93-8175-A88A4D8AA5F8}"/>
    <hyperlink ref="A45" r:id="rId87" display="https://tupiel.darsistemas.com/consulta/26439" xr:uid="{27D1F3B8-0485-46E2-AF89-011C45759550}"/>
    <hyperlink ref="B45" r:id="rId88" display="https://tupiel.darsistemas.com/consulta_cups/costos?id=10577" xr:uid="{C5E6AEC6-A71A-456B-A52F-59C425E76A5A}"/>
    <hyperlink ref="A46" r:id="rId89" display="https://tupiel.darsistemas.com/consulta/36081" xr:uid="{3C0A1214-25A8-413B-A400-339935BB5C2C}"/>
    <hyperlink ref="B46" r:id="rId90" display="https://tupiel.darsistemas.com/consulta_cups/costos?id=25866" xr:uid="{47635034-7F66-405A-8692-4DDAC2D69C34}"/>
    <hyperlink ref="A47" r:id="rId91" display="https://tupiel.darsistemas.com/consulta/35892" xr:uid="{CBC96622-3CC9-4081-8D28-C8F2ADF472E1}"/>
    <hyperlink ref="B47" r:id="rId92" display="https://tupiel.darsistemas.com/consulta_cups/costos?id=25508" xr:uid="{C0136014-5D78-495D-B062-5BD881773B46}"/>
    <hyperlink ref="A48" r:id="rId93" display="https://tupiel.darsistemas.com/consulta/36069" xr:uid="{5EC76FFF-3362-48CD-B5EF-3756D81833F0}"/>
    <hyperlink ref="B48" r:id="rId94" display="https://tupiel.darsistemas.com/consulta_cups/costos?id=25851" xr:uid="{2DDE240C-2BC8-4797-8B3F-FC7B0187A100}"/>
    <hyperlink ref="A49" r:id="rId95" display="https://tupiel.darsistemas.com/consulta/35835" xr:uid="{0D8A4F67-53FE-4524-9C16-A665874F986F}"/>
    <hyperlink ref="B49" r:id="rId96" display="https://tupiel.darsistemas.com/consulta_cups/costos?id=25416" xr:uid="{83EA8183-8FF7-4361-A03A-7D136CF9BD66}"/>
    <hyperlink ref="A50" r:id="rId97" display="https://tupiel.darsistemas.com/consulta/33850" xr:uid="{A1C15B64-3902-40F1-BD1F-AD7E129679A6}"/>
    <hyperlink ref="B50" r:id="rId98" display="https://tupiel.darsistemas.com/consulta_cups/costos?id=25878" xr:uid="{6B5F64BA-29D4-4270-A8C8-6C517F55BA16}"/>
    <hyperlink ref="A51" r:id="rId99" display="https://tupiel.darsistemas.com/consulta/35708" xr:uid="{BE746ED1-1C1B-4A8D-8D2F-26D8B8DD3808}"/>
    <hyperlink ref="B51" r:id="rId100" display="https://tupiel.darsistemas.com/consulta_cups/costos?id=25849" xr:uid="{1341E42B-5B1B-4AD3-8A30-998BEB08DDE7}"/>
    <hyperlink ref="A52" r:id="rId101" display="https://tupiel.darsistemas.com/consulta/35708" xr:uid="{77C05FB7-96DB-45F8-BE67-115FDEC36436}"/>
    <hyperlink ref="B52" r:id="rId102" display="https://tupiel.darsistemas.com/consulta_cups/costos?id=25850" xr:uid="{A50A191A-A7AC-4A2A-84B6-2B8A72737CED}"/>
    <hyperlink ref="A53" r:id="rId103" display="https://tupiel.darsistemas.com/consulta/36047" xr:uid="{B40E29A6-BDD4-42EF-8CEC-8A397F00110A}"/>
    <hyperlink ref="B53" r:id="rId104" display="https://tupiel.darsistemas.com/consulta_cups/costos?id=25811" xr:uid="{2791B9B4-16BD-4C1D-9D49-BF36DC25D240}"/>
    <hyperlink ref="A54" r:id="rId105" display="https://tupiel.darsistemas.com/consulta/34323" xr:uid="{B0A7E687-6FF9-47EB-9065-CE19FF735C55}"/>
    <hyperlink ref="B54" r:id="rId106" display="https://tupiel.darsistemas.com/consulta_cups/costos?id=25477" xr:uid="{1B671AC3-CEA6-4171-B63E-F4E66A91862D}"/>
    <hyperlink ref="A55" r:id="rId107" display="https://tupiel.darsistemas.com/consulta/34323" xr:uid="{BCE71277-3DC1-4E93-9866-781473435170}"/>
    <hyperlink ref="B55" r:id="rId108" display="https://tupiel.darsistemas.com/consulta_cups/costos?id=25895" xr:uid="{FA93D9B4-E875-4E61-9244-0D50867741C0}"/>
    <hyperlink ref="A56" r:id="rId109" display="https://tupiel.darsistemas.com/consulta/34654" xr:uid="{51B84DD4-7E3F-414D-B638-0393909CFB84}"/>
    <hyperlink ref="B56" r:id="rId110" display="https://tupiel.darsistemas.com/consulta_cups/costos?id=23552" xr:uid="{428023AB-8641-4606-ABB0-B9EFD029B8CB}"/>
    <hyperlink ref="A57" r:id="rId111" display="https://tupiel.darsistemas.com/consulta/35386" xr:uid="{0A47A3A8-CF41-4057-943D-3F374CBD9A19}"/>
    <hyperlink ref="B57" r:id="rId112" display="https://tupiel.darsistemas.com/consulta_cups/costos?id=24998" xr:uid="{DFC9B5FE-415B-4D0B-B500-FF8B67CF798D}"/>
    <hyperlink ref="A58" r:id="rId113" display="https://tupiel.darsistemas.com/consulta/36104" xr:uid="{EAB2D8EE-B2A3-4107-AF0D-ED20535B107B}"/>
    <hyperlink ref="B58" r:id="rId114" display="https://tupiel.darsistemas.com/consulta_cups/costos?id=25896" xr:uid="{7F0A1DAF-8020-47AE-A01F-2B1030DEA9B1}"/>
    <hyperlink ref="A59" r:id="rId115" display="https://tupiel.darsistemas.com/consulta/34338" xr:uid="{2663BE1F-FEAE-478E-BE06-8883F185872D}"/>
    <hyperlink ref="B59" r:id="rId116" display="https://tupiel.darsistemas.com/consulta_cups/costos?id=24427" xr:uid="{0A432906-0484-40B3-A3FA-2204F62F4AAE}"/>
    <hyperlink ref="A60" r:id="rId117" display="https://tupiel.darsistemas.com/consulta/36097" xr:uid="{B32A2B3E-46C1-48F8-8AB9-AC21DE1F1B0E}"/>
    <hyperlink ref="B60" r:id="rId118" display="https://tupiel.darsistemas.com/consulta_cups/costos?id=25887" xr:uid="{2C45A691-9EC4-4E71-8128-55AAFFF01C61}"/>
    <hyperlink ref="A61" r:id="rId119" display="https://tupiel.darsistemas.com/consulta/36071" xr:uid="{F0D18894-620F-47F1-8ACF-7C5CBD1766F7}"/>
    <hyperlink ref="B61" r:id="rId120" display="https://tupiel.darsistemas.com/consulta_cups/costos?id=25853" xr:uid="{55ED3BAA-55D7-4FA7-A989-112E6A273B46}"/>
    <hyperlink ref="A62" r:id="rId121" display="https://tupiel.darsistemas.com/consulta/36113" xr:uid="{6A22342C-E029-4FEA-A81E-9D2188282F38}"/>
    <hyperlink ref="B62" r:id="rId122" display="https://tupiel.darsistemas.com/consulta_cups/costos?id=25906" xr:uid="{C8C7A3B2-0BBF-4D82-8A5D-C982874FD568}"/>
    <hyperlink ref="A63" r:id="rId123" display="https://tupiel.darsistemas.com/consulta/23794" xr:uid="{C664F8C4-AD20-40A9-82CC-8759DDDE51DA}"/>
    <hyperlink ref="B63" r:id="rId124" display="https://tupiel.darsistemas.com/consulta_cups/costos?id=25138" xr:uid="{4B16FBB2-DB76-4441-B38E-246399A64245}"/>
    <hyperlink ref="A64" r:id="rId125" display="https://tupiel.darsistemas.com/consulta/34158" xr:uid="{734F6F6B-10D5-4E29-8EFC-FAAC42BEA0B8}"/>
    <hyperlink ref="B64" r:id="rId126" display="https://tupiel.darsistemas.com/consulta_cups/costos?id=25615" xr:uid="{9630CDE1-8C72-4D46-8E56-F30A2A65F6B2}"/>
    <hyperlink ref="A65" r:id="rId127" display="https://tupiel.darsistemas.com/consulta/35148" xr:uid="{90DE4E94-E29B-4306-8419-85B576B717AC}"/>
    <hyperlink ref="B65" r:id="rId128" display="https://tupiel.darsistemas.com/consulta_cups/costos?id=24273" xr:uid="{81175728-6BD9-49D7-8EB3-7472B8A7AAE2}"/>
    <hyperlink ref="A66" r:id="rId129" display="https://tupiel.darsistemas.com/consulta/36067" xr:uid="{0697D4E1-F189-44E9-B25B-DD22623FB768}"/>
    <hyperlink ref="B66" r:id="rId130" display="https://tupiel.darsistemas.com/consulta_cups/costos?id=25847" xr:uid="{DA2A646D-0F84-4CE4-9AD1-D487B976F96B}"/>
    <hyperlink ref="A67" r:id="rId131" display="https://tupiel.darsistemas.com/consulta/36120" xr:uid="{E38E3051-8829-450F-A921-B65BBE61DBA0}"/>
    <hyperlink ref="B67" r:id="rId132" display="https://tupiel.darsistemas.com/consulta_cups/costos?id=25915" xr:uid="{B5503C31-31AC-47A7-A76A-0F91B8876342}"/>
    <hyperlink ref="A68" r:id="rId133" display="https://tupiel.darsistemas.com/consulta/36110" xr:uid="{B16BA75E-2B5B-4177-9157-9D42222A4A44}"/>
    <hyperlink ref="B68" r:id="rId134" display="https://tupiel.darsistemas.com/consulta_cups/costos?id=25903" xr:uid="{F71FC928-CF96-4E38-B005-07D704529774}"/>
    <hyperlink ref="A69" r:id="rId135" display="https://tupiel.darsistemas.com/consulta/36083" xr:uid="{94953736-0A90-4414-B106-E810EF50DAB5}"/>
    <hyperlink ref="B69" r:id="rId136" display="https://tupiel.darsistemas.com/consulta_cups/costos?id=25868" xr:uid="{ED90083C-C225-4321-B40B-CCF667969734}"/>
    <hyperlink ref="A70" r:id="rId137" display="https://tupiel.darsistemas.com/consulta/36082" xr:uid="{3636629F-5534-4B78-AEEE-1FE61AD5442F}"/>
    <hyperlink ref="B70" r:id="rId138" display="https://tupiel.darsistemas.com/consulta_cups/costos?id=25867" xr:uid="{7D86473E-B7DE-43FC-9717-EE24AE257D1D}"/>
    <hyperlink ref="A71" r:id="rId139" display="https://tupiel.darsistemas.com/consulta/36121" xr:uid="{1F839BFC-77CC-4E73-BA96-50329AC6544E}"/>
    <hyperlink ref="B71" r:id="rId140" display="https://tupiel.darsistemas.com/consulta_cups/costos?id=25916" xr:uid="{FF4090BB-C58F-4865-835C-C373CE77A7F7}"/>
    <hyperlink ref="A72" r:id="rId141" display="https://tupiel.darsistemas.com/consulta/36064" xr:uid="{329CDA4D-2F9F-45FC-BCEC-F8E418587AEA}"/>
    <hyperlink ref="B72" r:id="rId142" display="https://tupiel.darsistemas.com/consulta_cups/costos?id=25841" xr:uid="{680BB946-D14D-43B6-A094-CB85129EC92B}"/>
    <hyperlink ref="A73" r:id="rId143" display="https://tupiel.darsistemas.com/consulta/36080" xr:uid="{BC106E09-49E0-4398-8D45-667738D7E34E}"/>
    <hyperlink ref="B73" r:id="rId144" display="https://tupiel.darsistemas.com/consulta_cups/costos?id=25865" xr:uid="{6296A20F-CB12-403B-B2EA-D13400AE69BB}"/>
    <hyperlink ref="A74" r:id="rId145" display="https://tupiel.darsistemas.com/consulta/36118" xr:uid="{27048CB9-72B3-43C6-A443-DA2246A87D0E}"/>
    <hyperlink ref="B74" r:id="rId146" display="https://tupiel.darsistemas.com/consulta_cups/costos?id=25912" xr:uid="{893AB052-9855-491A-BEDA-A8B5118428FD}"/>
    <hyperlink ref="A75" r:id="rId147" display="https://tupiel.darsistemas.com/consulta/22514" xr:uid="{3A2AB66D-1EE6-44C0-A817-E89990D06BD7}"/>
    <hyperlink ref="B75" r:id="rId148" display="https://tupiel.darsistemas.com/consulta_cups/costos?id=25520" xr:uid="{58DF8FD2-00CB-49FC-AE5B-13D1C119213B}"/>
    <hyperlink ref="A76" r:id="rId149" display="https://tupiel.darsistemas.com/consulta/35899" xr:uid="{1AADF510-25FD-4F8F-A11A-E4C55CA3242B}"/>
    <hyperlink ref="B76" r:id="rId150" display="https://tupiel.darsistemas.com/consulta_cups/costos?id=25522" xr:uid="{2056BD72-F9C4-4164-80DF-B59523A17535}"/>
    <hyperlink ref="A77" r:id="rId151" display="https://tupiel.darsistemas.com/consulta/32352" xr:uid="{73D829F2-27F7-4C2D-BE8C-03EBDE9CFD59}"/>
    <hyperlink ref="B77" r:id="rId152" display="https://tupiel.darsistemas.com/consulta_cups/costos?id=25085" xr:uid="{8921D9E4-A545-43D7-97DA-86421631A033}"/>
    <hyperlink ref="A78" r:id="rId153" display="https://tupiel.darsistemas.com/consulta/31327" xr:uid="{6C7F18B8-5770-40A8-AE60-78771D21001A}"/>
    <hyperlink ref="B78" r:id="rId154" display="https://tupiel.darsistemas.com/consulta_cups/costos?id=19094" xr:uid="{4D5CF00B-0A3A-47E9-953A-750EBB1E0479}"/>
    <hyperlink ref="A79" r:id="rId155" display="https://tupiel.darsistemas.com/consulta/35358" xr:uid="{4B8DD5E1-4F1B-4981-A6B7-FA0FE4EC7D11}"/>
    <hyperlink ref="B79" r:id="rId156" display="https://tupiel.darsistemas.com/consulta_cups/costos?id=24593" xr:uid="{A9E11FAD-0BA9-4746-9478-66AA23B7573B}"/>
    <hyperlink ref="A80" r:id="rId157" display="https://tupiel.darsistemas.com/consulta/35358" xr:uid="{0A6FE65E-E8FE-4F1E-BEBD-85A4E69CFB7A}"/>
    <hyperlink ref="B80" r:id="rId158" display="https://tupiel.darsistemas.com/consulta_cups/costos?id=25891" xr:uid="{F294DDCE-896F-40FE-A3C3-7D5B8FDCF55E}"/>
    <hyperlink ref="A81" r:id="rId159" display="https://tupiel.darsistemas.com/consulta/35668" xr:uid="{01714133-2AC5-45AC-9106-C9904EC34118}"/>
    <hyperlink ref="B81" r:id="rId160" display="https://tupiel.darsistemas.com/consulta_cups/costos?id=25107" xr:uid="{F3725D3E-9F43-4F04-A129-72C0CCF0FDE2}"/>
    <hyperlink ref="A82" r:id="rId161" display="https://tupiel.darsistemas.com/consulta/35470" xr:uid="{5E22D61C-1A39-48A5-996F-A7F39738DE3F}"/>
    <hyperlink ref="B82" r:id="rId162" display="https://tupiel.darsistemas.com/consulta_cups/costos?id=25022" xr:uid="{CC5FF259-690E-4113-B34B-9B8C24E824E4}"/>
    <hyperlink ref="A83" r:id="rId163" display="https://tupiel.darsistemas.com/consulta/30870" xr:uid="{88694296-153C-41FD-9020-28338325EBBE}"/>
    <hyperlink ref="B83" r:id="rId164" display="https://tupiel.darsistemas.com/consulta_cups/costos?id=25884" xr:uid="{E760EF35-056A-4C69-B71C-3BAA698C2C9C}"/>
    <hyperlink ref="A84" r:id="rId165" display="https://tupiel.darsistemas.com/consulta/30870" xr:uid="{452478F7-C08A-4618-8531-5A7EF43123C5}"/>
    <hyperlink ref="B84" r:id="rId166" display="https://tupiel.darsistemas.com/consulta_cups/costos?id=25940" xr:uid="{4B27A350-575B-41DB-8967-0C071E7629F2}"/>
    <hyperlink ref="A85" r:id="rId167" display="https://tupiel.darsistemas.com/consulta/35001" xr:uid="{B3E8450D-F1EC-41AE-AF41-C4EDB40061CB}"/>
    <hyperlink ref="B85" r:id="rId168" display="https://tupiel.darsistemas.com/consulta_cups/costos?id=24896" xr:uid="{F06F7E9F-2048-47D8-A30C-8272453DB0A2}"/>
    <hyperlink ref="A86" r:id="rId169" display="https://tupiel.darsistemas.com/consulta/31342" xr:uid="{36E754A6-CD05-4F0D-A3F1-7EAC6D41F44E}"/>
    <hyperlink ref="B86" r:id="rId170" display="https://tupiel.darsistemas.com/consulta_cups/costos?id=23319" xr:uid="{3D9A00E2-6EA7-4BD3-A259-350EA618CE12}"/>
    <hyperlink ref="A87" r:id="rId171" display="https://tupiel.darsistemas.com/consulta/36123" xr:uid="{7001F55E-0C91-406C-A4EB-09F82E12BA2D}"/>
    <hyperlink ref="B87" r:id="rId172" display="https://tupiel.darsistemas.com/consulta_cups/costos?id=25918" xr:uid="{EE327B0D-93CD-499E-8628-723E6E4DA3ED}"/>
    <hyperlink ref="A88" r:id="rId173" display="https://tupiel.darsistemas.com/consulta/35989" xr:uid="{67843676-5015-4788-8CB3-BB73BCE65BCF}"/>
    <hyperlink ref="B88" r:id="rId174" display="https://tupiel.darsistemas.com/consulta_cups/costos?id=25696" xr:uid="{7E7FC7CF-6C61-4792-8D85-CCC261438AA3}"/>
    <hyperlink ref="A89" r:id="rId175" display="https://tupiel.darsistemas.com/consulta/35824" xr:uid="{CEF9654A-0885-4580-AA0A-688DDEAE8F2B}"/>
    <hyperlink ref="B89" r:id="rId176" display="https://tupiel.darsistemas.com/consulta_cups/costos?id=25978" xr:uid="{D477F5F7-059E-4616-91A9-F50102A8F798}"/>
    <hyperlink ref="A90" r:id="rId177" display="https://tupiel.darsistemas.com/consulta/33293" xr:uid="{2CE3A694-D975-46BC-9C57-714B079F9D08}"/>
    <hyperlink ref="B90" r:id="rId178" display="https://tupiel.darsistemas.com/consulta_cups/costos?id=25582" xr:uid="{42385230-BF05-47A4-9889-CA751EBED742}"/>
    <hyperlink ref="A91" r:id="rId179" display="https://tupiel.darsistemas.com/consulta/33292" xr:uid="{7780F317-E99B-4335-A48C-74B1C15C9FDB}"/>
    <hyperlink ref="B91" r:id="rId180" display="https://tupiel.darsistemas.com/consulta_cups/costos?id=25580" xr:uid="{BF9B12A7-07EB-4E8A-9481-AD41C5D961F7}"/>
    <hyperlink ref="A92" r:id="rId181" display="https://tupiel.darsistemas.com/consulta/36136" xr:uid="{A8E6EF4C-EABA-429D-85D9-6439150CEB35}"/>
    <hyperlink ref="B92" r:id="rId182" display="https://tupiel.darsistemas.com/consulta_cups/costos?id=25937" xr:uid="{EF99390B-40E5-4D72-BDDE-2FB3DA6EF87A}"/>
    <hyperlink ref="A93" r:id="rId183" display="https://tupiel.darsistemas.com/consulta/35450" xr:uid="{4E715DC3-C37E-40A6-9F10-0DCCEE74A5DA}"/>
    <hyperlink ref="B93" r:id="rId184" display="https://tupiel.darsistemas.com/consulta_cups/costos?id=24753" xr:uid="{47325C82-44B8-4BD1-AED6-54C4CDB49A39}"/>
    <hyperlink ref="A94" r:id="rId185" display="https://tupiel.darsistemas.com/consulta/36089" xr:uid="{B270A534-2AC5-4625-9468-5AC671C4F8E6}"/>
    <hyperlink ref="B94" r:id="rId186" display="https://tupiel.darsistemas.com/consulta_cups/costos?id=25877" xr:uid="{D88B639C-9FB8-4793-AC63-F4DEFFBA2DB1}"/>
    <hyperlink ref="A95" r:id="rId187" display="https://tupiel.darsistemas.com/consulta/36160" xr:uid="{166EBA81-6EDA-4230-80A8-6FCC2DF94D69}"/>
    <hyperlink ref="B95" r:id="rId188" display="https://tupiel.darsistemas.com/consulta_cups/costos?id=25991" xr:uid="{546DAABA-A070-4C55-8D46-0272EE35E39B}"/>
    <hyperlink ref="A96" r:id="rId189" display="https://tupiel.darsistemas.com/consulta/34511" xr:uid="{7A37719E-F73A-4BF0-9D18-0A15454A57CD}"/>
    <hyperlink ref="B96" r:id="rId190" display="https://tupiel.darsistemas.com/consulta_cups/costos?id=23359" xr:uid="{65C5D01E-88F2-4491-AFDE-57A1543FD6C0}"/>
    <hyperlink ref="A97" r:id="rId191" display="https://tupiel.darsistemas.com/consulta/36077" xr:uid="{ED6C9DFC-3967-4D9E-BE93-15841F453B63}"/>
    <hyperlink ref="B97" r:id="rId192" display="https://tupiel.darsistemas.com/consulta_cups/costos?id=25861" xr:uid="{1DDD13ED-756C-4F90-ACC8-59A2AB375CBB}"/>
    <hyperlink ref="A98" r:id="rId193" display="https://tupiel.darsistemas.com/consulta/36027" xr:uid="{B5751517-AFBD-47E7-9CA2-1B12105F897E}"/>
    <hyperlink ref="B98" r:id="rId194" display="https://tupiel.darsistemas.com/consulta_cups/costos?id=25769" xr:uid="{B598FD9E-7687-4052-AB9F-0550A8C2D48B}"/>
    <hyperlink ref="A99" r:id="rId195" display="https://tupiel.darsistemas.com/consulta/36027" xr:uid="{0FAA93B6-79DA-4FB7-A599-F4AA8986B0F6}"/>
    <hyperlink ref="B99" r:id="rId196" display="https://tupiel.darsistemas.com/consulta_cups/costos?id=25984" xr:uid="{40CD919E-3B3F-46AB-A68C-C221F38E0E93}"/>
    <hyperlink ref="A100" r:id="rId197" display="https://tupiel.darsistemas.com/consulta/36163" xr:uid="{F46BE4A1-EAB1-4A46-8454-29DDFDEE97E9}"/>
    <hyperlink ref="B100" r:id="rId198" display="https://tupiel.darsistemas.com/consulta_cups/costos?id=25997" xr:uid="{B5A86C94-F787-48ED-AA48-59837B9DEF78}"/>
    <hyperlink ref="A101" r:id="rId199" display="https://tupiel.darsistemas.com/consulta/36159" xr:uid="{A1538F57-E28F-42A8-B520-CB490FA7ED7A}"/>
    <hyperlink ref="B101" r:id="rId200" display="https://tupiel.darsistemas.com/consulta_cups/costos?id=25990" xr:uid="{642487A2-89FD-4B18-91A0-29CD85F41FD9}"/>
    <hyperlink ref="A102" r:id="rId201" display="https://tupiel.darsistemas.com/consulta/36166" xr:uid="{ECDF4BD7-2914-4E4D-AE96-C15E5E11C3FB}"/>
    <hyperlink ref="B102" r:id="rId202" display="https://tupiel.darsistemas.com/consulta_cups/costos?id=26001" xr:uid="{D4402F8E-DEC3-47E6-9F76-42CC5C745C34}"/>
    <hyperlink ref="A103" r:id="rId203" display="https://tupiel.darsistemas.com/consulta/36181" xr:uid="{9E4E4297-1CAB-4B72-AD6E-493ECCFE5271}"/>
    <hyperlink ref="B103" r:id="rId204" display="https://tupiel.darsistemas.com/consulta_cups/costos?id=26025" xr:uid="{61FA3318-53BF-465E-B93A-E0FBF9F0F6EF}"/>
    <hyperlink ref="A104" r:id="rId205" display="https://tupiel.darsistemas.com/consulta/36182" xr:uid="{238C5BDB-0133-4E68-9B41-8CDCE593AF6B}"/>
    <hyperlink ref="B104" r:id="rId206" display="https://tupiel.darsistemas.com/consulta_cups/costos?id=26026" xr:uid="{C77E6C0E-7FCB-4560-9ED2-C82D86E56676}"/>
    <hyperlink ref="A105" r:id="rId207" display="https://tupiel.darsistemas.com/consulta/31807" xr:uid="{0082D6C6-FBDC-407F-8748-123E09ACCB18}"/>
    <hyperlink ref="B105" r:id="rId208" display="https://tupiel.darsistemas.com/consulta_cups/costos?id=25913" xr:uid="{BD67643E-65B8-49D8-91BF-2086D7E85F07}"/>
    <hyperlink ref="A106" r:id="rId209" display="https://tupiel.darsistemas.com/consulta/36145" xr:uid="{1677453D-6485-45F9-9083-8407D7388C11}"/>
    <hyperlink ref="B106" r:id="rId210" display="https://tupiel.darsistemas.com/consulta_cups/costos?id=25964" xr:uid="{C131E79F-FE65-4968-A183-AF4C690C481D}"/>
    <hyperlink ref="A107" r:id="rId211" display="https://tupiel.darsistemas.com/consulta/35118" xr:uid="{BCFE53D7-7201-4F36-AD02-82C9CE98B427}"/>
    <hyperlink ref="B107" r:id="rId212" display="https://tupiel.darsistemas.com/consulta_cups/costos?id=24224" xr:uid="{A2F32010-806D-4EB1-AAE3-B3F979914373}"/>
    <hyperlink ref="A108" r:id="rId213" display="https://tupiel.darsistemas.com/consulta/35560" xr:uid="{CB917714-594E-43E2-A3D7-3387A1D17C77}"/>
    <hyperlink ref="B108" r:id="rId214" display="https://tupiel.darsistemas.com/consulta_cups/costos?id=24923" xr:uid="{66C087E8-211A-4B95-8A87-BBE49059BC0A}"/>
    <hyperlink ref="A109" r:id="rId215" display="https://tupiel.darsistemas.com/consulta/35736" xr:uid="{F0C40850-8666-4285-B442-7D90C61C45EA}"/>
    <hyperlink ref="B109" r:id="rId216" display="https://tupiel.darsistemas.com/consulta_cups/costos?id=25223" xr:uid="{DF5C6418-22AE-4FCC-A9AC-F43E266CA4F9}"/>
    <hyperlink ref="A110" r:id="rId217" display="https://tupiel.darsistemas.com/consulta/36126" xr:uid="{C401FE26-0EA8-4EDC-81EB-E97478A20CF2}"/>
    <hyperlink ref="B110" r:id="rId218" display="https://tupiel.darsistemas.com/consulta_cups/costos?id=25921" xr:uid="{EDEF8458-C351-443F-A93A-CEC7A31C98EA}"/>
    <hyperlink ref="A111" r:id="rId219" display="https://tupiel.darsistemas.com/consulta/36021" xr:uid="{E2C774EF-F0E7-48A1-8254-CCD0AE97F556}"/>
    <hyperlink ref="B111" r:id="rId220" display="https://tupiel.darsistemas.com/consulta_cups/costos?id=25747" xr:uid="{0CCE14E3-E2A5-4F22-91FD-59754B27C830}"/>
    <hyperlink ref="A112" r:id="rId221" display="https://tupiel.darsistemas.com/consulta/36164" xr:uid="{15488E1C-B4AC-4B4E-8FB6-17AD834F0544}"/>
    <hyperlink ref="B112" r:id="rId222" display="https://tupiel.darsistemas.com/consulta_cups/costos?id=25998" xr:uid="{05BF3233-D74B-4581-A39D-18FB4A790E4B}"/>
    <hyperlink ref="A113" r:id="rId223" display="https://tupiel.darsistemas.com/consulta/36191" xr:uid="{1BE7AEF1-24D8-4C67-9E64-59BA116FBDCE}"/>
    <hyperlink ref="B113" r:id="rId224" display="https://tupiel.darsistemas.com/consulta_cups/costos?id=26047" xr:uid="{F639D821-704B-4772-9F5D-21B7E0C9CCC7}"/>
    <hyperlink ref="A114" r:id="rId225" display="https://tupiel.darsistemas.com/consulta/36148" xr:uid="{D7C7F914-C60C-4EF5-9512-A3FEC1B56C7B}"/>
    <hyperlink ref="B114" r:id="rId226" display="https://tupiel.darsistemas.com/consulta_cups/costos?id=25967" xr:uid="{F126F454-B0B0-4781-B4BC-F677AA058E48}"/>
    <hyperlink ref="A115" r:id="rId227" display="https://tupiel.darsistemas.com/consulta/36156" xr:uid="{ED9A26B7-16D3-4570-97A6-759BD81761CF}"/>
    <hyperlink ref="B115" r:id="rId228" display="https://tupiel.darsistemas.com/consulta_cups/costos?id=25987" xr:uid="{C9DC0417-B223-4961-90DD-C3B01621F7A3}"/>
    <hyperlink ref="A116" r:id="rId229" display="https://tupiel.darsistemas.com/consulta/36040" xr:uid="{B6F2A180-54CD-4BE7-90F2-F41797BF111B}"/>
    <hyperlink ref="B116" r:id="rId230" display="https://tupiel.darsistemas.com/consulta_cups/costos?id=26055" xr:uid="{4A7600D2-974D-41D4-A738-63DD6F5D546F}"/>
    <hyperlink ref="A117" r:id="rId231" display="https://tupiel.darsistemas.com/consulta/36150" xr:uid="{20664D75-CC84-4F23-BDFB-189B0C52A09C}"/>
    <hyperlink ref="B117" r:id="rId232" display="https://tupiel.darsistemas.com/consulta_cups/costos?id=25971" xr:uid="{118414B1-6A5C-4B32-ADCC-FAD0DEE28D72}"/>
    <hyperlink ref="A118" r:id="rId233" display="https://tupiel.darsistemas.com/consulta/36130" xr:uid="{80840EB9-B3D1-416B-AC4E-82911A3089AB}"/>
    <hyperlink ref="B118" r:id="rId234" display="https://tupiel.darsistemas.com/consulta_cups/costos?id=25930" xr:uid="{A46828B5-03BF-404D-BABF-BB60C2EFF49E}"/>
    <hyperlink ref="A119" r:id="rId235" display="https://tupiel.darsistemas.com/consulta/36144" xr:uid="{FF47BED0-D0E5-48E2-872C-CBD291895FF9}"/>
    <hyperlink ref="B119" r:id="rId236" display="https://tupiel.darsistemas.com/consulta_cups/costos?id=25963" xr:uid="{492D54FD-9865-46B8-AAB7-FF574D5AA639}"/>
    <hyperlink ref="A120" r:id="rId237" display="https://tupiel.darsistemas.com/consulta/35909" xr:uid="{39269ED4-4F33-4DDE-965F-A7925F7D162F}"/>
    <hyperlink ref="B120" r:id="rId238" display="https://tupiel.darsistemas.com/consulta_cups/costos?id=25536" xr:uid="{43599AD7-5593-4EED-974F-B5A9EF448E64}"/>
    <hyperlink ref="A121" r:id="rId239" display="https://tupiel.darsistemas.com/consulta/36127" xr:uid="{402A5547-52D1-455C-84F4-9F9692B1C4BC}"/>
    <hyperlink ref="B121" r:id="rId240" display="https://tupiel.darsistemas.com/consulta_cups/costos?id=25922" xr:uid="{F89A873F-7D45-4D0B-BC9E-F9B68186BE95}"/>
    <hyperlink ref="A122" r:id="rId241" display="https://tupiel.darsistemas.com/consulta/33334" xr:uid="{09F1C36E-CBED-426D-917B-9A56A0D183A0}"/>
    <hyperlink ref="B122" r:id="rId242" display="https://tupiel.darsistemas.com/consulta_cups/costos?id=24758" xr:uid="{BFE11347-2E6C-4FA8-ADE0-BAC34CD537F3}"/>
    <hyperlink ref="A123" r:id="rId243" display="https://tupiel.darsistemas.com/consulta/36108" xr:uid="{13422E9C-A0CE-447E-A3E1-0AA9730BF2ED}"/>
    <hyperlink ref="B123" r:id="rId244" display="https://tupiel.darsistemas.com/consulta_cups/costos?id=25901" xr:uid="{7CB45AE6-E09A-489D-A4D6-886114DECA42}"/>
    <hyperlink ref="A124" r:id="rId245" display="https://tupiel.darsistemas.com/consulta/33334" xr:uid="{D214D748-C390-41EB-BD5C-90C5CB381D50}"/>
    <hyperlink ref="B124" r:id="rId246" display="https://tupiel.darsistemas.com/consulta_cups/costos?id=24759" xr:uid="{A08F0B92-4B47-4AC3-A375-CC87EA144E81}"/>
    <hyperlink ref="A125" r:id="rId247" display="https://tupiel.darsistemas.com/consulta/35311" xr:uid="{87D629BA-B934-4CAF-9423-F86DED00D3BC}"/>
    <hyperlink ref="B125" r:id="rId248" display="https://tupiel.darsistemas.com/consulta_cups/costos?id=24527" xr:uid="{157806C7-E67E-427D-84A1-1FAEE698BE1E}"/>
    <hyperlink ref="A126" r:id="rId249" display="https://tupiel.darsistemas.com/consulta/33334" xr:uid="{D4CD7750-8009-49F8-A93D-83F6B0453221}"/>
    <hyperlink ref="B126" r:id="rId250" display="https://tupiel.darsistemas.com/consulta_cups/costos?id=26065" xr:uid="{E324F3AA-21D3-45A5-905E-9ED513220886}"/>
    <hyperlink ref="A127" r:id="rId251" display="https://tupiel.darsistemas.com/consulta/31916" xr:uid="{3D942FD4-8287-40BE-B249-E2BCE9033F0B}"/>
    <hyperlink ref="B127" r:id="rId252" display="https://tupiel.darsistemas.com/consulta_cups/costos?id=25832" xr:uid="{D716AE03-12B5-40AA-A2AF-6B4090D53AE1}"/>
    <hyperlink ref="A128" r:id="rId253" display="https://tupiel.darsistemas.com/consulta/35223" xr:uid="{765A27CB-A315-44DE-BC0C-95F8A43998F4}"/>
    <hyperlink ref="B128" r:id="rId254" display="https://tupiel.darsistemas.com/consulta_cups/costos?id=26073" xr:uid="{02B9AE5E-0F80-4FEC-8404-467D77A37F12}"/>
    <hyperlink ref="A129" r:id="rId255" display="https://tupiel.darsistemas.com/consulta/35223" xr:uid="{A1C5F7A7-C91D-4371-954C-CA731C59AEC4}"/>
    <hyperlink ref="B129" r:id="rId256" display="https://tupiel.darsistemas.com/consulta_cups/costos?id=26075" xr:uid="{A6EEB57C-0CB3-4E0C-B8FB-4F5B18474620}"/>
    <hyperlink ref="A130" r:id="rId257" display="https://tupiel.darsistemas.com/consulta/35822" xr:uid="{A4EC6D6D-5F20-49CD-82FB-0B1C044A8FED}"/>
    <hyperlink ref="B130" r:id="rId258" display="https://tupiel.darsistemas.com/consulta_cups/costos?id=25396" xr:uid="{01097249-000C-4C85-92ED-4AB2470C50B4}"/>
    <hyperlink ref="A131" r:id="rId259" display="https://tupiel.darsistemas.com/consulta/36173" xr:uid="{38AE99F0-D6B0-4B17-A84F-AE35C698BF4D}"/>
    <hyperlink ref="B131" r:id="rId260" display="https://tupiel.darsistemas.com/consulta_cups/costos?id=26013" xr:uid="{6CC93D2E-72D8-49A0-B574-F1EE9965FB47}"/>
    <hyperlink ref="A132" r:id="rId261" display="https://tupiel.darsistemas.com/consulta/25941" xr:uid="{FBEFB44E-46FB-471E-AB98-59EABF0584A5}"/>
    <hyperlink ref="B132" r:id="rId262" display="https://tupiel.darsistemas.com/consulta_cups/costos?id=26011" xr:uid="{C172B79B-5606-46A7-BD36-C1843C751004}"/>
    <hyperlink ref="A133" r:id="rId263" display="https://tupiel.darsistemas.com/consulta/32829" xr:uid="{B22032E8-899A-4C9F-BC15-FE8697368633}"/>
    <hyperlink ref="B133" r:id="rId264" display="https://tupiel.darsistemas.com/consulta_cups/costos?id=22944" xr:uid="{B549FFB1-55B1-467E-89AB-0AFAB6A61ABE}"/>
    <hyperlink ref="A134" r:id="rId265" display="https://tupiel.darsistemas.com/consulta/36186" xr:uid="{EE3959B9-DEFC-4DA1-8E22-7FBE329E5FE4}"/>
    <hyperlink ref="B134" r:id="rId266" display="https://tupiel.darsistemas.com/consulta_cups/costos?id=26033" xr:uid="{47F22C77-4973-4F8E-A766-C1BA3E01618F}"/>
    <hyperlink ref="A135" r:id="rId267" display="https://tupiel.darsistemas.com/consulta/33377" xr:uid="{593B2B6F-A4DE-4825-8D2B-31BC9B5899F8}"/>
    <hyperlink ref="B135" r:id="rId268" display="https://tupiel.darsistemas.com/consulta_cups/costos?id=26046" xr:uid="{855EC519-6A92-4962-BA5E-F43679FF67AC}"/>
    <hyperlink ref="A136" r:id="rId269" display="https://tupiel.darsistemas.com/consulta/21426" xr:uid="{0D53C5FD-1CF9-4E52-AD07-D3B2CEB27BFB}"/>
    <hyperlink ref="B136" r:id="rId270" display="https://tupiel.darsistemas.com/consulta_cups/costos?id=26000" xr:uid="{D7D8738C-3B45-45A7-B0C3-F4D8AC354BD2}"/>
    <hyperlink ref="A137" r:id="rId271" display="https://tupiel.darsistemas.com/consulta/36183" xr:uid="{D1ACC8BA-65AF-4302-A97C-BB49451B7DAC}"/>
    <hyperlink ref="B137" r:id="rId272" display="https://tupiel.darsistemas.com/consulta_cups/costos?id=26056" xr:uid="{8773A26C-4D3E-4738-B283-652674579653}"/>
    <hyperlink ref="A138" r:id="rId273" display="https://tupiel.darsistemas.com/consulta/21426" xr:uid="{BB84C7F2-B6AD-4427-9EE9-59F364A8222E}"/>
    <hyperlink ref="B138" r:id="rId274" display="https://tupiel.darsistemas.com/consulta_cups/costos?id=26086" xr:uid="{BCC8CD68-68DE-4F44-A5A4-36E0D34FAC8A}"/>
    <hyperlink ref="A139" r:id="rId275" display="https://tupiel.darsistemas.com/consulta/36183" xr:uid="{CB3AAFA7-3E1D-499D-AD4C-9FD661E77F75}"/>
    <hyperlink ref="B139" r:id="rId276" display="https://tupiel.darsistemas.com/consulta_cups/costos?id=26041" xr:uid="{096E0C66-F856-44B7-B56B-7FA3B0789B0C}"/>
    <hyperlink ref="A140" r:id="rId277" display="https://tupiel.darsistemas.com/consulta/36183" xr:uid="{5B90B23C-AE2A-4122-8DDE-94A9084CB03C}"/>
    <hyperlink ref="B140" r:id="rId278" display="https://tupiel.darsistemas.com/consulta_cups/costos?id=26027" xr:uid="{B0B301C2-FD4D-4C62-994C-428564599F0A}"/>
    <hyperlink ref="A141" r:id="rId279" display="https://tupiel.darsistemas.com/consulta/29113" xr:uid="{97AF9F5A-1945-4220-BA4D-7C2F6B6A0DDC}"/>
    <hyperlink ref="B141" r:id="rId280" display="https://tupiel.darsistemas.com/consulta_cups/costos?id=21382" xr:uid="{BA0E010A-8F7E-4F3C-B756-5ADCAC58D367}"/>
    <hyperlink ref="A142" r:id="rId281" display="https://tupiel.darsistemas.com/consulta/36188" xr:uid="{C219CFA2-15DE-4974-9818-AD3825AAA64F}"/>
    <hyperlink ref="B142" r:id="rId282" display="https://tupiel.darsistemas.com/consulta_cups/costos?id=26038" xr:uid="{0388A3F3-23A8-4A3A-B9E8-61F0CEE80711}"/>
    <hyperlink ref="A143" r:id="rId283" display="https://tupiel.darsistemas.com/consulta/34092" xr:uid="{0AAEF783-C936-4ED8-B8E4-EC7515710827}"/>
    <hyperlink ref="B143" r:id="rId284" display="https://tupiel.darsistemas.com/consulta_cups/costos?id=22723" xr:uid="{8529DA76-E55D-4C82-B1E5-D6CCDC841E46}"/>
    <hyperlink ref="A144" r:id="rId285" display="https://tupiel.darsistemas.com/consulta/31963" xr:uid="{7EA781FA-83CE-4DD8-A819-407ACFDB2CBB}"/>
    <hyperlink ref="B144" r:id="rId286" display="https://tupiel.darsistemas.com/consulta_cups/costos?id=20731" xr:uid="{93B89778-90FB-4890-AB06-C42FF2C3054E}"/>
    <hyperlink ref="A145" r:id="rId287" display="https://tupiel.darsistemas.com/consulta/34609" xr:uid="{C1953105-265E-41CD-BBE8-BEF1AA4E5C9E}"/>
    <hyperlink ref="B145" r:id="rId288" display="https://tupiel.darsistemas.com/consulta_cups/costos?id=26093" xr:uid="{0D5A73B3-4447-4B56-B560-EA08D1DC6330}"/>
    <hyperlink ref="A146" r:id="rId289" display="https://tupiel.darsistemas.com/consulta/36196" xr:uid="{EDEF32AC-74FA-415A-BE04-AE2BA20CE207}"/>
    <hyperlink ref="B146" r:id="rId290" display="https://tupiel.darsistemas.com/consulta_cups/costos?id=26058" xr:uid="{5D70814A-D3C4-432C-9229-BD30828AACAB}"/>
    <hyperlink ref="A147" r:id="rId291" display="https://tupiel.darsistemas.com/consulta/35520" xr:uid="{1AE80E49-2FF3-4FE2-ABEB-8A15DF193548}"/>
    <hyperlink ref="B147" r:id="rId292" display="https://tupiel.darsistemas.com/consulta_cups/costos?id=24853" xr:uid="{6232D805-F955-4EA7-AEA9-15D92E2CD9AC}"/>
    <hyperlink ref="A148" r:id="rId293" display="https://tupiel.darsistemas.com/consulta/34628" xr:uid="{491DD809-44B2-483F-AB61-CB227DE08197}"/>
    <hyperlink ref="B148" r:id="rId294" display="https://tupiel.darsistemas.com/consulta_cups/costos?id=26106" xr:uid="{EB00BB08-6FF5-4936-911C-5DCDABD88132}"/>
    <hyperlink ref="A149" r:id="rId295" display="https://tupiel.darsistemas.com/consulta/36217" xr:uid="{A095C7D7-A243-47D4-A73E-32F32CC53106}"/>
    <hyperlink ref="B149" r:id="rId296" display="https://tupiel.darsistemas.com/consulta_cups/costos?id=26095" xr:uid="{F6357055-BC91-4C86-8653-88D3EFD751D2}"/>
    <hyperlink ref="A150" r:id="rId297" display="https://tupiel.darsistemas.com/consulta/36149" xr:uid="{A86BFB48-3FB1-4CB3-8EF4-7F31553A7ADE}"/>
    <hyperlink ref="B150" r:id="rId298" display="https://tupiel.darsistemas.com/consulta_cups/costos?id=25968" xr:uid="{9744842E-D906-4891-ACD6-FAA5F3E1B329}"/>
    <hyperlink ref="A151" r:id="rId299" display="https://tupiel.darsistemas.com/consulta/36176" xr:uid="{B8C3E8D4-30A0-4985-B920-DA08A392E368}"/>
    <hyperlink ref="B151" r:id="rId300" display="https://tupiel.darsistemas.com/consulta_cups/costos?id=26018" xr:uid="{7AD9C796-C86F-465A-9A88-F51AC2215342}"/>
    <hyperlink ref="A152" r:id="rId301" display="https://tupiel.darsistemas.com/consulta/36221" xr:uid="{47B69916-C071-4760-8F7A-C35BCF673545}"/>
    <hyperlink ref="B152" r:id="rId302" display="https://tupiel.darsistemas.com/consulta_cups/costos?id=26109" xr:uid="{0BE4A863-AB72-4118-BD14-DAC0CF7DCE64}"/>
    <hyperlink ref="A153" r:id="rId303" display="https://tupiel.darsistemas.com/consulta/36095" xr:uid="{1B20FEED-6A08-4321-B215-2FF89C511B85}"/>
    <hyperlink ref="B153" r:id="rId304" display="https://tupiel.darsistemas.com/consulta_cups/costos?id=25885" xr:uid="{87160FAB-1CB3-4981-A6A9-C67A9F6CED83}"/>
    <hyperlink ref="A154" r:id="rId305" display="https://tupiel.darsistemas.com/consulta/35956" xr:uid="{05AF027B-520C-4F8F-ADD3-5F30542393BA}"/>
    <hyperlink ref="B154" r:id="rId306" display="https://tupiel.darsistemas.com/consulta_cups/costos?id=25627" xr:uid="{2AF41FF1-5F3F-4504-B4C5-0DA8C53DE19C}"/>
    <hyperlink ref="A155" r:id="rId307" display="https://tupiel.darsistemas.com/consulta/36226" xr:uid="{CA3ABA67-7BAE-481E-91F1-1AB0A53B8ECD}"/>
    <hyperlink ref="B155" r:id="rId308" display="https://tupiel.darsistemas.com/consulta_cups/costos?id=26117" xr:uid="{A0AD4FDF-34B8-4977-844F-000D719127AC}"/>
    <hyperlink ref="A156" r:id="rId309" display="https://tupiel.darsistemas.com/consulta/36227" xr:uid="{BB04221F-1657-4421-8EA1-7D040B11C242}"/>
    <hyperlink ref="B156" r:id="rId310" display="https://tupiel.darsistemas.com/consulta_cups/costos?id=26125" xr:uid="{B5CC7E86-7CC6-48C3-8C3C-7263C64ACC2D}"/>
    <hyperlink ref="A157" r:id="rId311" display="https://tupiel.darsistemas.com/consulta/35506" xr:uid="{0481F0DB-1A93-4199-A6AB-33B20E38D5F7}"/>
    <hyperlink ref="B157" r:id="rId312" display="https://tupiel.darsistemas.com/consulta_cups/costos?id=24834" xr:uid="{89CB0B08-7739-484B-AD43-C1413088521F}"/>
    <hyperlink ref="A158" r:id="rId313" display="https://tupiel.darsistemas.com/consulta/36189" xr:uid="{43D84DDF-4831-444B-B31C-F41CE584E92F}"/>
    <hyperlink ref="B158" r:id="rId314" display="https://tupiel.darsistemas.com/consulta_cups/costos?id=26039" xr:uid="{AA7FDF43-D477-426C-BDDC-2DB2F9878E69}"/>
    <hyperlink ref="A159" r:id="rId315" display="https://tupiel.darsistemas.com/consulta/35964" xr:uid="{C2C9B036-6540-4CFC-9E52-79022AEDDAAE}"/>
    <hyperlink ref="B159" r:id="rId316" display="https://tupiel.darsistemas.com/consulta_cups/costos?id=25640" xr:uid="{AC1E26B1-C0AF-4E2D-BA7C-5412F40E401B}"/>
    <hyperlink ref="A160" r:id="rId317" display="https://tupiel.darsistemas.com/consulta/28241" xr:uid="{D208A0E9-7B12-417D-B885-99F7F35946D7}"/>
    <hyperlink ref="B160" r:id="rId318" display="https://tupiel.darsistemas.com/consulta_cups/costos?id=26088" xr:uid="{7614C0EC-D1EB-4A71-8AF7-8735CA24265F}"/>
    <hyperlink ref="A161" r:id="rId319" display="https://tupiel.darsistemas.com/consulta/34071" xr:uid="{DE21BFE8-2677-439C-BEE6-B70C33C4C474}"/>
    <hyperlink ref="B161" r:id="rId320" display="https://tupiel.darsistemas.com/consulta_cups/costos?id=25438" xr:uid="{6E679551-4BAA-449B-A531-7B4F49B895E6}"/>
    <hyperlink ref="A162" r:id="rId321" display="https://tupiel.darsistemas.com/consulta/34071" xr:uid="{8D6BCF92-B8F0-434F-9EED-3F0B65495F7D}"/>
    <hyperlink ref="B162" r:id="rId322" display="https://tupiel.darsistemas.com/consulta_cups/costos?id=26159" xr:uid="{0E03C967-4967-49E1-B1CE-E4FA10025BA3}"/>
    <hyperlink ref="A163" r:id="rId323" display="https://tupiel.darsistemas.com/consulta/34071" xr:uid="{27910E49-26E1-4A1D-BF35-A296920F2E12}"/>
    <hyperlink ref="B163" r:id="rId324" display="https://tupiel.darsistemas.com/consulta_cups/costos?id=25434" xr:uid="{440C5871-3E52-459D-82E2-D9D4224ED574}"/>
    <hyperlink ref="A164" r:id="rId325" display="https://tupiel.darsistemas.com/consulta/34071" xr:uid="{019E69E2-9332-40F8-8826-DFB99F33CB78}"/>
    <hyperlink ref="B164" r:id="rId326" display="https://tupiel.darsistemas.com/consulta_cups/costos?id=25435" xr:uid="{3B7157C8-5CAC-4916-AD6F-1D2FB0E77507}"/>
    <hyperlink ref="A165" r:id="rId327" display="https://tupiel.darsistemas.com/consulta/31341" xr:uid="{85AA545C-304A-481C-980F-A5B74F803353}"/>
    <hyperlink ref="B165" r:id="rId328" display="https://tupiel.darsistemas.com/consulta_cups/costos?id=23892" xr:uid="{ED37F133-DDEE-42E8-A41F-DCC42A80ED11}"/>
    <hyperlink ref="A166" r:id="rId329" display="https://tupiel.darsistemas.com/consulta/31341" xr:uid="{2ED0713E-F19C-4BFA-8D08-5B46838D0EF7}"/>
    <hyperlink ref="B166" r:id="rId330" display="https://tupiel.darsistemas.com/consulta_cups/costos?id=23893" xr:uid="{EA855CF9-8CDA-42D8-A964-7EC272CE63C3}"/>
    <hyperlink ref="A167" r:id="rId331" display="https://tupiel.darsistemas.com/consulta/36146" xr:uid="{C4A1007F-1BFD-4CB4-84D3-5B059DB85A9D}"/>
    <hyperlink ref="B167" r:id="rId332" display="https://tupiel.darsistemas.com/consulta_cups/costos?id=25965" xr:uid="{84FF947A-902F-4714-A75A-65E46A6AC70C}"/>
    <hyperlink ref="A168" r:id="rId333" display="https://tupiel.darsistemas.com/consulta/35764" xr:uid="{CEF3A402-53FA-4ECE-89F5-83A972F70D01}"/>
    <hyperlink ref="B168" r:id="rId334" display="https://tupiel.darsistemas.com/consulta_cups/costos?id=25284" xr:uid="{21D8266C-0565-49DD-9C1F-D54A61D05987}"/>
    <hyperlink ref="A169" r:id="rId335" display="https://tupiel.darsistemas.com/consulta/35832" xr:uid="{46C6D59B-7F99-4E53-B37B-C2F98BE453A3}"/>
    <hyperlink ref="B169" r:id="rId336" display="https://tupiel.darsistemas.com/consulta_cups/costos?id=25412" xr:uid="{94BFC2FE-A31C-4A4A-926A-8F087BE3145D}"/>
    <hyperlink ref="A170" r:id="rId337" display="https://tupiel.darsistemas.com/consulta/36205" xr:uid="{D1CA92D5-B52A-4416-A609-72661DA69CAC}"/>
    <hyperlink ref="B170" r:id="rId338" display="https://tupiel.darsistemas.com/consulta_cups/costos?id=26076" xr:uid="{DEF86664-93AF-4D5D-8835-C173670200B8}"/>
    <hyperlink ref="A171" r:id="rId339" display="https://tupiel.darsistemas.com/consulta/36214" xr:uid="{0A7730C7-F9B4-4A7D-B1F1-5565A689FBE5}"/>
    <hyperlink ref="B171" r:id="rId340" display="https://tupiel.darsistemas.com/consulta_cups/costos?id=26090" xr:uid="{BF91B1EF-B1C3-4AA8-8A44-5B3EF0DC8EFF}"/>
    <hyperlink ref="A172" r:id="rId341" display="https://tupiel.darsistemas.com/consulta/36099" xr:uid="{469892FB-452B-46FF-A6D9-B203225EFFE8}"/>
    <hyperlink ref="B172" r:id="rId342" display="https://tupiel.darsistemas.com/consulta_cups/costos?id=25889" xr:uid="{AFD94A08-9E1E-41D9-8293-BA3F2524A732}"/>
    <hyperlink ref="A173" r:id="rId343" display="https://tupiel.darsistemas.com/consulta/35891" xr:uid="{74E4E391-3EE0-4692-9119-4D94CFC409B5}"/>
    <hyperlink ref="B173" r:id="rId344" display="https://tupiel.darsistemas.com/consulta_cups/costos?id=25504" xr:uid="{D035939E-18CC-4A13-954D-B2253ABD3568}"/>
    <hyperlink ref="A174" r:id="rId345" display="https://tupiel.darsistemas.com/consulta/33393" xr:uid="{E76D0FAF-92CA-4406-8169-9020DF79EE4B}"/>
    <hyperlink ref="B174" r:id="rId346" display="https://tupiel.darsistemas.com/consulta_cups/costos?id=25248" xr:uid="{04F5A0E7-C21E-4B95-ADC4-619238FB7095}"/>
    <hyperlink ref="A175" r:id="rId347" display="https://tupiel.darsistemas.com/consulta/36232" xr:uid="{2E7329E0-0C5B-49D3-A468-E75452EAC6A5}"/>
    <hyperlink ref="B175" r:id="rId348" display="https://tupiel.darsistemas.com/consulta_cups/costos?id=26138" xr:uid="{31ABE5FB-4506-4925-AE4A-4F416F31E63C}"/>
    <hyperlink ref="A176" r:id="rId349" display="https://tupiel.darsistemas.com/consulta/35267" xr:uid="{B46B69AB-2369-4D68-B048-F04183F34DDC}"/>
    <hyperlink ref="B176" r:id="rId350" display="https://tupiel.darsistemas.com/consulta_cups/costos?id=24463" xr:uid="{986672EB-1657-4777-A169-6BEA4EA54965}"/>
    <hyperlink ref="A177" r:id="rId351" display="https://tupiel.darsistemas.com/consulta/31341" xr:uid="{F015A748-5759-4C56-A090-25C3F8E51F66}"/>
    <hyperlink ref="B177" r:id="rId352" display="https://tupiel.darsistemas.com/consulta_cups/costos?id=26104" xr:uid="{88C2250C-538E-4C42-9542-F7CB57034471}"/>
    <hyperlink ref="A178" r:id="rId353" display="https://tupiel.darsistemas.com/consulta/35267" xr:uid="{ED7153C9-B7CE-4232-88AB-32F4278F2592}"/>
    <hyperlink ref="B178" r:id="rId354" display="https://tupiel.darsistemas.com/consulta_cups/costos?id=24464" xr:uid="{E899307B-16D3-4070-B703-3CB736D85877}"/>
    <hyperlink ref="A179" r:id="rId355" display="https://tupiel.darsistemas.com/consulta/26936" xr:uid="{8127F073-DA8B-4180-B23C-BCBDE24EB594}"/>
    <hyperlink ref="B179" r:id="rId356" display="https://tupiel.darsistemas.com/consulta_cups/costos?id=26121" xr:uid="{82E4B76E-29AB-45A7-BE4E-5B68374C6EE0}"/>
    <hyperlink ref="A180" r:id="rId357" display="https://tupiel.darsistemas.com/consulta/26936" xr:uid="{CAEF2D50-6C9E-425A-8E5F-28F8DDE55550}"/>
    <hyperlink ref="B180" r:id="rId358" display="https://tupiel.darsistemas.com/consulta_cups/costos?id=26122" xr:uid="{B59786B2-8ADE-4015-AE02-5F590273283C}"/>
    <hyperlink ref="A181" r:id="rId359" display="https://tupiel.darsistemas.com/consulta/35267" xr:uid="{1FF4EAA8-EC31-477F-80BC-EF2ADEBBC8DE}"/>
    <hyperlink ref="B181" r:id="rId360" display="https://tupiel.darsistemas.com/consulta_cups/costos?id=26111" xr:uid="{F3EA7A7C-98C2-47AA-AC48-8E7F3488B7F9}"/>
    <hyperlink ref="A182" r:id="rId361" display="https://tupiel.darsistemas.com/consulta/36220" xr:uid="{E0471EA3-732F-4295-910E-A074A3BBB017}"/>
    <hyperlink ref="B182" r:id="rId362" display="https://tupiel.darsistemas.com/consulta_cups/costos?id=26103" xr:uid="{88FE2126-1774-449E-B8D8-36735BA1B508}"/>
    <hyperlink ref="A183" r:id="rId363" display="https://tupiel.darsistemas.com/consulta/36138" xr:uid="{4D392380-1080-44A2-9E93-E2C5834416F1}"/>
    <hyperlink ref="B183" r:id="rId364" display="https://tupiel.darsistemas.com/consulta_cups/costos?id=25942" xr:uid="{A0EC76CD-43ED-4B32-80F1-B9A6D4049D67}"/>
    <hyperlink ref="A184" r:id="rId365" display="https://tupiel.darsistemas.com/consulta/36248" xr:uid="{7755BCDE-8861-4FDF-9A52-43A367AB09B5}"/>
    <hyperlink ref="B184" r:id="rId366" display="https://tupiel.darsistemas.com/consulta_cups/costos?id=26180" xr:uid="{48252657-755B-49ED-A860-FFCB5AFC24F2}"/>
    <hyperlink ref="A185" r:id="rId367" display="https://tupiel.darsistemas.com/consulta/32495" xr:uid="{D6D54D72-35C1-41D5-99D0-42C906E14FA5}"/>
    <hyperlink ref="B185" r:id="rId368" display="https://tupiel.darsistemas.com/consulta_cups/costos?id=21403" xr:uid="{3EEE13BD-C42A-40DE-862D-65A07C8A64CB}"/>
    <hyperlink ref="A186" r:id="rId369" display="https://tupiel.darsistemas.com/consulta/36009" xr:uid="{4D5D670C-A75B-46CD-9FEC-FD3B73B58F66}"/>
    <hyperlink ref="B186" r:id="rId370" display="https://tupiel.darsistemas.com/consulta_cups/costos?id=25731" xr:uid="{B00490DB-CB52-44B7-AD28-6BD04D3AE941}"/>
    <hyperlink ref="A187" r:id="rId371" display="https://tupiel.darsistemas.com/consulta/36257" xr:uid="{F8FFC1C7-B84D-446A-B274-EB8860D39E25}"/>
    <hyperlink ref="B187" r:id="rId372" display="https://tupiel.darsistemas.com/consulta_cups/costos?id=26192" xr:uid="{901AA481-F305-449E-9962-B875C0078E36}"/>
    <hyperlink ref="A188" r:id="rId373" display="https://tupiel.darsistemas.com/consulta/36085" xr:uid="{CCEC30D4-3EE0-4EAD-871B-2C4BE304C7D9}"/>
    <hyperlink ref="B188" r:id="rId374" display="https://tupiel.darsistemas.com/consulta_cups/costos?id=25871" xr:uid="{D0E18BC2-5D5C-417A-AF71-8DE5B6742EB5}"/>
    <hyperlink ref="A189" r:id="rId375" display="https://tupiel.darsistemas.com/consulta/36225" xr:uid="{4427A9E6-0552-4256-A611-B7769C19AD06}"/>
    <hyperlink ref="B189" r:id="rId376" display="https://tupiel.darsistemas.com/consulta_cups/costos?id=26114" xr:uid="{25981754-05F2-40C8-ABA4-2E458B84B216}"/>
    <hyperlink ref="A190" r:id="rId377" display="https://tupiel.darsistemas.com/consulta/32793" xr:uid="{958EE5F7-FA5A-41DB-BF26-00A79B27A7E6}"/>
    <hyperlink ref="B190" r:id="rId378" display="https://tupiel.darsistemas.com/consulta_cups/costos?id=26128" xr:uid="{3320B924-6246-404D-8E55-0AD19C4000B7}"/>
    <hyperlink ref="A191" r:id="rId379" display="https://tupiel.darsistemas.com/consulta/36007" xr:uid="{4903ED8E-7065-4731-B5C2-8A033C2159F5}"/>
    <hyperlink ref="B191" r:id="rId380" display="https://tupiel.darsistemas.com/consulta_cups/costos?id=25754" xr:uid="{74FBD407-D31D-47ED-9A43-98179C61A377}"/>
    <hyperlink ref="A192" r:id="rId381" display="https://tupiel.darsistemas.com/consulta/36007" xr:uid="{62EBB9B9-F7D0-420C-8F16-EA69591CA704}"/>
    <hyperlink ref="B192" r:id="rId382" display="https://tupiel.darsistemas.com/consulta_cups/costos?id=25755" xr:uid="{0DFD2392-B259-4DD1-AA20-52A5ABA9F0DD}"/>
    <hyperlink ref="A193" r:id="rId383" display="https://tupiel.darsistemas.com/consulta/32399" xr:uid="{E39CB62F-534F-4ABA-A01C-7BA6E02CEC28}"/>
    <hyperlink ref="B193" r:id="rId384" display="https://tupiel.darsistemas.com/consulta_cups/costos?id=26182" xr:uid="{E6F9E95E-186A-4107-A11E-D1C4AD6FAEFD}"/>
    <hyperlink ref="A194" r:id="rId385" display="https://tupiel.darsistemas.com/consulta/32399" xr:uid="{DC0A5882-4408-4543-9C77-1C2A1D48F97A}"/>
    <hyperlink ref="B194" r:id="rId386" display="https://tupiel.darsistemas.com/consulta_cups/costos?id=26183" xr:uid="{1EC71212-C067-4FAF-85F3-1C982DD55B6D}"/>
    <hyperlink ref="A195" r:id="rId387" display="https://tupiel.darsistemas.com/consulta/35664" xr:uid="{361A27C2-F0C2-4807-BC25-985B3E5C8730}"/>
    <hyperlink ref="B195" r:id="rId388" display="https://tupiel.darsistemas.com/consulta_cups/costos?id=25100" xr:uid="{70154F91-689A-4A2B-A3B0-568684CB1B49}"/>
    <hyperlink ref="A196" r:id="rId389" display="https://tupiel.darsistemas.com/consulta/36229" xr:uid="{97CA3CAC-205E-4695-9F2F-4E0AE9F1D423}"/>
    <hyperlink ref="B196" r:id="rId390" display="https://tupiel.darsistemas.com/consulta_cups/costos?id=26129" xr:uid="{DBFE2175-2D77-43A2-A459-8D80B4EF6B38}"/>
    <hyperlink ref="A197" r:id="rId391" display="https://tupiel.darsistemas.com/consulta/32349" xr:uid="{F1B963EF-D65D-459A-9E41-6A18A81CF998}"/>
    <hyperlink ref="B197" r:id="rId392" display="https://tupiel.darsistemas.com/consulta_cups/costos?id=26168" xr:uid="{97802530-1BB6-47F7-B80A-623B51520E58}"/>
    <hyperlink ref="A198" r:id="rId393" display="https://tupiel.darsistemas.com/consulta/29843" xr:uid="{1E7FE017-6EAD-4BC6-B3D0-BAA94B182006}"/>
    <hyperlink ref="B198" r:id="rId394" display="https://tupiel.darsistemas.com/consulta_cups/costos?id=25775" xr:uid="{976AEBFE-0A65-4C59-AF50-5C466C40E26D}"/>
    <hyperlink ref="A199" r:id="rId395" display="https://tupiel.darsistemas.com/consulta/29843" xr:uid="{ECCF1173-DBB2-4ACE-9E98-6FA52F39A545}"/>
    <hyperlink ref="B199" r:id="rId396" display="https://tupiel.darsistemas.com/consulta_cups/costos?id=26083" xr:uid="{E1898D7C-9A91-4EFC-A88D-7D34587F479E}"/>
    <hyperlink ref="A200" r:id="rId397" display="https://tupiel.darsistemas.com/consulta/30743" xr:uid="{F51C2D4D-1277-4F8E-AFF0-8B90BCB9E12F}"/>
    <hyperlink ref="B200" r:id="rId398" display="https://tupiel.darsistemas.com/consulta_cups/costos?id=26172" xr:uid="{AB36D819-CD8C-4772-B571-8DDD6C482197}"/>
    <hyperlink ref="A201" r:id="rId399" display="https://tupiel.darsistemas.com/consulta/36232" xr:uid="{DA5FC49F-824F-4E80-8F32-B6A45FCE10B4}"/>
    <hyperlink ref="B201" r:id="rId400" display="https://tupiel.darsistemas.com/consulta_cups/costos?id=26133" xr:uid="{90DF1D37-9DA5-4F78-AF43-22F721D3AABC}"/>
    <hyperlink ref="A202" r:id="rId401" display="https://tupiel.darsistemas.com/consulta/36238" xr:uid="{DBCA4036-4C8D-4E37-8C6A-B3E8E605D32D}"/>
    <hyperlink ref="B202" r:id="rId402" display="https://tupiel.darsistemas.com/consulta_cups/costos?id=26166" xr:uid="{B0C8588A-3038-42E1-8447-D21E2ED8504B}"/>
    <hyperlink ref="A203" r:id="rId403" display="https://tupiel.darsistemas.com/consulta/26436" xr:uid="{02D56223-FE7A-45B7-9604-254F6E60AE5C}"/>
    <hyperlink ref="B203" r:id="rId404" display="https://tupiel.darsistemas.com/consulta_cups/costos?id=26044" xr:uid="{4DDCBD15-E509-468E-82E3-DB70CA27CC92}"/>
    <hyperlink ref="A204" r:id="rId405" display="https://tupiel.darsistemas.com/consulta/35239" xr:uid="{9D6E2129-D869-426B-BCE4-4B3B4FF67D3E}"/>
    <hyperlink ref="B204" r:id="rId406" display="https://tupiel.darsistemas.com/consulta_cups/costos?id=24411" xr:uid="{C8B92875-174F-4A9E-809D-787216CC41EE}"/>
    <hyperlink ref="A205" r:id="rId407" display="https://tupiel.darsistemas.com/consulta/36251" xr:uid="{52040168-169B-426A-ACAC-7DC5D48F3560}"/>
    <hyperlink ref="B205" r:id="rId408" display="https://tupiel.darsistemas.com/consulta_cups/costos?id=26185" xr:uid="{DAE4FF9A-4E45-4382-9EDB-F289347E6704}"/>
    <hyperlink ref="A206" r:id="rId409" display="https://tupiel.darsistemas.com/consulta/36259" xr:uid="{7EA2A56F-F661-477B-B694-9337BEBBB954}"/>
    <hyperlink ref="B206" r:id="rId410" display="https://tupiel.darsistemas.com/consulta_cups/costos?id=26194" xr:uid="{DA6EB555-3659-4953-9F34-22606C506BD2}"/>
    <hyperlink ref="A207" r:id="rId411" display="https://tupiel.darsistemas.com/consulta/26436" xr:uid="{087F15E5-D59F-4B7D-A5F8-328F1FF0D16E}"/>
    <hyperlink ref="B207" r:id="rId412" display="https://tupiel.darsistemas.com/consulta_cups/costos?id=26043" xr:uid="{2FE6D772-99F4-4613-A207-920F7DAB5555}"/>
    <hyperlink ref="A208" r:id="rId413" display="https://tupiel.darsistemas.com/consulta/35800" xr:uid="{FD02D007-43C9-4B80-985A-C27AB56DA6EF}"/>
    <hyperlink ref="B208" r:id="rId414" display="https://tupiel.darsistemas.com/consulta_cups/costos?id=26196" xr:uid="{3E9C5B17-C113-4062-9B17-5DF2B032F110}"/>
    <hyperlink ref="A209" r:id="rId415" display="https://tupiel.darsistemas.com/consulta/35801" xr:uid="{C5AA340C-1D84-48FB-8887-7CF644E44CF0}"/>
    <hyperlink ref="B209" r:id="rId416" display="https://tupiel.darsistemas.com/consulta_cups/costos?id=25341" xr:uid="{518A7EFB-BBBC-4225-84FC-31C11A7553F8}"/>
    <hyperlink ref="A210" r:id="rId417" display="https://tupiel.darsistemas.com/consulta/36223" xr:uid="{8301EC54-0DA4-40BE-8B99-E8295F721242}"/>
    <hyperlink ref="B210" r:id="rId418" display="https://tupiel.darsistemas.com/consulta_cups/costos?id=26112" xr:uid="{E496EB1F-C195-41C2-A270-4AB667A9F219}"/>
    <hyperlink ref="A211" r:id="rId419" display="https://tupiel.darsistemas.com/consulta/26276" xr:uid="{CB521DCA-DEA6-4303-B4C9-FE1D89A3D99B}"/>
    <hyperlink ref="B211" r:id="rId420" display="https://tupiel.darsistemas.com/consulta_cups/costos?id=13234" xr:uid="{339B64E5-3644-481B-9BBC-6A083298E8C7}"/>
    <hyperlink ref="A212" r:id="rId421" display="https://tupiel.darsistemas.com/consulta/35671" xr:uid="{49C3ADD6-DB75-4AAC-9398-108AB749CFF4}"/>
    <hyperlink ref="B212" r:id="rId422" display="https://tupiel.darsistemas.com/consulta_cups/costos?id=25111" xr:uid="{694CF8D2-A837-4E8B-AAF7-AF60E20C6B31}"/>
    <hyperlink ref="A213" r:id="rId423" display="https://tupiel.darsistemas.com/consulta/36262" xr:uid="{5FF896AD-44A0-4FE6-9BF8-2515284ADFD9}"/>
    <hyperlink ref="B213" r:id="rId424" display="https://tupiel.darsistemas.com/consulta_cups/costos?id=26199" xr:uid="{84107D08-8ADC-437C-82BC-B0F2A3E18DE0}"/>
    <hyperlink ref="A214" r:id="rId425" display="https://tupiel.darsistemas.com/consulta/36262" xr:uid="{6412E693-3E03-4B93-B28F-6DCCD8E877EC}"/>
    <hyperlink ref="B214" r:id="rId426" display="https://tupiel.darsistemas.com/consulta_cups/costos?id=26200" xr:uid="{D6EFD864-2FFB-473C-830D-FEE9E9F1960C}"/>
    <hyperlink ref="A215" r:id="rId427" display="https://tupiel.darsistemas.com/consulta/34979" xr:uid="{9724666D-5459-4FCB-84B2-02DE042BE922}"/>
    <hyperlink ref="B215" r:id="rId428" display="https://tupiel.darsistemas.com/consulta_cups/costos?id=24032" xr:uid="{FD4AD5E4-417F-4E0B-BD4C-411DC4BD2166}"/>
    <hyperlink ref="A216" r:id="rId429" display="https://tupiel.darsistemas.com/consulta/35815" xr:uid="{C9F327F9-7028-4135-8737-7AE6D3CAA9A0}"/>
    <hyperlink ref="B216" r:id="rId430" display="https://tupiel.darsistemas.com/consulta_cups/costos?id=25373" xr:uid="{A1C3C5D3-9343-4417-A7A8-E3AB129DF2D2}"/>
    <hyperlink ref="A217" r:id="rId431" display="https://tupiel.darsistemas.com/consulta/35762" xr:uid="{650E9A90-9948-4A76-8816-83DB62A1903C}"/>
    <hyperlink ref="B217" r:id="rId432" display="https://tupiel.darsistemas.com/consulta_cups/costos?id=26163" xr:uid="{C5DD53B6-A684-4B9C-87E0-DF799493FBBA}"/>
    <hyperlink ref="A218" r:id="rId433" display="https://tupiel.darsistemas.com/consulta/36058" xr:uid="{02E3CE49-572C-4CCE-924A-15F047BFA94C}"/>
    <hyperlink ref="B218" r:id="rId434" display="https://tupiel.darsistemas.com/consulta_cups/costos?id=25840" xr:uid="{CC98FA60-B07D-4EF8-BA8D-E31206614DC0}"/>
    <hyperlink ref="A219" r:id="rId435" display="https://tupiel.darsistemas.com/consulta/33482" xr:uid="{F2622175-56E2-4995-B599-C1310666F8F5}"/>
    <hyperlink ref="B219" r:id="rId436" display="https://tupiel.darsistemas.com/consulta_cups/costos?id=25900" xr:uid="{8F01292D-CF41-4341-B907-C65D567B0B9A}"/>
    <hyperlink ref="A220" r:id="rId437" display="https://tupiel.darsistemas.com/consulta/36142" xr:uid="{4C59DC29-748A-48B7-BA7A-81E64F039576}"/>
    <hyperlink ref="B220" r:id="rId438" display="https://tupiel.darsistemas.com/consulta_cups/costos?id=25959" xr:uid="{18F2E72C-023D-46AB-8147-0C2404C37AE9}"/>
    <hyperlink ref="A221" r:id="rId439" display="https://tupiel.darsistemas.com/consulta/29068" xr:uid="{76AB1E4F-77E9-44D3-9E3C-29874B4ECBD0}"/>
    <hyperlink ref="B221" r:id="rId440" display="https://tupiel.darsistemas.com/consulta_cups/costos?id=23769" xr:uid="{C35CF49A-BF08-4E33-A8E8-4BFD72BC71DC}"/>
    <hyperlink ref="A222" r:id="rId441" display="https://tupiel.darsistemas.com/consulta/23121" xr:uid="{C14AEBAE-6938-4703-896F-3D11181DE761}"/>
    <hyperlink ref="B222" r:id="rId442" display="https://tupiel.darsistemas.com/consulta_cups/costos?id=22199" xr:uid="{8BAA5C70-1341-4556-B46E-D0B468CBE819}"/>
    <hyperlink ref="A223" r:id="rId443" display="https://tupiel.darsistemas.com/consulta/26436" xr:uid="{904548AE-43D6-4D0A-AB04-8B98C2D1AFCA}"/>
    <hyperlink ref="B223" r:id="rId444" display="https://tupiel.darsistemas.com/consulta_cups/costos?id=26045" xr:uid="{4A764320-05FC-4FD6-BA34-8DD0BA7F67A9}"/>
    <hyperlink ref="A224" r:id="rId445" display="https://tupiel.darsistemas.com/consulta/35021" xr:uid="{FD0D7C26-D304-4897-A34A-C471AAA64505}"/>
    <hyperlink ref="B224" r:id="rId446" display="https://tupiel.darsistemas.com/consulta_cups/costos?id=24088" xr:uid="{35590884-EC94-4F15-A588-75B5CEFB8D30}"/>
    <hyperlink ref="A225" r:id="rId447" display="https://tupiel.darsistemas.com/consulta/35021" xr:uid="{65FF4721-DC8D-47BA-B8E5-22F05C281F9A}"/>
    <hyperlink ref="B225" r:id="rId448" display="https://tupiel.darsistemas.com/consulta_cups/costos?id=24089" xr:uid="{561F7C63-7F22-4F60-A779-DF74557F877F}"/>
    <hyperlink ref="A226" r:id="rId449" display="https://tupiel.darsistemas.com/consulta/35225" xr:uid="{177631F6-2A18-4773-B4B7-516E36118BF6}"/>
    <hyperlink ref="B226" r:id="rId450" display="https://tupiel.darsistemas.com/consulta_cups/costos?id=24390" xr:uid="{447BDBBF-B9F8-4F4D-9436-BFFB91B0A00C}"/>
    <hyperlink ref="A227" r:id="rId451" display="https://tupiel.darsistemas.com/consulta/33509" xr:uid="{E8BC0100-048A-4B42-8610-69BC54E0FE62}"/>
    <hyperlink ref="B227" r:id="rId452" display="https://tupiel.darsistemas.com/consulta_cups/costos?id=21839" xr:uid="{93C62690-4CC7-49F3-87BE-2D09E8F6E831}"/>
    <hyperlink ref="A228" r:id="rId453" display="https://tupiel.darsistemas.com/consulta/35191" xr:uid="{9789D3CC-F291-4EBE-A007-378F92F67EF6}"/>
    <hyperlink ref="B228" r:id="rId454" display="https://tupiel.darsistemas.com/consulta_cups/costos?id=24339" xr:uid="{9AA08A11-FBD6-4387-A673-8A89EA6DAB6B}"/>
    <hyperlink ref="A229" r:id="rId455" display="https://tupiel.darsistemas.com/consulta/35805" xr:uid="{77AD4B64-9D25-4A0A-A86A-48E4B6326886}"/>
    <hyperlink ref="B229" r:id="rId456" display="https://tupiel.darsistemas.com/consulta_cups/costos?id=25351" xr:uid="{60D59A4D-BA4C-4985-B5CA-4E29B311D312}"/>
    <hyperlink ref="A230" r:id="rId457" display="https://tupiel.darsistemas.com/consulta/35815" xr:uid="{2D2B4A9E-CE0B-4C8D-AE64-418FAEFCE071}"/>
    <hyperlink ref="B230" r:id="rId458" display="https://tupiel.darsistemas.com/consulta_cups/costos?id=26197" xr:uid="{B00ACE49-E26B-41A7-B6F2-31C3039E258C}"/>
    <hyperlink ref="A231" r:id="rId459" display="https://tupiel.darsistemas.com/consulta/34425" xr:uid="{361FE2F0-9FD5-4B5A-AD5D-A4123520B74F}"/>
    <hyperlink ref="B231" r:id="rId460" display="https://tupiel.darsistemas.com/consulta_cups/costos?id=20802" xr:uid="{680D4EC8-CFC5-4478-BC98-93BF5D8ED4C5}"/>
    <hyperlink ref="A232" r:id="rId461" display="https://tupiel.darsistemas.com/consulta/34425" xr:uid="{3E9F2BD5-5846-4AA5-A2A6-EB93F2581BBC}"/>
    <hyperlink ref="B232" r:id="rId462" display="https://tupiel.darsistemas.com/consulta_cups/costos?id=23595" xr:uid="{F2038539-E3F8-453C-B68A-1A8224D322AB}"/>
    <hyperlink ref="A233" r:id="rId463" display="https://tupiel.darsistemas.com/consulta/35969" xr:uid="{C49C8F32-B646-4477-B58F-6958DC41BD41}"/>
    <hyperlink ref="B233" r:id="rId464" display="https://tupiel.darsistemas.com/consulta_cups/costos?id=25660" xr:uid="{5302A8DE-BAC3-4ECF-90F1-81BA430E9B5C}"/>
    <hyperlink ref="A234" r:id="rId465" display="https://tupiel.darsistemas.com/consulta/33012" xr:uid="{50FA9FAA-BADD-4ED7-BBC3-DF40087C9CFC}"/>
    <hyperlink ref="B234" r:id="rId466" display="https://tupiel.darsistemas.com/consulta_cups/costos?id=21003" xr:uid="{E8FBF92F-479E-4ED5-A95C-73F2DC683144}"/>
    <hyperlink ref="A235" r:id="rId467" display="https://tupiel.darsistemas.com/consulta/36268" xr:uid="{4D173344-753C-423E-80B7-10A6CDFAB22E}"/>
    <hyperlink ref="B235" r:id="rId468" display="https://tupiel.darsistemas.com/consulta_cups/costos?id=26212" xr:uid="{F3249E74-ACD8-4478-A109-69B40EC0736A}"/>
    <hyperlink ref="A236" r:id="rId469" display="https://tupiel.darsistemas.com/consulta/35776" xr:uid="{AE37CE91-AB86-4D09-B9FB-36BA08F7D6D3}"/>
    <hyperlink ref="B236" r:id="rId470" display="https://tupiel.darsistemas.com/consulta_cups/costos?id=25302" xr:uid="{4780307C-EB30-40E6-97CC-430D2C86B0F5}"/>
    <hyperlink ref="A237" r:id="rId471" display="https://tupiel.darsistemas.com/consulta/34841" xr:uid="{8E3DB689-5EA5-4059-A03B-4AF3A52054FB}"/>
    <hyperlink ref="B237" r:id="rId472" display="https://tupiel.darsistemas.com/consulta_cups/costos?id=23836" xr:uid="{4B9528A7-AE32-41EE-9524-5D84127B53FB}"/>
    <hyperlink ref="A238" r:id="rId473" display="https://tupiel.darsistemas.com/consulta/35942" xr:uid="{2661B141-1EB6-420D-A923-00A667D13062}"/>
    <hyperlink ref="B238" r:id="rId474" display="https://tupiel.darsistemas.com/consulta_cups/costos?id=25598" xr:uid="{C25CC7FD-53E5-4A0D-8E69-1A3D25E44552}"/>
    <hyperlink ref="A239" r:id="rId475" display="https://tupiel.darsistemas.com/consulta/34653" xr:uid="{49895342-A98A-4058-9C56-2D584B61B4BB}"/>
    <hyperlink ref="B239" r:id="rId476" display="https://tupiel.darsistemas.com/consulta_cups/costos?id=24946" xr:uid="{BB01A93B-5AB8-446D-90F0-03592F31F49E}"/>
    <hyperlink ref="A240" r:id="rId477" display="https://tupiel.darsistemas.com/consulta/35505" xr:uid="{BA379DB0-44F6-4397-B12F-7C4D72C96989}"/>
    <hyperlink ref="B240" r:id="rId478" display="https://tupiel.darsistemas.com/consulta_cups/costos?id=25191" xr:uid="{2CDAE072-E793-4160-837D-209EF929D058}"/>
    <hyperlink ref="A241" r:id="rId479" display="https://tupiel.darsistemas.com/consulta/35335" xr:uid="{568C2AE3-EE8D-4FC9-8663-A4CE05A29BC7}"/>
    <hyperlink ref="B241" r:id="rId480" display="https://tupiel.darsistemas.com/consulta_cups/costos?id=24888" xr:uid="{A613A559-0A2D-4C6E-B49F-FD41B19E9AEC}"/>
    <hyperlink ref="A242" r:id="rId481" display="https://tupiel.darsistemas.com/consulta/35335" xr:uid="{47D92B6B-9723-4401-BA04-D40A9F4A41DB}"/>
    <hyperlink ref="B242" r:id="rId482" display="https://tupiel.darsistemas.com/consulta_cups/costos?id=26224" xr:uid="{977C6EC7-345D-4B25-9525-E694C66D70E9}"/>
    <hyperlink ref="A243" r:id="rId483" display="https://tupiel.darsistemas.com/consulta/36274" xr:uid="{62942817-1A80-4AFC-949D-14A3417B8346}"/>
    <hyperlink ref="B243" r:id="rId484" display="https://tupiel.darsistemas.com/consulta_cups/costos?id=26223" xr:uid="{F02C590D-0985-41A4-A196-993F89BCD34B}"/>
    <hyperlink ref="A244" r:id="rId485" display="https://tupiel.darsistemas.com/consulta/36042" xr:uid="{A095D89F-67C1-4FA2-8833-D4B19586F2F9}"/>
    <hyperlink ref="B244" r:id="rId486" display="https://tupiel.darsistemas.com/consulta_cups/costos?id=25804" xr:uid="{ED9F0A1B-B521-4F6D-ACAC-2B2DC75B216A}"/>
    <hyperlink ref="A245" r:id="rId487" display="https://tupiel.darsistemas.com/consulta/36244" xr:uid="{53726718-9CA7-4F00-AC00-709FFA16A6DA}"/>
    <hyperlink ref="B245" r:id="rId488" display="https://tupiel.darsistemas.com/consulta_cups/costos?id=26176" xr:uid="{3B146015-3C80-4A74-B71A-8FCC79376C4B}"/>
    <hyperlink ref="A246" r:id="rId489" display="https://tupiel.darsistemas.com/consulta/36202" xr:uid="{3D3E3E16-E7A6-452D-89AB-66D3A9408884}"/>
    <hyperlink ref="B246" r:id="rId490" display="https://tupiel.darsistemas.com/consulta_cups/costos?id=26071" xr:uid="{D464A931-B129-4220-9726-829302D37B8B}"/>
    <hyperlink ref="A247" r:id="rId491" display="https://tupiel.darsistemas.com/consulta/36187" xr:uid="{4CFEC57F-8060-47DA-B756-30AD91FC054F}"/>
    <hyperlink ref="B247" r:id="rId492" display="https://tupiel.darsistemas.com/consulta_cups/costos?id=26034" xr:uid="{7A29FA5F-0B95-4656-93AB-0AA1F3587556}"/>
    <hyperlink ref="A248" r:id="rId493" display="https://tupiel.darsistemas.com/consulta/36278" xr:uid="{480D80EB-7709-4FB7-85D5-939401284C9A}"/>
    <hyperlink ref="B248" r:id="rId494" display="https://tupiel.darsistemas.com/consulta_cups/costos?id=26230" xr:uid="{4FDA0630-7AC6-43DE-BFCB-BFD4A8024C9B}"/>
    <hyperlink ref="A249" r:id="rId495" display="https://tupiel.darsistemas.com/consulta/36279" xr:uid="{EFA2391A-3894-4FAE-BFA6-91131E8C00A9}"/>
    <hyperlink ref="B249" r:id="rId496" display="https://tupiel.darsistemas.com/consulta_cups/costos?id=26231" xr:uid="{3B20ED55-DA35-4D8A-AF5B-3F51022B6651}"/>
    <hyperlink ref="A250" r:id="rId497" display="https://tupiel.darsistemas.com/consulta/36193" xr:uid="{ABFD1039-B463-4DC9-B179-4035A82640A8}"/>
    <hyperlink ref="B250" r:id="rId498" display="https://tupiel.darsistemas.com/consulta_cups/costos?id=26049" xr:uid="{95FF653E-7C12-4AD6-8335-37171F46BCC1}"/>
    <hyperlink ref="A251" r:id="rId499" display="https://tupiel.darsistemas.com/consulta/36109" xr:uid="{20BA0F99-E20E-4BCE-95E9-CA7E2ADD8F4F}"/>
    <hyperlink ref="B251" r:id="rId500" display="https://tupiel.darsistemas.com/consulta_cups/costos?id=25902" xr:uid="{000A947A-A22B-46CD-AAF5-06616FDC6983}"/>
    <hyperlink ref="A252" r:id="rId501" display="https://tupiel.darsistemas.com/consulta/31054" xr:uid="{054858E6-BF9C-4A2A-95C6-AEAA6A670501}"/>
    <hyperlink ref="B252" r:id="rId502" display="https://tupiel.darsistemas.com/consulta_cups/costos?id=25007" xr:uid="{A1A88453-94CA-4328-A5A2-F679370CCA81}"/>
    <hyperlink ref="A253" r:id="rId503" display="https://tupiel.darsistemas.com/consulta/35602" xr:uid="{CDD398BF-2314-4648-9887-99A957724308}"/>
    <hyperlink ref="B253" r:id="rId504" display="https://tupiel.darsistemas.com/consulta_cups/costos?id=24984" xr:uid="{725F7D14-9DB7-4F08-9AAC-6AB445D84023}"/>
    <hyperlink ref="A254" r:id="rId505" display="https://tupiel.darsistemas.com/consulta/35802" xr:uid="{0272D031-49B9-492C-A991-6781717DC10E}"/>
    <hyperlink ref="B254" r:id="rId506" display="https://tupiel.darsistemas.com/consulta_cups/costos?id=25343" xr:uid="{FE004848-B700-4346-BF52-208959121E18}"/>
    <hyperlink ref="A255" r:id="rId507" display="https://tupiel.darsistemas.com/consulta/36125" xr:uid="{9369B20F-9E41-42CF-BC53-5543CF31D15F}"/>
    <hyperlink ref="B255" r:id="rId508" display="https://tupiel.darsistemas.com/consulta_cups/costos?id=25920" xr:uid="{714EC7A5-03A4-49D9-BCBF-1A8332545773}"/>
    <hyperlink ref="A256" r:id="rId509" display="https://tupiel.darsistemas.com/consulta/36104" xr:uid="{1AE9DF75-5953-4581-A3AB-B656D89F8615}"/>
    <hyperlink ref="B256" r:id="rId510" display="https://tupiel.darsistemas.com/consulta_cups/costos?id=26235" xr:uid="{CF83EDFC-9511-49FF-9151-474CB9BA5A3F}"/>
    <hyperlink ref="A257" r:id="rId511" display="https://tupiel.darsistemas.com/consulta/36135" xr:uid="{3477E298-67D3-41CB-894A-7E65F2765E88}"/>
    <hyperlink ref="B257" r:id="rId512" display="https://tupiel.darsistemas.com/consulta_cups/costos?id=25936" xr:uid="{2ABCFBDB-D70F-4D08-854A-9D73FA0A6386}"/>
    <hyperlink ref="A258" r:id="rId513" display="https://tupiel.darsistemas.com/consulta/34049" xr:uid="{56EC16FF-EB2A-4C00-8999-73B369F007BE}"/>
    <hyperlink ref="B258" r:id="rId514" display="https://tupiel.darsistemas.com/consulta_cups/costos?id=24590" xr:uid="{67D1A9DC-BA63-4BB0-9A5E-8839C785CC18}"/>
    <hyperlink ref="A259" r:id="rId515" display="https://tupiel.darsistemas.com/consulta/34049" xr:uid="{E67B65A3-6BAD-4ABD-993F-AD7300D3230C}"/>
    <hyperlink ref="B259" r:id="rId516" display="https://tupiel.darsistemas.com/consulta_cups/costos?id=24591" xr:uid="{B66AFE3C-5C1E-4DB8-972C-71C90607A756}"/>
    <hyperlink ref="A260" r:id="rId517" display="https://tupiel.darsistemas.com/consulta/36131" xr:uid="{2C4A562A-450E-4261-80EB-91E13B89DB73}"/>
    <hyperlink ref="B260" r:id="rId518" display="https://tupiel.darsistemas.com/consulta_cups/costos?id=25932" xr:uid="{5C144397-3E72-4DEA-B2CA-516077DED071}"/>
    <hyperlink ref="A261" r:id="rId519" display="https://tupiel.darsistemas.com/consulta/36253" xr:uid="{3ACD1EEB-3DFD-4072-8C82-D9BA99035973}"/>
    <hyperlink ref="B261" r:id="rId520" display="https://tupiel.darsistemas.com/consulta_cups/costos?id=26187" xr:uid="{87B39D87-767E-4C60-BA47-C861470E80BA}"/>
    <hyperlink ref="A262" r:id="rId521" display="https://tupiel.darsistemas.com/consulta/35302" xr:uid="{7CD5E4B5-20B8-4F45-B662-30DDC9FF39B7}"/>
    <hyperlink ref="B262" r:id="rId522" display="https://tupiel.darsistemas.com/consulta_cups/costos?id=24514" xr:uid="{1D3768E9-04E8-4A91-B3F5-1AC773BCBB0F}"/>
    <hyperlink ref="A263" r:id="rId523" display="https://tupiel.darsistemas.com/consulta/36240" xr:uid="{A9775FCB-1D6C-4B91-B4BB-E16B65D0AD8D}"/>
    <hyperlink ref="B263" r:id="rId524" display="https://tupiel.darsistemas.com/consulta_cups/costos?id=26170" xr:uid="{82A10D8F-9CAA-482E-9893-67986C3A5260}"/>
    <hyperlink ref="A264" r:id="rId525" display="https://tupiel.darsistemas.com/consulta/36240" xr:uid="{775E448E-D6EC-4EFC-9640-5C2D3646F585}"/>
    <hyperlink ref="B264" r:id="rId526" display="https://tupiel.darsistemas.com/consulta_cups/costos?id=26171" xr:uid="{86CD2AEB-6FBB-4BF9-8060-19948558CA1A}"/>
    <hyperlink ref="A265" r:id="rId527" display="https://tupiel.darsistemas.com/consulta/34602" xr:uid="{8D8EE292-7F58-47E5-A954-1381D0D9E033}"/>
    <hyperlink ref="B265" r:id="rId528" display="https://tupiel.darsistemas.com/consulta_cups/costos?id=26254" xr:uid="{EB0AC14D-C328-4F02-82F3-517025F94C91}"/>
    <hyperlink ref="A266" r:id="rId529" display="https://tupiel.darsistemas.com/consulta/36239" xr:uid="{2F06E0D0-6C4E-4369-98C6-B0E3DBB6D22B}"/>
    <hyperlink ref="B266" r:id="rId530" display="https://tupiel.darsistemas.com/consulta_cups/costos?id=26167" xr:uid="{C8269332-51A6-4383-A8AF-32CD54C47442}"/>
    <hyperlink ref="A267" r:id="rId531" display="https://tupiel.darsistemas.com/consulta/33747" xr:uid="{DB9E76F8-BB26-4A38-9333-EED5B869F544}"/>
    <hyperlink ref="B267" r:id="rId532" display="https://tupiel.darsistemas.com/consulta_cups/costos?id=22322" xr:uid="{2068108E-61C2-4141-9892-50C0ECFD6E9A}"/>
    <hyperlink ref="A268" r:id="rId533" display="https://tupiel.darsistemas.com/consulta/36285" xr:uid="{649E312F-B511-41C0-BA06-24C29234FCEA}"/>
    <hyperlink ref="B268" r:id="rId534" display="https://tupiel.darsistemas.com/consulta_cups/costos?id=26242" xr:uid="{D265E712-5430-4D37-9992-C9418E49B96F}"/>
    <hyperlink ref="A269" r:id="rId535" display="https://tupiel.darsistemas.com/consulta/27956" xr:uid="{652E5E74-6AEE-47CB-AF0E-EA9D54F17092}"/>
    <hyperlink ref="B269" r:id="rId536" display="https://tupiel.darsistemas.com/consulta_cups/costos?id=24136" xr:uid="{05C38B4E-FC32-41A7-BF4B-34DC00A58BDF}"/>
    <hyperlink ref="A270" r:id="rId537" display="https://tupiel.darsistemas.com/consulta/34464" xr:uid="{F3ED7EA9-9FA0-4054-B884-E8D8B68C206F}"/>
    <hyperlink ref="B270" r:id="rId538" display="https://tupiel.darsistemas.com/consulta_cups/costos?id=25437" xr:uid="{9C6858A2-14EC-4B6F-816F-3EE1ECEBF0E7}"/>
    <hyperlink ref="A271" r:id="rId539" display="https://tupiel.darsistemas.com/consulta/36280" xr:uid="{E824E831-FBEF-41E9-ADDB-728423499D39}"/>
    <hyperlink ref="B271" r:id="rId540" display="https://tupiel.darsistemas.com/consulta_cups/costos?id=26236" xr:uid="{345C4E74-9262-49AC-9FED-508F49293FD4}"/>
    <hyperlink ref="A272" r:id="rId541" display="https://tupiel.darsistemas.com/consulta/36267" xr:uid="{DD9ECE53-0091-4D43-86BD-B548634D9D92}"/>
    <hyperlink ref="B272" r:id="rId542" display="https://tupiel.darsistemas.com/consulta_cups/costos?id=26211" xr:uid="{605DBCFF-E09A-425F-832F-4AA8561A86A9}"/>
    <hyperlink ref="A273" r:id="rId543" display="https://tupiel.darsistemas.com/consulta/35288" xr:uid="{DA8971D9-7393-4EA1-9369-479A8392A5DA}"/>
    <hyperlink ref="B273" r:id="rId544" display="https://tupiel.darsistemas.com/consulta_cups/costos?id=24491" xr:uid="{5E2300B3-4B4C-4548-9A74-606021788E72}"/>
    <hyperlink ref="A274" r:id="rId545" display="https://tupiel.darsistemas.com/consulta/35789" xr:uid="{D8F211F4-9BB2-4DE9-873F-504C454840D2}"/>
    <hyperlink ref="B274" r:id="rId546" display="https://tupiel.darsistemas.com/consulta_cups/costos?id=25321" xr:uid="{26B971A3-CD40-40D9-9021-1932441F6116}"/>
    <hyperlink ref="A275" r:id="rId547" display="https://tupiel.darsistemas.com/consulta/36242" xr:uid="{9098FBC3-75F9-4227-958A-30B41BE0DD78}"/>
    <hyperlink ref="B275" r:id="rId548" display="https://tupiel.darsistemas.com/consulta_cups/costos?id=26174" xr:uid="{91EC9E95-32CB-48E5-9F2D-D6EC0795F983}"/>
    <hyperlink ref="A276" r:id="rId549" display="https://tupiel.darsistemas.com/consulta/33257" xr:uid="{B3D92854-C56B-4C4C-A1EB-956D6C8D29E0}"/>
    <hyperlink ref="B276" r:id="rId550" display="https://tupiel.darsistemas.com/consulta_cups/costos?id=22430" xr:uid="{EC1D57C9-C11A-4754-B7D0-66342CA75C66}"/>
    <hyperlink ref="A277" r:id="rId551" display="https://tupiel.darsistemas.com/consulta/35850" xr:uid="{DD568477-7C35-4C85-9A3B-2F899B5AE7D8}"/>
    <hyperlink ref="B277" r:id="rId552" display="https://tupiel.darsistemas.com/consulta_cups/costos?id=25449" xr:uid="{3891825D-AAAB-4304-8278-C664A18E750A}"/>
    <hyperlink ref="A278" r:id="rId553" display="https://tupiel.darsistemas.com/consulta/35722" xr:uid="{FCFDFB9D-6684-4654-ADE2-5B9364B1102E}"/>
    <hyperlink ref="B278" r:id="rId554" display="https://tupiel.darsistemas.com/consulta_cups/costos?id=26268" xr:uid="{AEC13B4E-84A2-4226-B099-3D1FC7FA0CEE}"/>
    <hyperlink ref="A279" r:id="rId555" display="https://tupiel.darsistemas.com/consulta/24565" xr:uid="{64EE450E-0D97-4CDE-9A15-42CA094BCE8F}"/>
    <hyperlink ref="B279" r:id="rId556" display="https://tupiel.darsistemas.com/consulta_cups/costos?id=12933" xr:uid="{15D5D45B-16F9-42B9-A505-D8CA51F761B6}"/>
    <hyperlink ref="A280" r:id="rId557" display="https://tupiel.darsistemas.com/consulta/36192" xr:uid="{3F70EDEC-B29C-48A9-8F31-F9202449D893}"/>
    <hyperlink ref="B280" r:id="rId558" display="https://tupiel.darsistemas.com/consulta_cups/costos?id=26048" xr:uid="{649C8E75-3248-4DB4-970F-1BE60D234056}"/>
    <hyperlink ref="A281" r:id="rId559" display="https://tupiel.darsistemas.com/consulta/23794" xr:uid="{291CD314-DDF4-44F4-A844-377704123C16}"/>
    <hyperlink ref="B281" r:id="rId560" display="https://tupiel.darsistemas.com/consulta_cups/costos?id=25133" xr:uid="{23C2E00E-1E51-4CB8-B0AF-C79DCBB39723}"/>
    <hyperlink ref="A282" r:id="rId561" display="https://tupiel.darsistemas.com/consulta/36247" xr:uid="{B22DD015-A9B9-4BBA-9044-3A60DCE0929F}"/>
    <hyperlink ref="B282" r:id="rId562" display="https://tupiel.darsistemas.com/consulta_cups/costos?id=26179" xr:uid="{0DC6F1DD-1B4E-4679-BF1F-8C742A051823}"/>
    <hyperlink ref="A283" r:id="rId563" display="https://tupiel.darsistemas.com/consulta/36311" xr:uid="{5474B3AA-D31D-486F-A931-0F4E8DE69BAB}"/>
    <hyperlink ref="B283" r:id="rId564" display="https://tupiel.darsistemas.com/consulta_cups/costos?id=26286" xr:uid="{31725F46-33F3-45EE-A495-1DCDB500164C}"/>
    <hyperlink ref="A284" r:id="rId565" display="https://tupiel.darsistemas.com/consulta/36252" xr:uid="{60D9ACA9-7ACD-47AF-B0EA-702DDC12AB5A}"/>
    <hyperlink ref="B284" r:id="rId566" display="https://tupiel.darsistemas.com/consulta_cups/costos?id=26186" xr:uid="{241CAF57-0ABD-4769-B4EE-1271EC3E55AB}"/>
    <hyperlink ref="A285" r:id="rId567" display="https://tupiel.darsistemas.com/consulta/36320" xr:uid="{4720D6AD-A432-4DD2-9F8F-1FBBDBB7B4C6}"/>
    <hyperlink ref="B285" r:id="rId568" display="https://tupiel.darsistemas.com/consulta_cups/costos?id=26298" xr:uid="{77494027-823B-42B5-A2D7-FF5C6CC7062D}"/>
    <hyperlink ref="A286" r:id="rId569" display="https://tupiel.darsistemas.com/consulta/34074" xr:uid="{5243582F-5D5C-4B71-8827-CB8869DC9E63}"/>
    <hyperlink ref="B286" r:id="rId570" display="https://tupiel.darsistemas.com/consulta_cups/costos?id=22690" xr:uid="{8AAF97B9-D987-41F0-8C66-6ECF42D0A112}"/>
    <hyperlink ref="A287" r:id="rId571" display="https://tupiel.darsistemas.com/consulta/34074" xr:uid="{2064B232-2BC2-49BC-843A-04544BDBD232}"/>
    <hyperlink ref="B287" r:id="rId572" display="https://tupiel.darsistemas.com/consulta_cups/costos?id=22691" xr:uid="{0B99795B-BA0D-40C2-B8D4-5A56F9E08F24}"/>
    <hyperlink ref="A288" r:id="rId573" display="https://tupiel.darsistemas.com/consulta/28837" xr:uid="{8E11D440-EFA8-4E03-BF09-B6086D40137E}"/>
    <hyperlink ref="B288" r:id="rId574" display="https://tupiel.darsistemas.com/consulta_cups/costos?id=26272" xr:uid="{605D422B-621C-49DE-A2DB-840064D3D4E2}"/>
    <hyperlink ref="A289" r:id="rId575" display="https://tupiel.darsistemas.com/consulta/32917" xr:uid="{8422D0BF-530E-459A-BA91-29D27189CB13}"/>
    <hyperlink ref="B289" r:id="rId576" display="https://tupiel.darsistemas.com/consulta_cups/costos?id=24999" xr:uid="{9E152704-8A21-4A43-A4B3-79F1A3EE48D7}"/>
    <hyperlink ref="A290" r:id="rId577" display="https://tupiel.darsistemas.com/consulta/32184" xr:uid="{50181EDB-79FF-4BBA-8A51-90923702EDD9}"/>
    <hyperlink ref="B290" r:id="rId578" display="https://tupiel.darsistemas.com/consulta_cups/costos?id=25000" xr:uid="{66841BDB-F851-48B3-8F5E-16EBCB016A40}"/>
    <hyperlink ref="A291" r:id="rId579" display="https://tupiel.darsistemas.com/consulta/32917" xr:uid="{F47B4B23-13F5-4FE6-9627-4D0A958F9D0C}"/>
    <hyperlink ref="B291" r:id="rId580" display="https://tupiel.darsistemas.com/consulta_cups/costos?id=26243" xr:uid="{533E616D-0ABF-47A9-969B-AF815BE243B6}"/>
    <hyperlink ref="A292" r:id="rId581" display="https://tupiel.darsistemas.com/consulta/32184" xr:uid="{5172AD32-2406-4663-8C21-1071FA24110B}"/>
    <hyperlink ref="B292" r:id="rId582" display="https://tupiel.darsistemas.com/consulta_cups/costos?id=26244" xr:uid="{4A279C92-E772-4BD1-89E8-13460063B0AE}"/>
    <hyperlink ref="A293" r:id="rId583" display="https://tupiel.darsistemas.com/consulta/36272" xr:uid="{58F241B1-5553-4725-9F94-746ECED20DB5}"/>
    <hyperlink ref="B293" r:id="rId584" display="https://tupiel.darsistemas.com/consulta_cups/costos?id=26218" xr:uid="{0563524D-EFBA-4D94-8499-7B9AD8C16DB6}"/>
    <hyperlink ref="A294" r:id="rId585" display="https://tupiel.darsistemas.com/consulta/36195" xr:uid="{A8369094-E5ED-4111-804C-DE06C8DD0E8F}"/>
    <hyperlink ref="B294" r:id="rId586" display="https://tupiel.darsistemas.com/consulta_cups/costos?id=26057" xr:uid="{3E09D7A6-A3BA-4D0F-BFFD-93D1E7016BC5}"/>
    <hyperlink ref="A295" r:id="rId587" display="https://tupiel.darsistemas.com/consulta/34074" xr:uid="{72C849DC-A482-4161-B7D9-4131B8516D46}"/>
    <hyperlink ref="B295" r:id="rId588" display="https://tupiel.darsistemas.com/consulta_cups/costos?id=22689" xr:uid="{42A98A1C-271E-477E-8CEB-121C9907A348}"/>
    <hyperlink ref="A296" r:id="rId589" display="https://tupiel.darsistemas.com/consulta/27946" xr:uid="{17C8620C-3199-4A60-925A-1CADD49EC592}"/>
    <hyperlink ref="B296" r:id="rId590" display="https://tupiel.darsistemas.com/consulta_cups/costos?id=26228" xr:uid="{AE45FDC0-AE54-4180-B188-9FCD6DDF0C4A}"/>
    <hyperlink ref="A297" r:id="rId591" display="https://tupiel.darsistemas.com/consulta/36170" xr:uid="{0F5DC51B-C6C8-418D-8868-1DA44916722E}"/>
    <hyperlink ref="B297" r:id="rId592" display="https://tupiel.darsistemas.com/consulta_cups/costos?id=26006" xr:uid="{C55FFEF6-D55C-4F95-A683-AC1628094F20}"/>
    <hyperlink ref="A298" r:id="rId593" display="https://tupiel.darsistemas.com/consulta/36147" xr:uid="{1A724A7D-FF7B-4F89-AF93-14C85FF6D985}"/>
    <hyperlink ref="B298" r:id="rId594" display="https://tupiel.darsistemas.com/consulta_cups/costos?id=25966" xr:uid="{73E59901-D0D2-4D42-983C-3C4EE1A3C4DD}"/>
    <hyperlink ref="A299" r:id="rId595" display="https://tupiel.darsistemas.com/consulta/35872" xr:uid="{75D7B1BA-E474-4C00-B2E3-01788D1E5AA5}"/>
    <hyperlink ref="B299" r:id="rId596" display="https://tupiel.darsistemas.com/consulta_cups/costos?id=25484" xr:uid="{F6C3028B-A51F-4714-9906-E4055CD30F0B}"/>
    <hyperlink ref="A300" r:id="rId597" display="https://tupiel.darsistemas.com/consulta/36328" xr:uid="{DF2F5158-FA3B-42CE-847D-6D7257858A25}"/>
    <hyperlink ref="B300" r:id="rId598" display="https://tupiel.darsistemas.com/consulta_cups/costos?id=26311" xr:uid="{9CABEF61-49C0-48CD-9CB3-CFA404A73FD8}"/>
    <hyperlink ref="A301" r:id="rId599" display="https://tupiel.darsistemas.com/consulta/36318" xr:uid="{113EB6B3-B078-4B14-A178-68C0B22EFA32}"/>
    <hyperlink ref="B301" r:id="rId600" display="https://tupiel.darsistemas.com/consulta_cups/costos?id=26293" xr:uid="{94E96B6E-213B-4E11-A94C-B9CAD2B47488}"/>
    <hyperlink ref="A302" r:id="rId601" display="https://tupiel.darsistemas.com/consulta/36151" xr:uid="{CA4A0A6A-19DD-49E9-A844-9D35587EBA0D}"/>
    <hyperlink ref="B302" r:id="rId602" display="https://tupiel.darsistemas.com/consulta_cups/costos?id=25972" xr:uid="{DA80351F-A282-4166-B1F5-88BA9CC7F76C}"/>
    <hyperlink ref="A303" r:id="rId603" display="https://tupiel.darsistemas.com/consulta/36335" xr:uid="{29D07101-476D-4CA0-A7D8-FD96E9652AF9}"/>
    <hyperlink ref="B303" r:id="rId604" display="https://tupiel.darsistemas.com/consulta_cups/costos?id=26327" xr:uid="{63445B06-D036-4F60-9077-15D79F5ADDF0}"/>
    <hyperlink ref="A304" r:id="rId605" display="https://tupiel.darsistemas.com/consulta/36324" xr:uid="{13B89720-0B57-465B-8575-42002D268C25}"/>
    <hyperlink ref="B304" r:id="rId606" display="https://tupiel.darsistemas.com/consulta_cups/costos?id=26304" xr:uid="{B3136A42-0DFD-4528-BC7C-03AEC6363F3A}"/>
    <hyperlink ref="A305" r:id="rId607" display="https://tupiel.darsistemas.com/consulta/35333" xr:uid="{12A7CA7B-25D8-487F-859C-7AE373A58077}"/>
    <hyperlink ref="B305" r:id="rId608" display="https://tupiel.darsistemas.com/consulta_cups/costos?id=24556" xr:uid="{E3F1896F-EC58-48D7-81A2-455EB71B19E2}"/>
    <hyperlink ref="A306" r:id="rId609" display="https://tupiel.darsistemas.com/consulta/35163" xr:uid="{6921FA78-1041-468B-A352-656D8B428B4F}"/>
    <hyperlink ref="B306" r:id="rId610" display="https://tupiel.darsistemas.com/consulta_cups/costos?id=24290" xr:uid="{ACEEFD15-EF32-4E5C-9325-B74768E73ECC}"/>
    <hyperlink ref="A307" r:id="rId611" display="https://tupiel.darsistemas.com/consulta/34580" xr:uid="{4139A46C-35ED-4D7F-A6E4-F6C30B48715C}"/>
    <hyperlink ref="B307" r:id="rId612" display="https://tupiel.darsistemas.com/consulta_cups/costos?id=23447" xr:uid="{31CB8966-DA46-44C5-946B-DE24F44357CF}"/>
    <hyperlink ref="A308" r:id="rId613" display="https://tupiel.darsistemas.com/consulta/34580" xr:uid="{651016DF-052A-4EA6-B971-F3A2AA111CAA}"/>
    <hyperlink ref="B308" r:id="rId614" display="https://tupiel.darsistemas.com/consulta_cups/costos?id=26316" xr:uid="{992A4AD0-1740-459A-9CF5-E4FF963BCC48}"/>
    <hyperlink ref="A309" r:id="rId615" display="https://tupiel.darsistemas.com/consulta/36265" xr:uid="{F9B0D7A7-2106-4EDA-85C9-C290BDC579CB}"/>
    <hyperlink ref="B309" r:id="rId616" display="https://tupiel.darsistemas.com/consulta_cups/costos?id=26205" xr:uid="{A0524AD4-00F4-43B4-B770-8CC95C7F5362}"/>
    <hyperlink ref="A310" r:id="rId617" display="https://tupiel.darsistemas.com/consulta/36330" xr:uid="{86F0A11F-AF01-4FD7-9A92-0B8BF040827A}"/>
    <hyperlink ref="B310" r:id="rId618" display="https://tupiel.darsistemas.com/consulta_cups/costos?id=26318" xr:uid="{5A9E6110-AA09-4688-8A63-2333C4DB18C4}"/>
    <hyperlink ref="A311" r:id="rId619" display="https://tupiel.darsistemas.com/consulta/36137" xr:uid="{769B6C3D-389D-4E5E-BA67-8B7DA85C37DC}"/>
    <hyperlink ref="B311" r:id="rId620" display="https://tupiel.darsistemas.com/consulta_cups/costos?id=25941" xr:uid="{4BB79636-7C1C-425A-910C-5C02BED0EA80}"/>
    <hyperlink ref="A312" r:id="rId621" display="https://tupiel.darsistemas.com/consulta/36326" xr:uid="{0FAD02AA-8D9D-44B4-A9D8-0984DBAA92AE}"/>
    <hyperlink ref="B312" r:id="rId622" display="https://tupiel.darsistemas.com/consulta_cups/costos?id=26309" xr:uid="{3CE61F3A-7A06-4B1F-A729-316B3628BA1A}"/>
    <hyperlink ref="A313" r:id="rId623" display="https://tupiel.darsistemas.com/consulta/35306" xr:uid="{724C94D1-FD98-4B6E-8FB6-4E5FD34E9A0E}"/>
    <hyperlink ref="B313" r:id="rId624" display="https://tupiel.darsistemas.com/consulta_cups/costos?id=24522" xr:uid="{D9AE1774-15A3-45ED-8C7B-0C330A28DEB2}"/>
    <hyperlink ref="A314" r:id="rId625" display="https://tupiel.darsistemas.com/consulta/36336" xr:uid="{6709B7C1-B47C-4B58-BC4C-CF3A25C501A2}"/>
    <hyperlink ref="B314" r:id="rId626" display="https://tupiel.darsistemas.com/consulta_cups/costos?id=26328" xr:uid="{3A69FD3E-4AE3-4B9D-AB41-AFF6A2067253}"/>
    <hyperlink ref="A315" r:id="rId627" display="https://tupiel.darsistemas.com/consulta/36343" xr:uid="{EFFE5389-DF44-461A-8090-D536650D3712}"/>
    <hyperlink ref="B315" r:id="rId628" display="https://tupiel.darsistemas.com/consulta_cups/costos?id=26346" xr:uid="{0FD241A7-6FE4-482C-A86A-05A590743B2F}"/>
    <hyperlink ref="A316" r:id="rId629" display="https://tupiel.darsistemas.com/consulta/36271" xr:uid="{93CDBB1F-9901-45D1-89C0-650A27CD5A1D}"/>
    <hyperlink ref="B316" r:id="rId630" display="https://tupiel.darsistemas.com/consulta_cups/costos?id=26216" xr:uid="{A419F4F6-D6A5-44DF-8C53-CCABBEDA0D30}"/>
    <hyperlink ref="A317" r:id="rId631" display="https://tupiel.darsistemas.com/consulta/36098" xr:uid="{1DD7B84D-0202-40F3-B0F8-1834BCC02580}"/>
    <hyperlink ref="B317" r:id="rId632" display="https://tupiel.darsistemas.com/consulta_cups/costos?id=25888" xr:uid="{D6CAACAC-FADA-4DE0-A009-EBD3CCD43FB6}"/>
    <hyperlink ref="A318" r:id="rId633" display="https://tupiel.darsistemas.com/consulta/26674" xr:uid="{9A06E488-1ED9-4AF9-A33D-D9B19FC82F05}"/>
    <hyperlink ref="B318" r:id="rId634" display="https://tupiel.darsistemas.com/consulta_cups/costos?id=26317" xr:uid="{37EF0DAB-DC5E-4B70-B9B8-093E586DE409}"/>
    <hyperlink ref="A319" r:id="rId635" display="https://tupiel.darsistemas.com/consulta/35994" xr:uid="{90316D65-2F9C-4211-A6B1-006D625265EE}"/>
    <hyperlink ref="B319" r:id="rId636" display="https://tupiel.darsistemas.com/consulta_cups/costos?id=26320" xr:uid="{B6407593-3675-49DC-886D-5C4FF4CEBB5E}"/>
    <hyperlink ref="A320" r:id="rId637" display="https://tupiel.darsistemas.com/consulta/27665" xr:uid="{7519BBF7-AF44-456F-B1B1-DFE4396EDE80}"/>
    <hyperlink ref="B320" r:id="rId638" display="https://tupiel.darsistemas.com/consulta_cups/costos?id=20382" xr:uid="{DE420FD8-031A-430B-AF1E-B7A9BCA14010}"/>
    <hyperlink ref="A321" r:id="rId639" display="https://tupiel.darsistemas.com/consulta/35994" xr:uid="{92FDF6A3-5D3F-45A6-9503-FD2783EC3757}"/>
    <hyperlink ref="B321" r:id="rId640" display="https://tupiel.darsistemas.com/consulta_cups/costos?id=25717" xr:uid="{E6DB2036-6446-422C-B5A3-6AFAE3855632}"/>
    <hyperlink ref="A322" r:id="rId641" display="https://tupiel.darsistemas.com/consulta/34006" xr:uid="{858923A5-002D-4BE5-B316-57B1B6E5EFB3}"/>
    <hyperlink ref="B322" r:id="rId642" display="https://tupiel.darsistemas.com/consulta_cups/costos?id=26344" xr:uid="{7F14F611-7494-4A35-9851-2F55C64A20BE}"/>
    <hyperlink ref="A323" r:id="rId643" display="https://tupiel.darsistemas.com/consulta/36246" xr:uid="{16E9484B-DA21-4128-94A5-6346DBB6541A}"/>
    <hyperlink ref="B323" r:id="rId644" display="https://tupiel.darsistemas.com/consulta_cups/costos?id=26178" xr:uid="{31AEB2AE-D6E6-48B7-ABF0-C47ED03C511A}"/>
    <hyperlink ref="A324" r:id="rId645" display="https://tupiel.darsistemas.com/consulta/34006" xr:uid="{1985658E-DD6A-4900-9ED5-1706F2E6A144}"/>
    <hyperlink ref="B324" r:id="rId646" display="https://tupiel.darsistemas.com/consulta_cups/costos?id=25928" xr:uid="{79832EDF-1407-47E7-86C7-057388ADEBA1}"/>
    <hyperlink ref="A325" r:id="rId647" display="https://tupiel.darsistemas.com/consulta/36233" xr:uid="{EF478BC3-91B7-4232-ADC0-5504525EAB1F}"/>
    <hyperlink ref="B325" r:id="rId648" display="https://tupiel.darsistemas.com/consulta_cups/costos?id=26134" xr:uid="{EA220778-FA74-4ED3-AC16-844483F4D68A}"/>
    <hyperlink ref="A326" r:id="rId649" display="https://tupiel.darsistemas.com/consulta/36246" xr:uid="{9E31B61A-B48D-438A-A5F4-C9B0FAB0776D}"/>
    <hyperlink ref="B326" r:id="rId650" display="https://tupiel.darsistemas.com/consulta_cups/costos?id=26349" xr:uid="{18E485AF-89AD-4DCC-8AF4-BB07BA77AF84}"/>
    <hyperlink ref="A327" r:id="rId651" display="https://tupiel.darsistemas.com/consulta/35160" xr:uid="{CE0371A2-E83D-41BE-94DA-327A4E456F2E}"/>
    <hyperlink ref="B327" r:id="rId652" display="https://tupiel.darsistemas.com/consulta_cups/costos?id=24298" xr:uid="{F7339859-967F-472C-A3F6-A49398672C48}"/>
    <hyperlink ref="A328" r:id="rId653" display="https://tupiel.darsistemas.com/consulta/26563" xr:uid="{414AB480-A483-4293-860F-D4BCDF020046}"/>
    <hyperlink ref="B328" r:id="rId654" display="https://tupiel.darsistemas.com/consulta_cups/costos?id=26115" xr:uid="{9BF4D5B9-1C6B-4436-9181-D22C72E42090}"/>
    <hyperlink ref="A329" r:id="rId655" display="https://tupiel.darsistemas.com/consulta/36218" xr:uid="{8D180932-B3CE-4880-B0BD-EA78BEF6FF7A}"/>
    <hyperlink ref="B329" r:id="rId656" display="https://tupiel.darsistemas.com/consulta_cups/costos?id=26099" xr:uid="{36586D11-1DB2-4473-8CF5-FCA43E94CC32}"/>
    <hyperlink ref="A330" r:id="rId657" display="https://tupiel.darsistemas.com/consulta/33996" xr:uid="{D4BA4D1A-5F08-4EE9-8D2C-F24F9C066B83}"/>
    <hyperlink ref="B330" r:id="rId658" display="https://tupiel.darsistemas.com/consulta_cups/costos?id=26350" xr:uid="{81C1A48B-EE1D-4CCD-8FDB-93FE387EDDAE}"/>
    <hyperlink ref="A331" r:id="rId659" display="https://tupiel.darsistemas.com/consulta/36332" xr:uid="{71E39CD7-0FFE-4C9C-8FB9-49F6731067DE}"/>
    <hyperlink ref="B331" r:id="rId660" display="https://tupiel.darsistemas.com/consulta_cups/costos?id=26323" xr:uid="{F2116F21-1E37-4D31-841E-7D621678CAE7}"/>
    <hyperlink ref="A332" r:id="rId661" display="https://tupiel.darsistemas.com/consulta/36332" xr:uid="{DAF3654B-1DF7-41B7-A98D-D2E5E47B1FCA}"/>
    <hyperlink ref="B332" r:id="rId662" display="https://tupiel.darsistemas.com/consulta_cups/costos?id=26322" xr:uid="{6DEE540C-3C6C-4A09-8675-61A8F5D6EBF5}"/>
    <hyperlink ref="A333" r:id="rId663" display="https://tupiel.darsistemas.com/consulta/36332" xr:uid="{2D3E2544-640C-4149-81BA-57E31F42F235}"/>
    <hyperlink ref="B333" r:id="rId664" display="https://tupiel.darsistemas.com/consulta_cups/costos?id=26324" xr:uid="{2DF3EF81-6376-42C9-BF38-0A7594FCC169}"/>
    <hyperlink ref="A334" r:id="rId665" display="https://tupiel.darsistemas.com/consulta/33996" xr:uid="{ED9CAE65-6EAA-437B-B4F9-C6025F1473FF}"/>
    <hyperlink ref="B334" r:id="rId666" display="https://tupiel.darsistemas.com/consulta_cups/costos?id=25622" xr:uid="{D3D034FB-8CF8-49D8-964B-F6059CC8161F}"/>
    <hyperlink ref="A335" r:id="rId667" display="https://tupiel.darsistemas.com/consulta/33996" xr:uid="{B0D8B229-EBD5-4880-9E61-EE04D3BEA120}"/>
    <hyperlink ref="B335" r:id="rId668" display="https://tupiel.darsistemas.com/consulta_cups/costos?id=25621" xr:uid="{5E1BD0EF-B462-467B-9B25-38CA3E5E3479}"/>
    <hyperlink ref="A336" r:id="rId669" display="https://tupiel.darsistemas.com/consulta/36269" xr:uid="{2F350851-4B75-4791-8803-E3C3AA9C9480}"/>
    <hyperlink ref="B336" r:id="rId670" display="https://tupiel.darsistemas.com/consulta_cups/costos?id=26214" xr:uid="{D253211B-B0DB-4614-A6E3-0BA038788229}"/>
    <hyperlink ref="A337" r:id="rId671" display="https://tupiel.darsistemas.com/consulta/33113" xr:uid="{8E5C8E08-29CA-4352-A20A-89656ADDEE96}"/>
    <hyperlink ref="B337" r:id="rId672" display="https://tupiel.darsistemas.com/consulta_cups/costos?id=26307" xr:uid="{EA82899F-E5CE-489C-A984-4037CB4C2794}"/>
    <hyperlink ref="A338" r:id="rId673" display="https://tupiel.darsistemas.com/consulta/33113" xr:uid="{1492C0B1-99C1-4EDD-9A03-BD24635D4F5F}"/>
    <hyperlink ref="B338" r:id="rId674" display="https://tupiel.darsistemas.com/consulta_cups/costos?id=26308" xr:uid="{8EE384FC-EEF4-4C0C-A6EA-7D1DC4BBBC1A}"/>
    <hyperlink ref="A339" r:id="rId675" display="https://tupiel.darsistemas.com/consulta/36243" xr:uid="{0224B42E-661D-4B24-AA70-299943A2C800}"/>
    <hyperlink ref="B339" r:id="rId676" display="https://tupiel.darsistemas.com/consulta_cups/costos?id=26175" xr:uid="{F8E6B58D-D831-4BE4-88FE-B936E089A61A}"/>
    <hyperlink ref="A340" r:id="rId677" display="https://tupiel.darsistemas.com/consulta/31296" xr:uid="{54B98C56-7160-456E-86F5-827646B53CF0}"/>
    <hyperlink ref="B340" r:id="rId678" display="https://tupiel.darsistemas.com/consulta_cups/costos?id=26358" xr:uid="{0473D492-070F-48E8-B3C1-EBC152A33F59}"/>
    <hyperlink ref="A341" r:id="rId679" display="https://tupiel.darsistemas.com/consulta/36329" xr:uid="{F0E24989-0BC1-4E04-AECC-687C67BE9FB8}"/>
    <hyperlink ref="B341" r:id="rId680" display="https://tupiel.darsistemas.com/consulta_cups/costos?id=26321" xr:uid="{AF36685A-7E9A-4A81-A630-1BA81D496670}"/>
    <hyperlink ref="A342" r:id="rId681" display="https://tupiel.darsistemas.com/consulta/33848" xr:uid="{CEB83A0C-36DA-44DC-8C96-739DE342D979}"/>
    <hyperlink ref="B342" r:id="rId682" display="https://tupiel.darsistemas.com/consulta_cups/costos?id=26329" xr:uid="{6641B56C-51A4-450D-ACD7-C5AAB6813B57}"/>
    <hyperlink ref="A343" r:id="rId683" display="https://tupiel.darsistemas.com/consulta/33848" xr:uid="{805136EB-B0B7-45F0-B45F-75D267A7B620}"/>
    <hyperlink ref="B343" r:id="rId684" display="https://tupiel.darsistemas.com/consulta_cups/costos?id=26330" xr:uid="{34BD9CC2-07C1-4590-A923-ACD854B60908}"/>
    <hyperlink ref="A344" r:id="rId685" display="https://tupiel.darsistemas.com/consulta/36288" xr:uid="{A34298E6-9127-4D45-AE62-40803BA5207E}"/>
    <hyperlink ref="B344" r:id="rId686" display="https://tupiel.darsistemas.com/consulta_cups/costos?id=26248" xr:uid="{4EAD0336-A425-4939-B5A1-5A647D32F30A}"/>
    <hyperlink ref="A345" r:id="rId687" display="https://tupiel.darsistemas.com/consulta/36287" xr:uid="{2B868405-A544-45DA-95E0-AB3D87602171}"/>
    <hyperlink ref="B345" r:id="rId688" display="https://tupiel.darsistemas.com/consulta_cups/costos?id=26247" xr:uid="{378AF7EE-09F7-4DB0-8B39-882100BEB3BB}"/>
    <hyperlink ref="A346" r:id="rId689" display="https://tupiel.darsistemas.com/consulta/30870" xr:uid="{E87362B5-5D44-4C00-9973-B0A51E5C2E1B}"/>
    <hyperlink ref="B346" r:id="rId690" display="https://tupiel.darsistemas.com/consulta_cups/costos?id=26334" xr:uid="{7CBEE6D1-446F-4316-803D-2C34A8D5C241}"/>
    <hyperlink ref="A347" r:id="rId691" display="https://tupiel.darsistemas.com/consulta/36296" xr:uid="{78C9E94E-A0C6-4552-901A-A621B92EB837}"/>
    <hyperlink ref="B347" r:id="rId692" display="https://tupiel.darsistemas.com/consulta_cups/costos?id=26259" xr:uid="{6D0E27AE-760D-4FE1-9287-5467F47A0DF5}"/>
    <hyperlink ref="A348" r:id="rId693" display="https://tupiel.darsistemas.com/consulta/36296" xr:uid="{4C17E36F-24FB-461F-86DD-CB29B7684039}"/>
    <hyperlink ref="B348" r:id="rId694" display="https://tupiel.darsistemas.com/consulta_cups/costos?id=26335" xr:uid="{7A8C604A-06B3-4428-B0A9-BDBE32E0CBAA}"/>
    <hyperlink ref="A349" r:id="rId695" display="https://tupiel.darsistemas.com/consulta/34909" xr:uid="{4231B09A-3D5C-4DA0-9102-50F557B7E108}"/>
    <hyperlink ref="B349" r:id="rId696" display="https://tupiel.darsistemas.com/consulta_cups/costos?id=26245" xr:uid="{E29A34AF-B983-4BFB-AD7F-E477D4F87767}"/>
    <hyperlink ref="A350" r:id="rId697" display="https://tupiel.darsistemas.com/consulta/36329" xr:uid="{D116F834-DC9E-47CD-9AFE-B0DBD456257F}"/>
    <hyperlink ref="B350" r:id="rId698" display="https://tupiel.darsistemas.com/consulta_cups/costos?id=26315" xr:uid="{31068C4C-BCC7-4DD9-ACCE-78B85EDD8987}"/>
    <hyperlink ref="A351" r:id="rId699" display="https://tupiel.darsistemas.com/consulta/36329" xr:uid="{FC8A202C-CC5D-4E53-AA3D-B31E04077D6F}"/>
    <hyperlink ref="B351" r:id="rId700" display="https://tupiel.darsistemas.com/consulta_cups/costos?id=26314" xr:uid="{90885FBD-E86C-4031-9B9E-8B91A483C6E9}"/>
    <hyperlink ref="A352" r:id="rId701" display="https://tupiel.darsistemas.com/consulta/30870" xr:uid="{EA1B2735-B9E4-4C51-B5CB-F42E611F887D}"/>
    <hyperlink ref="B352" r:id="rId702" display="https://tupiel.darsistemas.com/consulta_cups/costos?id=25957" xr:uid="{30EEDAC0-5954-42F6-A159-AC0A21C173D7}"/>
    <hyperlink ref="A353" r:id="rId703" display="https://tupiel.darsistemas.com/consulta/35914" xr:uid="{C4335ED1-3801-48D6-B337-CB0F18552DC7}"/>
    <hyperlink ref="B353" r:id="rId704" display="https://tupiel.darsistemas.com/consulta_cups/costos?id=25543" xr:uid="{20C8AD7F-FEA2-46D2-8BC0-749F87E647B2}"/>
    <hyperlink ref="A354" r:id="rId705" display="https://tupiel.darsistemas.com/consulta/26577" xr:uid="{C72B3D61-A8C2-4F83-B70D-3C5063820289}"/>
    <hyperlink ref="B354" r:id="rId706" display="https://tupiel.darsistemas.com/consulta_cups/costos?id=26367" xr:uid="{547ADB3D-A8F3-4C91-A1BC-B628D672E839}"/>
    <hyperlink ref="A355" r:id="rId707" display="https://tupiel.darsistemas.com/consulta/24098" xr:uid="{A023C666-56E9-43D0-B586-DB52BCE867EB}"/>
    <hyperlink ref="B355" r:id="rId708" display="https://tupiel.darsistemas.com/consulta_cups/costos?id=26366" xr:uid="{5A0EB586-33CB-4707-8B4F-B49FBD199F75}"/>
    <hyperlink ref="A356" r:id="rId709" display="https://tupiel.darsistemas.com/consulta/23794" xr:uid="{E261D4F5-0E6F-41E2-87C0-8AB0093FA47C}"/>
    <hyperlink ref="B356" r:id="rId710" display="https://tupiel.darsistemas.com/consulta_cups/costos?id=25139" xr:uid="{266D58CD-59F9-4E19-BE55-1F29498BF537}"/>
    <hyperlink ref="A357" r:id="rId711" display="https://tupiel.darsistemas.com/consulta/26577" xr:uid="{B472B816-354A-4648-98C5-0AF11F89BEF7}"/>
    <hyperlink ref="B357" r:id="rId712" display="https://tupiel.darsistemas.com/consulta_cups/costos?id=26368" xr:uid="{763188F4-DDDF-42A6-A335-F4AD5A394582}"/>
    <hyperlink ref="A358" r:id="rId713" display="https://tupiel.darsistemas.com/consulta/36352" xr:uid="{6AD7EC78-99B2-48A5-93AB-912123CBBB09}"/>
    <hyperlink ref="B358" r:id="rId714" display="https://tupiel.darsistemas.com/consulta_cups/costos?id=26361" xr:uid="{82F860AA-89FD-4ADA-8E80-05CA24D824A3}"/>
    <hyperlink ref="A359" r:id="rId715" display="https://tupiel.darsistemas.com/consulta/35912" xr:uid="{BEB1CFA6-3C6E-46E0-A211-3577881986F8}"/>
    <hyperlink ref="B359" r:id="rId716" display="https://tupiel.darsistemas.com/consulta_cups/costos?id=26369" xr:uid="{DA84E831-ECB3-463E-A2C0-C2D2DEE30727}"/>
    <hyperlink ref="A360" r:id="rId717" display="https://tupiel.darsistemas.com/consulta/36056" xr:uid="{E33A9FF8-31E2-40F9-80AE-B615D32A7564}"/>
    <hyperlink ref="B360" r:id="rId718" display="https://tupiel.darsistemas.com/consulta_cups/costos?id=25825" xr:uid="{27821638-28B0-421E-999D-A1771D375BDE}"/>
    <hyperlink ref="A361" r:id="rId719" display="https://tupiel.darsistemas.com/consulta/35276" xr:uid="{D04CEC9D-72BC-45EB-BB2F-8CB2A7F4E464}"/>
    <hyperlink ref="B361" r:id="rId720" display="https://tupiel.darsistemas.com/consulta_cups/costos?id=26377" xr:uid="{B3AFA09F-7B6A-40D2-BA01-5A9C0DDDD744}"/>
    <hyperlink ref="A362" r:id="rId721" display="https://tupiel.darsistemas.com/consulta/34299" xr:uid="{E064576C-74DC-48F0-9E57-131CCBFFE5D3}"/>
    <hyperlink ref="B362" r:id="rId722" display="https://tupiel.darsistemas.com/consulta_cups/costos?id=25643" xr:uid="{41EE136F-6379-4CE8-B1A1-A88AEFC9F5B2}"/>
    <hyperlink ref="A363" r:id="rId723" display="https://tupiel.darsistemas.com/consulta/34299" xr:uid="{B3E4D0E8-369A-4149-A021-A00767D42E90}"/>
    <hyperlink ref="B363" r:id="rId724" display="https://tupiel.darsistemas.com/consulta_cups/costos?id=25644" xr:uid="{FAFCC3EB-90CE-449E-81F2-1F775A383678}"/>
    <hyperlink ref="A364" r:id="rId725" display="https://tupiel.darsistemas.com/consulta/36249" xr:uid="{615E8B62-C38A-4575-8148-A68DF4179075}"/>
    <hyperlink ref="B364" r:id="rId726" display="https://tupiel.darsistemas.com/consulta_cups/costos?id=26181" xr:uid="{7197476F-707B-44DC-AA51-38A518BA6237}"/>
    <hyperlink ref="A365" r:id="rId727" display="https://tupiel.darsistemas.com/consulta/36316" xr:uid="{98B1A94E-0BB3-4D93-8A75-1E62F43DD8B9}"/>
    <hyperlink ref="B365" r:id="rId728" display="https://tupiel.darsistemas.com/consulta_cups/costos?id=26291" xr:uid="{DCBC1F77-DF6C-4A65-A7AC-509402EFB30E}"/>
    <hyperlink ref="A366" r:id="rId729" display="https://tupiel.darsistemas.com/consulta/33449" xr:uid="{F13C7945-493C-43FA-BE33-2F3C5624D6EA}"/>
    <hyperlink ref="B366" r:id="rId730" display="https://tupiel.darsistemas.com/consulta_cups/costos?id=26381" xr:uid="{1DE8DB60-6DD5-45A7-B713-EBF0DA878C83}"/>
    <hyperlink ref="A367" r:id="rId731" display="https://tupiel.darsistemas.com/consulta/33292" xr:uid="{34B40A2F-EB38-4A0F-BA30-59724C995BFD}"/>
    <hyperlink ref="B367" r:id="rId732" display="https://tupiel.darsistemas.com/consulta_cups/costos?id=26382" xr:uid="{3F3ADC1D-5A7E-4AA7-8DB0-EC0849517EDF}"/>
    <hyperlink ref="A368" r:id="rId733" display="https://tupiel.darsistemas.com/consulta/36358" xr:uid="{74FF16DE-7D1A-4F73-907F-11D59CC7B59A}"/>
    <hyperlink ref="B368" r:id="rId734" display="https://tupiel.darsistemas.com/consulta_cups/costos?id=26372" xr:uid="{FD29A6ED-CDB9-4D4B-9B64-53A3DC690BDE}"/>
    <hyperlink ref="A369" r:id="rId735" display="https://tupiel.darsistemas.com/consulta/25413" xr:uid="{4E558062-B4D0-4596-A7AC-576DDC0CE38E}"/>
    <hyperlink ref="B369" r:id="rId736" display="https://tupiel.darsistemas.com/consulta_cups/costos?id=23291" xr:uid="{745B9A80-5E79-4823-974E-C1131ADA915D}"/>
    <hyperlink ref="A370" r:id="rId737" display="https://tupiel.darsistemas.com/consulta/36364" xr:uid="{CFA05AFC-5838-48D1-8D7F-689C78AD94FF}"/>
    <hyperlink ref="B370" r:id="rId738" display="https://tupiel.darsistemas.com/consulta_cups/costos?id=26385" xr:uid="{1EA5DFF5-694F-4D89-B548-F7661A0F9F1C}"/>
    <hyperlink ref="A371" r:id="rId739" display="https://tupiel.darsistemas.com/consulta/36331" xr:uid="{E9A31E8B-BEA7-4B8D-BE84-ED0FB8904DFE}"/>
    <hyperlink ref="B371" r:id="rId740" display="https://tupiel.darsistemas.com/consulta_cups/costos?id=26319" xr:uid="{534DB117-8515-4ED2-BA11-BDD74D9F1D84}"/>
    <hyperlink ref="A372" r:id="rId741" display="https://tupiel.darsistemas.com/consulta/35935" xr:uid="{56EC7761-4F4B-433D-917F-740469F24ED3}"/>
    <hyperlink ref="B372" r:id="rId742" display="https://tupiel.darsistemas.com/consulta_cups/costos?id=25590" xr:uid="{F1B4F050-7056-4307-82ED-FA5AB4989B66}"/>
    <hyperlink ref="A373" r:id="rId743" display="https://tupiel.darsistemas.com/consulta/35571" xr:uid="{AE9D1C75-1576-40D3-9BDC-30A74EA485F0}"/>
    <hyperlink ref="B373" r:id="rId744" display="https://tupiel.darsistemas.com/consulta_cups/costos?id=26399" xr:uid="{5335FCFB-D7CB-42EC-9283-CEA7264F54EC}"/>
    <hyperlink ref="A374" r:id="rId745" display="https://tupiel.darsistemas.com/consulta/36237" xr:uid="{27A3BBC1-6B48-4150-95B5-373DBF2447EE}"/>
    <hyperlink ref="B374" r:id="rId746" display="https://tupiel.darsistemas.com/consulta_cups/costos?id=26165" xr:uid="{85A5F912-AE96-4017-9430-4E6D9229E658}"/>
    <hyperlink ref="A375" r:id="rId747" display="https://tupiel.darsistemas.com/consulta/35940" xr:uid="{BA40AFBC-6037-48B4-880A-7C431A7BAA74}"/>
    <hyperlink ref="B375" r:id="rId748" display="https://tupiel.darsistemas.com/consulta_cups/costos?id=25596" xr:uid="{E8BBE01A-09CC-4FA0-BDB3-06F24A6A7024}"/>
    <hyperlink ref="A376" r:id="rId749" display="https://tupiel.darsistemas.com/consulta/36355" xr:uid="{DF12739C-55D6-403D-BAF7-AD655A5817E0}"/>
    <hyperlink ref="B376" r:id="rId750" display="https://tupiel.darsistemas.com/consulta_cups/costos?id=26364" xr:uid="{C82E4017-C4A6-4BB7-B5B0-0DEA92EE8B00}"/>
    <hyperlink ref="A377" r:id="rId751" display="https://tupiel.darsistemas.com/consulta/35297" xr:uid="{606CFD6D-FB88-4AE4-8B3B-220F512C9E06}"/>
    <hyperlink ref="B377" r:id="rId752" display="https://tupiel.darsistemas.com/consulta_cups/costos?id=26392" xr:uid="{2380DFB3-1910-4387-9728-CE75E659AC86}"/>
    <hyperlink ref="A378" r:id="rId753" display="https://tupiel.darsistemas.com/consulta/36072" xr:uid="{9CE6C49B-026B-4F01-8781-ABEAB80DBD7B}"/>
    <hyperlink ref="B378" r:id="rId754" display="https://tupiel.darsistemas.com/consulta_cups/costos?id=25855" xr:uid="{1FE368B5-4F03-42E6-B19D-862EB573E067}"/>
    <hyperlink ref="A379" r:id="rId755" display="https://tupiel.darsistemas.com/consulta/36072" xr:uid="{1D7FAF2D-0ED6-49D8-B480-EA11FE2A8E90}"/>
    <hyperlink ref="B379" r:id="rId756" display="https://tupiel.darsistemas.com/consulta_cups/costos?id=25856" xr:uid="{15B566DC-0FA8-447C-A577-B360C586CB0F}"/>
    <hyperlink ref="A380" r:id="rId757" display="https://tupiel.darsistemas.com/consulta/35973" xr:uid="{A53BE48E-2B39-4F6C-B9A9-DBC178CF1C64}"/>
    <hyperlink ref="B380" r:id="rId758" display="https://tupiel.darsistemas.com/consulta_cups/costos?id=25667" xr:uid="{D9947625-FBC7-4A64-8D20-26383BC0552C}"/>
    <hyperlink ref="A381" r:id="rId759" display="https://tupiel.darsistemas.com/consulta/36341" xr:uid="{0075C97F-80F8-4572-BD9B-E947CF7FEEC0}"/>
    <hyperlink ref="B381" r:id="rId760" display="https://tupiel.darsistemas.com/consulta_cups/costos?id=26342" xr:uid="{7F48CB88-1F86-46F9-BCAF-C377CCD74564}"/>
    <hyperlink ref="A382" r:id="rId761" display="https://tupiel.darsistemas.com/consulta/35708" xr:uid="{5225C21F-8350-497E-B31D-683615F658CC}"/>
    <hyperlink ref="B382" r:id="rId762" display="https://tupiel.darsistemas.com/consulta_cups/costos?id=26398" xr:uid="{EF7D82D8-F444-41C5-8866-6B29A9EC1CED}"/>
    <hyperlink ref="A383" r:id="rId763" display="https://tupiel.darsistemas.com/consulta/25413" xr:uid="{14110EDA-5F0D-4332-99BA-42128B3F5850}"/>
    <hyperlink ref="B383" r:id="rId764" display="https://tupiel.darsistemas.com/consulta_cups/costos?id=26404" xr:uid="{F9ED610B-336F-4FAF-ABB6-FCF58C1C70CB}"/>
    <hyperlink ref="A384" r:id="rId765" display="https://tupiel.darsistemas.com/consulta/36184" xr:uid="{B1689772-27EA-42D1-93A8-1E8CEBC84964}"/>
    <hyperlink ref="B384" r:id="rId766" display="https://tupiel.darsistemas.com/consulta_cups/costos?id=26028" xr:uid="{9A97B4A6-A88D-4546-9095-974910A4AF07}"/>
    <hyperlink ref="A385" r:id="rId767" display="https://tupiel.darsistemas.com/consulta/36245" xr:uid="{CE38B328-1D62-46F9-B0D8-57BD625B6149}"/>
    <hyperlink ref="B385" r:id="rId768" display="https://tupiel.darsistemas.com/consulta_cups/costos?id=26177" xr:uid="{A8CF1EBE-1BB9-4C7D-91FA-09D70559AB33}"/>
    <hyperlink ref="A386" r:id="rId769" display="https://tupiel.darsistemas.com/consulta/35912" xr:uid="{BB072329-713E-4972-8780-DAEC0E3624C5}"/>
    <hyperlink ref="B386" r:id="rId770" display="https://tupiel.darsistemas.com/consulta_cups/costos?id=26370" xr:uid="{DE332F0E-1C19-4F3B-895B-59C165336A60}"/>
    <hyperlink ref="A387" r:id="rId771" display="https://tupiel.darsistemas.com/consulta/36365" xr:uid="{66052C40-A516-4CC4-907A-31647EC4C396}"/>
    <hyperlink ref="B387" r:id="rId772" display="https://tupiel.darsistemas.com/consulta_cups/costos?id=26390" xr:uid="{97A389AA-A251-4106-BE0D-823613276629}"/>
    <hyperlink ref="A388" r:id="rId773" display="https://tupiel.darsistemas.com/consulta/36378" xr:uid="{99ADBCD6-52DD-4010-A52B-0C688DC4BF1A}"/>
    <hyperlink ref="B388" r:id="rId774" display="https://tupiel.darsistemas.com/consulta_cups/costos?id=26419" xr:uid="{AA843105-8A5F-4583-850A-35A107AA6B05}"/>
    <hyperlink ref="A389" r:id="rId775" display="https://tupiel.darsistemas.com/consulta/36378" xr:uid="{D5F72D01-353D-46BE-993A-0913339F4B57}"/>
    <hyperlink ref="B389" r:id="rId776" display="https://tupiel.darsistemas.com/consulta_cups/costos?id=26421" xr:uid="{896F5940-0EE4-4AF3-A31E-44BA04D50890}"/>
    <hyperlink ref="A390" r:id="rId777" display="https://tupiel.darsistemas.com/consulta/27943" xr:uid="{849E1513-9FC6-47E9-B047-F0CFFBAB6F41}"/>
    <hyperlink ref="B390" r:id="rId778" display="https://tupiel.darsistemas.com/consulta_cups/costos?id=24968" xr:uid="{58F03984-7F71-43B9-AFB8-7B5FDFD1618F}"/>
    <hyperlink ref="A391" r:id="rId779" display="https://tupiel.darsistemas.com/consulta/34560" xr:uid="{3A98E670-0CC6-4952-9A22-926308DC8951}"/>
    <hyperlink ref="B391" r:id="rId780" display="https://tupiel.darsistemas.com/consulta_cups/costos?id=25613" xr:uid="{A97D1DE7-32A3-4968-B0A0-8B49A9B71749}"/>
    <hyperlink ref="A392" r:id="rId781" display="https://tupiel.darsistemas.com/consulta/36346" xr:uid="{CDF51A66-5AE3-413B-8CAE-8CB1DC297CCA}"/>
    <hyperlink ref="B392" r:id="rId782" display="https://tupiel.darsistemas.com/consulta_cups/costos?id=26352" xr:uid="{0A944E38-DA7D-4B6B-A7E2-800351DBC738}"/>
    <hyperlink ref="A393" r:id="rId783" display="https://tupiel.darsistemas.com/consulta/36199" xr:uid="{EB645492-A09F-4AF6-AF82-88966F1575ED}"/>
    <hyperlink ref="B393" r:id="rId784" display="https://tupiel.darsistemas.com/consulta_cups/costos?id=26063" xr:uid="{A92ED78E-0A16-4CD4-928B-A394315A9F97}"/>
    <hyperlink ref="A394" r:id="rId785" display="https://tupiel.darsistemas.com/consulta/35567" xr:uid="{116B428D-4454-45FB-832D-C43D38ACE6B1}"/>
    <hyperlink ref="B394" r:id="rId786" display="https://tupiel.darsistemas.com/consulta_cups/costos?id=26436" xr:uid="{08204EB6-5C6B-4B29-9446-7C3AE7246879}"/>
    <hyperlink ref="A395" r:id="rId787" display="https://tupiel.darsistemas.com/consulta/36371" xr:uid="{721AD9D5-21E2-4511-BB8C-AE4C122D8746}"/>
    <hyperlink ref="B395" r:id="rId788" display="https://tupiel.darsistemas.com/consulta_cups/costos?id=26408" xr:uid="{206908CA-8332-448B-907C-06627F6CFC18}"/>
    <hyperlink ref="A396" r:id="rId789" display="https://tupiel.darsistemas.com/consulta/36372" xr:uid="{9B6681D4-7288-4F4F-ACED-990A5CFE3106}"/>
    <hyperlink ref="B396" r:id="rId790" display="https://tupiel.darsistemas.com/consulta_cups/costos?id=26410" xr:uid="{BCA9E93C-3949-4E58-B498-45EF97EBA292}"/>
    <hyperlink ref="A397" r:id="rId791" display="https://tupiel.darsistemas.com/consulta/35426" xr:uid="{FD18E166-BFC2-412D-A409-B6BB734BB14F}"/>
    <hyperlink ref="B397" r:id="rId792" display="https://tupiel.darsistemas.com/consulta_cups/costos?id=24716" xr:uid="{523AA327-9FBA-44B5-9299-4B58E8B68D15}"/>
    <hyperlink ref="A398" r:id="rId793" display="https://tupiel.darsistemas.com/consulta/36065" xr:uid="{716E0C80-EF7F-40D6-939A-106B2AF3E9B1}"/>
    <hyperlink ref="B398" r:id="rId794" display="https://tupiel.darsistemas.com/consulta_cups/costos?id=25842" xr:uid="{80702DE2-06C7-4297-B4A8-99788F4EB6E9}"/>
    <hyperlink ref="A399" r:id="rId795" display="https://tupiel.darsistemas.com/consulta/35589" xr:uid="{8B904BC5-E224-4C36-A30D-E2D5D47ECA39}"/>
    <hyperlink ref="B399" r:id="rId796" display="https://tupiel.darsistemas.com/consulta_cups/costos?id=24964" xr:uid="{72968197-EFC7-4F68-A869-D715BEC7EED6}"/>
    <hyperlink ref="A400" r:id="rId797" display="https://tupiel.darsistemas.com/consulta/35507" xr:uid="{454A7B18-0EB6-4DA0-BD9A-1F1ABA43F455}"/>
    <hyperlink ref="B400" r:id="rId798" display="https://tupiel.darsistemas.com/consulta_cups/costos?id=26441" xr:uid="{B5FD53C2-2509-4129-A9FC-05C1251FC27E}"/>
    <hyperlink ref="A401" r:id="rId799" display="https://tupiel.darsistemas.com/consulta/32733" xr:uid="{D42AD001-B5BC-46F8-A248-655DF040148D}"/>
    <hyperlink ref="B401" r:id="rId800" display="https://tupiel.darsistemas.com/consulta_cups/costos?id=26300" xr:uid="{C6BD4131-94D2-47B3-BD09-BEF16ADD479A}"/>
    <hyperlink ref="A402" r:id="rId801" display="https://tupiel.darsistemas.com/consulta/34142" xr:uid="{D5E87C33-A6ED-4FD5-A75A-DC129CF5582D}"/>
    <hyperlink ref="B402" r:id="rId802" display="https://tupiel.darsistemas.com/consulta_cups/costos?id=26440" xr:uid="{77CE16A5-5948-4126-9879-9A097DF9F71A}"/>
    <hyperlink ref="A403" r:id="rId803" display="https://tupiel.darsistemas.com/consulta/36205" xr:uid="{72BCE484-C91E-4235-8F77-D9BEBDBBFBD3}"/>
    <hyperlink ref="B403" r:id="rId804" display="https://tupiel.darsistemas.com/consulta_cups/costos?id=26284" xr:uid="{99F892EC-2055-4AC9-A45F-3C329789128E}"/>
    <hyperlink ref="A404" r:id="rId805" display="https://tupiel.darsistemas.com/consulta/35670" xr:uid="{BD67A7FA-593D-46C6-869B-B5DECF687A02}"/>
    <hyperlink ref="B404" r:id="rId806" display="https://tupiel.darsistemas.com/consulta_cups/costos?id=25110" xr:uid="{BC2D10E6-939A-455E-9008-635DA862C61C}"/>
    <hyperlink ref="A405" r:id="rId807" display="https://tupiel.darsistemas.com/consulta/36294" xr:uid="{2E31A8F3-A231-44CF-892D-814ED4434B3D}"/>
    <hyperlink ref="B405" r:id="rId808" display="https://tupiel.darsistemas.com/consulta_cups/costos?id=26256" xr:uid="{8B425B96-4618-4022-A78E-483D2706D387}"/>
    <hyperlink ref="A406" r:id="rId809" display="https://tupiel.darsistemas.com/consulta/35870" xr:uid="{E369AFF5-FE2A-470C-961C-C7109856F211}"/>
    <hyperlink ref="B406" r:id="rId810" display="https://tupiel.darsistemas.com/consulta_cups/costos?id=25475" xr:uid="{85105761-5A5A-404F-A319-F9E65CD43778}"/>
    <hyperlink ref="A407" r:id="rId811" display="https://tupiel.darsistemas.com/consulta/31191" xr:uid="{0D803C6B-17C5-4B3D-97D6-1431BF7AE10C}"/>
    <hyperlink ref="B407" r:id="rId812" display="https://tupiel.darsistemas.com/consulta_cups/costos?id=18087" xr:uid="{0277EB08-5A13-407D-9334-71EE7DDBD2CA}"/>
    <hyperlink ref="A408" r:id="rId813" display="https://tupiel.darsistemas.com/consulta/36356" xr:uid="{FF89475F-6814-451E-AEED-86D469059CA6}"/>
    <hyperlink ref="B408" r:id="rId814" display="https://tupiel.darsistemas.com/consulta_cups/costos?id=26365" xr:uid="{C44AD3F0-60A8-4D99-B620-D85A3569DBA6}"/>
    <hyperlink ref="A409" r:id="rId815" display="https://tupiel.darsistemas.com/consulta/26580" xr:uid="{7207C033-9684-49CF-A835-058235F26D86}"/>
    <hyperlink ref="B409" r:id="rId816" display="https://tupiel.darsistemas.com/consulta_cups/costos?id=25507" xr:uid="{3EBA15C0-CB7E-4EBE-BF57-E322D43924B1}"/>
    <hyperlink ref="A410" r:id="rId817" display="https://tupiel.darsistemas.com/consulta/36386" xr:uid="{FA81BEBB-5B0E-4350-BC9C-94E7E043E90D}"/>
    <hyperlink ref="B410" r:id="rId818" display="https://tupiel.darsistemas.com/consulta_cups/costos?id=26428" xr:uid="{04691034-1600-4773-BD6B-C33168A3E64F}"/>
    <hyperlink ref="A411" r:id="rId819" display="https://tupiel.darsistemas.com/consulta/36300" xr:uid="{6CE1BD87-68B8-43BD-A832-A44E3251A933}"/>
    <hyperlink ref="B411" r:id="rId820" display="https://tupiel.darsistemas.com/consulta_cups/costos?id=26263" xr:uid="{43D11CCD-1486-41D4-998D-0F467FA4FE8F}"/>
    <hyperlink ref="A412" r:id="rId821" display="https://tupiel.darsistemas.com/consulta/36404" xr:uid="{B28D377D-C222-480C-B8D4-31C8581627E7}"/>
    <hyperlink ref="B412" r:id="rId822" display="https://tupiel.darsistemas.com/consulta_cups/costos?id=26454" xr:uid="{E9301AF5-3412-4F0E-991B-25B4E6171E41}"/>
    <hyperlink ref="A413" r:id="rId823" display="https://tupiel.darsistemas.com/consulta/35262" xr:uid="{02899D77-FA62-4507-9335-D09A35029924}"/>
    <hyperlink ref="B413" r:id="rId824" display="https://tupiel.darsistemas.com/consulta_cups/costos?id=26407" xr:uid="{D8A4114D-3671-471F-AB0F-B9463D138565}"/>
    <hyperlink ref="A414" r:id="rId825" display="https://tupiel.darsistemas.com/consulta/35264" xr:uid="{CDDA6DDE-0123-4C9D-9DC5-16E46044478F}"/>
    <hyperlink ref="B414" r:id="rId826" display="https://tupiel.darsistemas.com/consulta_cups/costos?id=26409" xr:uid="{29992CC3-62BB-40A5-8F2C-684698E0A4CC}"/>
    <hyperlink ref="A415" r:id="rId827" display="https://tupiel.darsistemas.com/consulta/34602" xr:uid="{1655E94B-4C75-43DE-8AD4-BC14588D8A3E}"/>
    <hyperlink ref="B415" r:id="rId828" display="https://tupiel.darsistemas.com/consulta_cups/costos?id=25981" xr:uid="{A27AF9D5-27FD-44A5-B767-E53417A5255E}"/>
    <hyperlink ref="A416" r:id="rId829" display="https://tupiel.darsistemas.com/consulta/34602" xr:uid="{935C91A7-5701-4E10-B411-89719E937940}"/>
    <hyperlink ref="B416" r:id="rId830" display="https://tupiel.darsistemas.com/consulta_cups/costos?id=25982" xr:uid="{A443AB1A-5694-49BA-A13F-2C8F34DF58B4}"/>
    <hyperlink ref="A417" r:id="rId831" display="https://tupiel.darsistemas.com/consulta/34741" xr:uid="{F9C25E08-4036-4446-8E20-4A3534DD72F3}"/>
    <hyperlink ref="B417" r:id="rId832" display="https://tupiel.darsistemas.com/consulta_cups/costos?id=26374" xr:uid="{C0E9D744-B291-4754-89DA-55A0E38C7491}"/>
    <hyperlink ref="A418" r:id="rId833" display="https://tupiel.darsistemas.com/consulta/36414" xr:uid="{AE096C20-B76C-4FC5-8026-07BDC80F0694}"/>
    <hyperlink ref="B418" r:id="rId834" display="https://tupiel.darsistemas.com/consulta_cups/costos?id=26468" xr:uid="{F15A43C0-CDD8-4977-9D23-26356B23A0BA}"/>
    <hyperlink ref="A419" r:id="rId835" display="https://tupiel.darsistemas.com/consulta/36418" xr:uid="{F35DA265-C8F7-419B-A669-8555896A570A}"/>
    <hyperlink ref="B419" r:id="rId836" display="https://tupiel.darsistemas.com/consulta_cups/costos?id=26475" xr:uid="{7C30A279-B80E-4CF7-9893-9DA9EF458060}"/>
    <hyperlink ref="A420" r:id="rId837" display="https://tupiel.darsistemas.com/consulta/36406" xr:uid="{F8970608-CBE7-4DAD-A92B-255F83815B60}"/>
    <hyperlink ref="B420" r:id="rId838" display="https://tupiel.darsistemas.com/consulta_cups/costos?id=26458" xr:uid="{3733DC31-33D9-49C0-8F1F-48A5E73CDC49}"/>
    <hyperlink ref="A421" r:id="rId839" display="https://tupiel.darsistemas.com/consulta/36415" xr:uid="{33A6A29C-92EA-43BA-806A-849C1DC2702C}"/>
    <hyperlink ref="B421" r:id="rId840" display="https://tupiel.darsistemas.com/consulta_cups/costos?id=26472" xr:uid="{D3F59730-E16E-461B-99AE-59EF76AE600A}"/>
    <hyperlink ref="A422" r:id="rId841" display="https://tupiel.darsistemas.com/consulta/30646" xr:uid="{213782D1-6691-4C72-A7F9-02B3688762A2}"/>
    <hyperlink ref="B422" r:id="rId842" display="https://tupiel.darsistemas.com/consulta_cups/costos?id=22842" xr:uid="{FABC392B-D4A1-4566-9F1B-8AE25C0F6298}"/>
    <hyperlink ref="A423" r:id="rId843" display="https://tupiel.darsistemas.com/consulta/34695" xr:uid="{26C4EF55-7820-47D9-A9B6-3CAE2C36FF78}"/>
    <hyperlink ref="B423" r:id="rId844" display="https://tupiel.darsistemas.com/consulta_cups/costos?id=26338" xr:uid="{B9EE4BF4-4D53-45D9-B6C1-6C1C25A3C1D6}"/>
    <hyperlink ref="A424" r:id="rId845" display="https://tupiel.darsistemas.com/consulta/34888" xr:uid="{D97207A4-6286-4A8B-BE47-C25E001F84B4}"/>
    <hyperlink ref="B424" r:id="rId846" display="https://tupiel.darsistemas.com/consulta_cups/costos?id=23922" xr:uid="{C9A6CD5E-FA27-485D-AFE3-F2605DDBAF5F}"/>
    <hyperlink ref="A425" r:id="rId847" display="https://tupiel.darsistemas.com/consulta/25748" xr:uid="{9425443C-2F5A-4F01-80CC-759CB9A70624}"/>
    <hyperlink ref="B425" r:id="rId848" display="https://tupiel.darsistemas.com/consulta_cups/costos?id=26469" xr:uid="{30E939ED-3291-4F76-8B24-BFCF1D644543}"/>
    <hyperlink ref="A426" r:id="rId849" display="https://tupiel.darsistemas.com/consulta/25748" xr:uid="{DF40B0AF-F666-4AF6-A8B1-9360CBEA9C92}"/>
    <hyperlink ref="B426" r:id="rId850" display="https://tupiel.darsistemas.com/consulta_cups/costos?id=26471" xr:uid="{E6723B0A-691E-4987-9621-EAA2A38B5F09}"/>
    <hyperlink ref="A427" r:id="rId851" display="https://tupiel.darsistemas.com/consulta/35889" xr:uid="{05F661D3-6B36-4874-9D46-7A0FF6EB7FA4}"/>
    <hyperlink ref="B427" r:id="rId852" display="https://tupiel.darsistemas.com/consulta_cups/costos?id=25500" xr:uid="{16E119CC-4FED-480F-8204-43CBE947AC3E}"/>
    <hyperlink ref="A428" r:id="rId853" display="https://tupiel.darsistemas.com/consulta/30646" xr:uid="{11BDC7DF-8033-4A5F-8C77-3D5E61CAD4F4}"/>
    <hyperlink ref="B428" r:id="rId854" display="https://tupiel.darsistemas.com/consulta_cups/costos?id=26460" xr:uid="{532970F9-00DE-41FE-879F-5D888BD2A390}"/>
    <hyperlink ref="A429" r:id="rId855" display="https://tupiel.darsistemas.com/consulta/25748" xr:uid="{89349C42-982E-4B4F-B551-8DE21CFBA36B}"/>
    <hyperlink ref="B429" r:id="rId856" display="https://tupiel.darsistemas.com/consulta_cups/costos?id=26470" xr:uid="{B76AEB2F-A607-41C7-9A77-62F096A7E71B}"/>
    <hyperlink ref="A430" r:id="rId857" display="https://tupiel.darsistemas.com/consulta/36359" xr:uid="{601DC0A9-8A9F-4F1F-8017-E60761FFAC7A}"/>
    <hyperlink ref="B430" r:id="rId858" display="https://tupiel.darsistemas.com/consulta_cups/costos?id=26373" xr:uid="{2D543075-1E05-4DF2-A23E-F3BDD394BFC7}"/>
    <hyperlink ref="A431" r:id="rId859" display="https://tupiel.darsistemas.com/consulta/36348" xr:uid="{6F63CA70-C7C5-44D5-A1A8-343CE6A626D6}"/>
    <hyperlink ref="B431" r:id="rId860" display="https://tupiel.darsistemas.com/consulta_cups/costos?id=26354" xr:uid="{99F7EE9E-2EA2-4036-AFE2-ED2A693E6647}"/>
    <hyperlink ref="A432" r:id="rId861" display="https://tupiel.darsistemas.com/consulta/36420" xr:uid="{D0C61092-9D1C-4B39-AD89-B289C330F329}"/>
    <hyperlink ref="B432" r:id="rId862" display="https://tupiel.darsistemas.com/consulta_cups/costos?id=26479" xr:uid="{47C7EA37-E58A-4D31-80E9-99B01429B763}"/>
    <hyperlink ref="A433" r:id="rId863" display="https://tupiel.darsistemas.com/consulta/36423" xr:uid="{006A1772-F4B0-43CC-9BCE-F0AD52F2AE73}"/>
    <hyperlink ref="B433" r:id="rId864" display="https://tupiel.darsistemas.com/consulta_cups/costos?id=26483" xr:uid="{19F22C42-B49E-4F7A-8795-04C33E8F0F7D}"/>
    <hyperlink ref="A434" r:id="rId865" display="https://tupiel.darsistemas.com/consulta/36312" xr:uid="{5B9BA39D-52CC-4F95-A391-3FB470BF1B74}"/>
    <hyperlink ref="B434" r:id="rId866" display="https://tupiel.darsistemas.com/consulta_cups/costos?id=26287" xr:uid="{331187A0-2DF4-49C1-BC45-CADBE23579C4}"/>
    <hyperlink ref="A435" r:id="rId867" display="https://tupiel.darsistemas.com/consulta/35666" xr:uid="{A981109D-AA21-4192-AE9B-373DAF4A2611}"/>
    <hyperlink ref="B435" r:id="rId868" display="https://tupiel.darsistemas.com/consulta_cups/costos?id=25108" xr:uid="{CEE62B74-E876-450B-8400-511B03117925}"/>
    <hyperlink ref="A436" r:id="rId869" display="https://tupiel.darsistemas.com/consulta/35666" xr:uid="{5BFF8AF8-10CE-4720-AF95-39D21FF6093B}"/>
    <hyperlink ref="B436" r:id="rId870" display="https://tupiel.darsistemas.com/consulta_cups/costos?id=26448" xr:uid="{68E0D394-AE3E-44CE-BA71-A9BBD5144B6D}"/>
    <hyperlink ref="A437" r:id="rId871" display="https://tupiel.darsistemas.com/consulta/36345" xr:uid="{FB8DAA88-CB44-48F0-8B36-EFDC43326E38}"/>
    <hyperlink ref="B437" r:id="rId872" display="https://tupiel.darsistemas.com/consulta_cups/costos?id=26351" xr:uid="{655C7393-0936-4785-9E4B-0537FA1A543F}"/>
    <hyperlink ref="A438" r:id="rId873" display="https://tupiel.darsistemas.com/consulta/36418" xr:uid="{C77C2F5E-2BFC-4D4F-A51C-E13E4303E9C0}"/>
    <hyperlink ref="B438" r:id="rId874" display="https://tupiel.darsistemas.com/consulta_cups/costos?id=26476" xr:uid="{0292D6CE-56CD-47BF-AF7A-F0B453C73C7C}"/>
    <hyperlink ref="A439" r:id="rId875" display="https://tupiel.darsistemas.com/consulta/36361" xr:uid="{03A0315F-A03A-4447-8EBC-82782821EED2}"/>
    <hyperlink ref="B439" r:id="rId876" display="https://tupiel.darsistemas.com/consulta_cups/costos?id=26376" xr:uid="{A8DA9339-B655-41B7-827B-29A659C8A13B}"/>
    <hyperlink ref="A440" r:id="rId877" display="https://tupiel.darsistemas.com/consulta/36373" xr:uid="{68EB17E6-B89D-4E91-82AF-559995AB230F}"/>
    <hyperlink ref="B440" r:id="rId878" display="https://tupiel.darsistemas.com/consulta_cups/costos?id=26411" xr:uid="{C53D7904-9C92-4D64-AB8A-E2A01F6FDE41}"/>
    <hyperlink ref="A441" r:id="rId879" display="https://tupiel.darsistemas.com/consulta/36422" xr:uid="{4F652BE7-5439-4FBD-BFEA-E70E8E7424BF}"/>
    <hyperlink ref="B441" r:id="rId880" display="https://tupiel.darsistemas.com/consulta_cups/costos?id=26482" xr:uid="{DC504893-EEEB-48A4-93A0-3EC9AA79464D}"/>
    <hyperlink ref="A442" r:id="rId881" display="https://tupiel.darsistemas.com/consulta/36313" xr:uid="{E1D09A41-A7DF-4834-A87E-FBA50AA1194A}"/>
    <hyperlink ref="B442" r:id="rId882" display="https://tupiel.darsistemas.com/consulta_cups/costos?id=26288" xr:uid="{40DD10D6-2527-44C1-A9B4-BB5B2261778D}"/>
    <hyperlink ref="A443" r:id="rId883" display="https://tupiel.darsistemas.com/consulta/36398" xr:uid="{617AF115-4DA8-4536-A37D-7A3093AAFB8F}"/>
    <hyperlink ref="B443" r:id="rId884" display="https://tupiel.darsistemas.com/consulta_cups/costos?id=26446" xr:uid="{8DB7ED69-FBA1-483E-AF5C-2171494D3C42}"/>
    <hyperlink ref="A444" r:id="rId885" display="https://tupiel.darsistemas.com/consulta/36350" xr:uid="{2455A03C-2ED8-4937-82AC-1BCCDC0B3F15}"/>
    <hyperlink ref="B444" r:id="rId886" display="https://tupiel.darsistemas.com/consulta_cups/costos?id=26357" xr:uid="{82B17779-7E38-4EF3-82C9-DCA8BF80FE68}"/>
    <hyperlink ref="A445" r:id="rId887" display="https://tupiel.darsistemas.com/consulta/36250" xr:uid="{3DF194B7-3F29-446D-B262-ACBA08C69CF4}"/>
    <hyperlink ref="B445" r:id="rId888" display="https://tupiel.darsistemas.com/consulta_cups/costos?id=26184" xr:uid="{F5C01C56-AF48-4B78-AF07-FA0851B34B97}"/>
    <hyperlink ref="A446" r:id="rId889" display="https://tupiel.darsistemas.com/consulta/35861" xr:uid="{C2AA8D16-BF9F-495E-B469-CA5B6B6B611E}"/>
    <hyperlink ref="B446" r:id="rId890" display="https://tupiel.darsistemas.com/consulta_cups/costos?id=25464" xr:uid="{49F540CB-C383-44D3-80DF-0BE4A8B9958A}"/>
    <hyperlink ref="A447" r:id="rId891" display="https://tupiel.darsistemas.com/consulta/36007" xr:uid="{C4867893-4944-466D-B5A5-7A3A041EC51C}"/>
    <hyperlink ref="B447" r:id="rId892" display="https://tupiel.darsistemas.com/consulta_cups/costos?id=26487" xr:uid="{D719DDA6-C581-47A6-AF09-8532A166880F}"/>
    <hyperlink ref="A448" r:id="rId893" display="https://tupiel.darsistemas.com/consulta/34879" xr:uid="{66FAB34C-1299-4635-AD62-309C7B98A741}"/>
    <hyperlink ref="B448" r:id="rId894" display="https://tupiel.darsistemas.com/consulta_cups/costos?id=26491" xr:uid="{9D7A56F9-AA77-42DB-8B89-3BDDCA9D6066}"/>
    <hyperlink ref="A449" r:id="rId895" display="https://tupiel.darsistemas.com/consulta/34879" xr:uid="{E0C08236-5A2B-45E0-BEC5-7892049D39F2}"/>
    <hyperlink ref="B449" r:id="rId896" display="https://tupiel.darsistemas.com/consulta_cups/costos?id=26492" xr:uid="{06C8B631-18DA-479E-AE00-9E43CD72178B}"/>
    <hyperlink ref="A450" r:id="rId897" display="https://tupiel.darsistemas.com/consulta/34605" xr:uid="{7D80B0C2-812D-442F-AEC3-4E2F126523F3}"/>
    <hyperlink ref="B450" r:id="rId898" display="https://tupiel.darsistemas.com/consulta_cups/costos?id=24392" xr:uid="{187442E2-3156-49FF-8C1D-419B88C8DC8E}"/>
    <hyperlink ref="A451" r:id="rId899" display="https://tupiel.darsistemas.com/consulta/22327" xr:uid="{CFB9AD0E-BCF2-4508-B6A0-DA5C1EA4294C}"/>
    <hyperlink ref="B451" r:id="rId900" display="https://tupiel.darsistemas.com/consulta_cups/costos?id=25961" xr:uid="{8440EC7E-7534-4341-8F46-1B42835340AE}"/>
    <hyperlink ref="A452" r:id="rId901" display="https://tupiel.darsistemas.com/consulta/22327" xr:uid="{18ED34F5-14E0-4FEC-9A09-E24C91E708ED}"/>
    <hyperlink ref="B452" r:id="rId902" display="https://tupiel.darsistemas.com/consulta_cups/costos?id=25962" xr:uid="{442BA9C0-5A5F-4B5A-929A-D737413873F0}"/>
    <hyperlink ref="A453" r:id="rId903" display="https://tupiel.darsistemas.com/consulta/30993" xr:uid="{9E7FB1EA-DC81-440F-9B76-46D93D71D772}"/>
    <hyperlink ref="B453" r:id="rId904" display="https://tupiel.darsistemas.com/consulta_cups/costos?id=26276" xr:uid="{A988517A-3175-4730-BBFB-148BB6C6C579}"/>
    <hyperlink ref="A454" r:id="rId905" display="https://tupiel.darsistemas.com/consulta/22200" xr:uid="{BA85B4A9-BAB0-458F-99C4-1CDF3197E813}"/>
    <hyperlink ref="B454" r:id="rId906" display="https://tupiel.darsistemas.com/consulta_cups/costos?id=25267" xr:uid="{E2B658EF-DC43-420F-BB8E-ED06350767CC}"/>
    <hyperlink ref="A455" r:id="rId907" display="https://tupiel.darsistemas.com/consulta/36379" xr:uid="{51A7FAB7-134B-4A70-8E1D-8EDFCF453B99}"/>
    <hyperlink ref="B455" r:id="rId908" display="https://tupiel.darsistemas.com/consulta_cups/costos?id=26420" xr:uid="{B8511669-C4CC-4CDB-AF43-8A6BC21CF29E}"/>
    <hyperlink ref="A456" r:id="rId909" display="https://tupiel.darsistemas.com/consulta/22200" xr:uid="{FB55372D-44A0-4314-B90E-8419E280BB5E}"/>
    <hyperlink ref="B456" r:id="rId910" display="https://tupiel.darsistemas.com/consulta_cups/costos?id=25268" xr:uid="{F1109FC6-E516-4007-ABD1-68F13D69A307}"/>
    <hyperlink ref="A457" r:id="rId911" display="https://tupiel.darsistemas.com/consulta/36117" xr:uid="{74527518-2BD3-493A-A369-320B75620656}"/>
    <hyperlink ref="B457" r:id="rId912" display="https://tupiel.darsistemas.com/consulta_cups/costos?id=25911" xr:uid="{1B3B545E-E45F-4BF4-9878-84271D7BA5E8}"/>
    <hyperlink ref="A458" r:id="rId913" display="https://tupiel.darsistemas.com/consulta/31680" xr:uid="{7D70A132-4FB3-412D-AFA4-EDED7C112C4D}"/>
    <hyperlink ref="B458" r:id="rId914" display="https://tupiel.darsistemas.com/consulta_cups/costos?id=26507" xr:uid="{FC519723-301B-4AD0-B6EF-76997D735817}"/>
    <hyperlink ref="A459" r:id="rId915" display="https://tupiel.darsistemas.com/consulta/35752" xr:uid="{91E85EFF-916A-4A36-979A-5613BD22C023}"/>
    <hyperlink ref="B459" r:id="rId916" display="https://tupiel.darsistemas.com/consulta_cups/costos?id=26490" xr:uid="{1CEA8838-763E-48D6-926D-9D29814082E9}"/>
    <hyperlink ref="A460" r:id="rId917" display="https://tupiel.darsistemas.com/consulta/36074" xr:uid="{57543352-6680-4EB1-AD0B-41B92387DEA5}"/>
    <hyperlink ref="B460" r:id="rId918" display="https://tupiel.darsistemas.com/consulta_cups/costos?id=25858" xr:uid="{6D38791B-460E-4302-8F4D-883DB2D5836E}"/>
    <hyperlink ref="A461" r:id="rId919" display="https://tupiel.darsistemas.com/consulta/36263" xr:uid="{3AC0739E-FAE3-4CB3-8404-33887B962193}"/>
    <hyperlink ref="B461" r:id="rId920" display="https://tupiel.darsistemas.com/consulta_cups/costos?id=26201" xr:uid="{0B7310BA-C4B4-41A6-9898-B505DD62C1BD}"/>
    <hyperlink ref="A462" r:id="rId921" display="https://tupiel.darsistemas.com/consulta/35814" xr:uid="{674CDCD3-DBC5-4E1E-9201-17A497562151}"/>
    <hyperlink ref="B462" r:id="rId922" display="https://tupiel.darsistemas.com/consulta_cups/costos?id=25372" xr:uid="{85709CFD-B450-45CB-A7DC-69F3AB3AA190}"/>
    <hyperlink ref="A463" r:id="rId923" display="https://tupiel.darsistemas.com/consulta/24818" xr:uid="{4DEF5820-FED5-4B23-A036-CA484990F037}"/>
    <hyperlink ref="B463" r:id="rId924" display="https://tupiel.darsistemas.com/consulta_cups/costos?id=22802" xr:uid="{36310132-E514-4990-9555-A9DE9727C578}"/>
    <hyperlink ref="A464" r:id="rId925" display="https://tupiel.darsistemas.com/consulta/28018" xr:uid="{9682BF90-A1E3-4486-98CA-AEF6B345999C}"/>
    <hyperlink ref="B464" r:id="rId926" display="https://tupiel.darsistemas.com/consulta_cups/costos?id=25814" xr:uid="{9011CC00-F714-4D6A-ADD9-6F4EAD670377}"/>
    <hyperlink ref="A465" r:id="rId927" display="https://tupiel.darsistemas.com/consulta/33011" xr:uid="{71C48786-839F-4855-85D5-D6903B40949B}"/>
    <hyperlink ref="B465" r:id="rId928" display="https://tupiel.darsistemas.com/consulta_cups/costos?id=21002" xr:uid="{2DDF4227-88ED-4F60-936E-7B0DDF03506F}"/>
    <hyperlink ref="A466" r:id="rId929" display="https://tupiel.darsistemas.com/consulta/30726" xr:uid="{81718092-F05D-4993-B74D-D341B43C7F06}"/>
    <hyperlink ref="B466" r:id="rId930" display="https://tupiel.darsistemas.com/consulta_cups/costos?id=25813" xr:uid="{A5CBA5A7-D9E3-4A47-961E-DE1B888105E8}"/>
    <hyperlink ref="A467" r:id="rId931" display="https://tupiel.darsistemas.com/consulta/36087" xr:uid="{F673688A-94BB-4389-ACE7-D0F1CBCF8EE2}"/>
    <hyperlink ref="B467" r:id="rId932" display="https://tupiel.darsistemas.com/consulta_cups/costos?id=25875" xr:uid="{2A9524BF-B20C-4388-A7BA-AB91767BA0FF}"/>
    <hyperlink ref="A468" r:id="rId933" display="https://tupiel.darsistemas.com/consulta/36260" xr:uid="{A7B2A2B5-500E-40B1-A0BF-C25118BC5BF1}"/>
    <hyperlink ref="B468" r:id="rId934" display="https://tupiel.darsistemas.com/consulta_cups/costos?id=26195" xr:uid="{9712CCDE-4EE6-495B-AF29-4BC3E54A1F76}"/>
    <hyperlink ref="A469" r:id="rId935" display="https://tupiel.darsistemas.com/consulta/32877" xr:uid="{7EB32726-6A74-49BA-9887-F43B389DA0FD}"/>
    <hyperlink ref="B469" r:id="rId936" display="https://tupiel.darsistemas.com/consulta_cups/costos?id=25340" xr:uid="{EC2B78AE-293F-4E43-BCA0-686C2DD534FC}"/>
    <hyperlink ref="A470" r:id="rId937" display="https://tupiel.darsistemas.com/consulta/34424" xr:uid="{6CE8DE7F-58E8-473A-A59D-447D1992F336}"/>
    <hyperlink ref="B470" r:id="rId938" display="https://tupiel.darsistemas.com/consulta_cups/costos?id=25058" xr:uid="{7FEBD185-1B6A-47E5-AA17-D79C015B45CF}"/>
    <hyperlink ref="A471" r:id="rId939" display="https://tupiel.darsistemas.com/consulta/32634" xr:uid="{16BA8E3E-1E93-47D0-B2E6-885933D603AE}"/>
    <hyperlink ref="B471" r:id="rId940" display="https://tupiel.darsistemas.com/consulta_cups/costos?id=25257" xr:uid="{A1FA1513-51F8-4315-9B7A-FA5370C321E1}"/>
    <hyperlink ref="A472" r:id="rId941" display="https://tupiel.darsistemas.com/consulta/35653" xr:uid="{F0C2B8D3-693A-4901-8804-635CDACB85C1}"/>
    <hyperlink ref="B472" r:id="rId942" display="https://tupiel.darsistemas.com/consulta_cups/costos?id=25117" xr:uid="{1EE702B3-C79F-46D8-AE01-8FEBC5EE4F7E}"/>
    <hyperlink ref="A473" r:id="rId943" display="https://tupiel.darsistemas.com/consulta/36070" xr:uid="{FF307F46-8956-44AC-AD98-5FCFA18D33A2}"/>
    <hyperlink ref="B473" r:id="rId944" display="https://tupiel.darsistemas.com/consulta_cups/costos?id=25852" xr:uid="{040E5BA0-5594-4BEE-897D-65036BFC131A}"/>
    <hyperlink ref="A474" r:id="rId945" display="https://tupiel.darsistemas.com/consulta/28241" xr:uid="{9FC42633-6AB0-4312-8D48-D11A3925CB1E}"/>
    <hyperlink ref="B474" r:id="rId946" display="https://tupiel.darsistemas.com/consulta_cups/costos?id=26501" xr:uid="{E644F1B2-67A1-4D08-AB02-4535742B2ACE}"/>
    <hyperlink ref="A475" r:id="rId947" display="https://tupiel.darsistemas.com/consulta/36017" xr:uid="{29AFB33A-2BE5-48B3-9456-B8CB5F1415E6}"/>
    <hyperlink ref="B475" r:id="rId948" display="https://tupiel.darsistemas.com/consulta_cups/costos?id=25741" xr:uid="{AE878AF8-34F8-4502-AA05-4D8978786F7A}"/>
    <hyperlink ref="A476" r:id="rId949" display="https://tupiel.darsistemas.com/consulta/34441" xr:uid="{184191FC-6605-439E-B54F-3AF555154C34}"/>
    <hyperlink ref="B476" r:id="rId950" display="https://tupiel.darsistemas.com/consulta_cups/costos?id=24585" xr:uid="{4F3A8342-E969-414A-8E10-D03A00738C47}"/>
    <hyperlink ref="A477" r:id="rId951" display="https://tupiel.darsistemas.com/consulta/30155" xr:uid="{49AD1707-0CD7-476B-BB97-F0749B11F5AC}"/>
    <hyperlink ref="B477" r:id="rId952" display="https://tupiel.darsistemas.com/consulta_cups/costos?id=22839" xr:uid="{B7D001CE-C178-4C0A-9467-7F103E36677F}"/>
    <hyperlink ref="A478" r:id="rId953" display="https://tupiel.darsistemas.com/consulta/32251" xr:uid="{61EE2B19-4B1A-49DB-A9D7-9765A8F692E4}"/>
    <hyperlink ref="B478" r:id="rId954" display="https://tupiel.darsistemas.com/consulta_cups/costos?id=26395" xr:uid="{C2539781-A818-482B-B5EA-0A5404FA5DD0}"/>
    <hyperlink ref="A479" r:id="rId955" display="https://tupiel.darsistemas.com/consulta/30139" xr:uid="{0337D745-BC14-4897-91A8-015EAE96C229}"/>
    <hyperlink ref="B479" r:id="rId956" display="https://tupiel.darsistemas.com/consulta_cups/costos?id=24537" xr:uid="{6399643C-5349-4481-9A28-CF385CBC3AE8}"/>
    <hyperlink ref="A480" r:id="rId957" display="https://tupiel.darsistemas.com/consulta/26515" xr:uid="{335636B3-06A4-4A5C-906D-9464F178628F}"/>
    <hyperlink ref="B480" r:id="rId958" display="https://tupiel.darsistemas.com/consulta_cups/costos?id=26495" xr:uid="{A891E5B2-D78D-4FF5-B74C-4EB1294B0565}"/>
    <hyperlink ref="A481" r:id="rId959" display="https://tupiel.darsistemas.com/consulta/35997" xr:uid="{FD686747-8CA1-4C77-9614-7B2E0516087C}"/>
    <hyperlink ref="B481" r:id="rId960" display="https://tupiel.darsistemas.com/consulta_cups/costos?id=25714" xr:uid="{CC172366-CA85-4457-A6D8-73C2B5E5B771}"/>
    <hyperlink ref="A482" r:id="rId961" display="https://tupiel.darsistemas.com/consulta/26515" xr:uid="{66F2CFB4-8F89-4B37-8558-63D4D1DF44B9}"/>
    <hyperlink ref="B482" r:id="rId962" display="https://tupiel.darsistemas.com/consulta_cups/costos?id=26496" xr:uid="{5E953E14-3620-4BD3-AC68-B2862892396F}"/>
    <hyperlink ref="A483" r:id="rId963" display="https://tupiel.darsistemas.com/consulta/24545" xr:uid="{14467D3A-4828-496A-960D-F2D1880D5667}"/>
    <hyperlink ref="B483" r:id="rId964" display="https://tupiel.darsistemas.com/consulta_cups/costos?id=26525" xr:uid="{6D7245E5-0C0B-4CC0-B86A-121CDC73600D}"/>
    <hyperlink ref="A484" r:id="rId965" display="https://tupiel.darsistemas.com/consulta/36401" xr:uid="{45A56228-0A60-4AC7-9710-84B0E77E360A}"/>
    <hyperlink ref="B484" r:id="rId966" display="https://tupiel.darsistemas.com/consulta_cups/costos?id=26450" xr:uid="{A5A8023C-46C9-4B95-BC82-2C94082E6354}"/>
    <hyperlink ref="A485" r:id="rId967" display="https://tupiel.darsistemas.com/consulta/32108" xr:uid="{81DC87D2-E124-4F49-B409-887B89C43DEE}"/>
    <hyperlink ref="B485" r:id="rId968" display="https://tupiel.darsistemas.com/consulta_cups/costos?id=26541" xr:uid="{4309F787-7E72-4E96-A880-96E3A9B2DD9F}"/>
    <hyperlink ref="A486" r:id="rId969" display="https://tupiel.darsistemas.com/consulta/32108" xr:uid="{742D3E92-396A-49CC-8E8C-D2D85C0A308F}"/>
    <hyperlink ref="B486" r:id="rId970" display="https://tupiel.darsistemas.com/consulta_cups/costos?id=26543" xr:uid="{C75DE157-9F37-402B-8008-6C87127E8A23}"/>
    <hyperlink ref="A487" r:id="rId971" display="https://tupiel.darsistemas.com/consulta/35466" xr:uid="{7B6DF7F8-24D0-40BC-816C-5D8EA4CDD4BF}"/>
    <hyperlink ref="B487" r:id="rId972" display="https://tupiel.darsistemas.com/consulta_cups/costos?id=24774" xr:uid="{EB48D4FC-C225-4E5F-AB5A-694F3C1D8F2C}"/>
    <hyperlink ref="A488" r:id="rId973" display="https://tupiel.darsistemas.com/consulta/36238" xr:uid="{179157F1-63B4-4C43-8FA8-C6EB15344627}"/>
    <hyperlink ref="B488" r:id="rId974" display="https://tupiel.darsistemas.com/consulta_cups/costos?id=26520" xr:uid="{B69B3321-7291-4AF0-BE5D-AE65F2DF3E03}"/>
    <hyperlink ref="A489" r:id="rId975" display="https://tupiel.darsistemas.com/consulta/33922" xr:uid="{E30B52CF-4409-4660-BCAA-F29B156DE128}"/>
    <hyperlink ref="B489" r:id="rId976" display="https://tupiel.darsistemas.com/consulta_cups/costos?id=22470" xr:uid="{2050C608-70AC-4768-9549-AA0494D066DD}"/>
    <hyperlink ref="A490" r:id="rId977" display="https://tupiel.darsistemas.com/consulta/35986" xr:uid="{96436BF1-1B93-4A88-89E8-0D8B0EF0307D}"/>
    <hyperlink ref="B490" r:id="rId978" display="https://tupiel.darsistemas.com/consulta_cups/costos?id=25689" xr:uid="{036D653C-A8FF-4883-981D-C4B310B3552D}"/>
    <hyperlink ref="A491" r:id="rId979" display="https://tupiel.darsistemas.com/consulta/36216" xr:uid="{45240116-C995-4B31-811D-DD386F28ACF9}"/>
    <hyperlink ref="B491" r:id="rId980" display="https://tupiel.darsistemas.com/consulta_cups/costos?id=26094" xr:uid="{69D02B85-73D5-4520-BEC0-939480D3A2D3}"/>
    <hyperlink ref="A492" r:id="rId981" display="https://tupiel.darsistemas.com/consulta/35681" xr:uid="{910DC2C0-0932-471F-94B4-16FE8DB39A19}"/>
    <hyperlink ref="B492" r:id="rId982" display="https://tupiel.darsistemas.com/consulta_cups/costos?id=25126" xr:uid="{6C377CFA-B649-4CD3-8ED7-E994476E92CD}"/>
    <hyperlink ref="A493" r:id="rId983" display="https://tupiel.darsistemas.com/consulta/34187" xr:uid="{0252512D-B78E-45A6-BAD9-960F62F3052C}"/>
    <hyperlink ref="B493" r:id="rId984" display="https://tupiel.darsistemas.com/consulta_cups/costos?id=22863" xr:uid="{55E9D1A9-C897-4399-8C07-9D86225BDFA1}"/>
    <hyperlink ref="A494" r:id="rId985" display="https://tupiel.darsistemas.com/consulta/36461" xr:uid="{141FCF86-DD20-40C1-A7AA-FC0BEFEC2FE5}"/>
    <hyperlink ref="B494" r:id="rId986" display="https://tupiel.darsistemas.com/consulta_cups/costos?id=26556" xr:uid="{4A045710-D60A-459C-A135-2065B5F91AA8}"/>
    <hyperlink ref="A495" r:id="rId987" display="https://tupiel.darsistemas.com/consulta/36465" xr:uid="{B2E44ECA-DEDD-4C88-A36C-D875371FA22C}"/>
    <hyperlink ref="B495" r:id="rId988" display="https://tupiel.darsistemas.com/consulta_cups/costos?id=26564" xr:uid="{9EB158F0-46FB-4E08-8AB5-7A6485455A74}"/>
    <hyperlink ref="A496" r:id="rId989" display="https://tupiel.darsistemas.com/consulta/36418" xr:uid="{06D0FE7C-26EE-488E-BBFC-AC5C6CD437C0}"/>
    <hyperlink ref="B496" r:id="rId990" display="https://tupiel.darsistemas.com/consulta_cups/costos?id=26478" xr:uid="{037FD34A-B150-4726-BF81-AF95C2650097}"/>
    <hyperlink ref="A497" r:id="rId991" display="https://tupiel.darsistemas.com/consulta/36086" xr:uid="{DAB141BD-A0B6-4AC4-AB59-71F21A2896A6}"/>
    <hyperlink ref="B497" r:id="rId992" display="https://tupiel.darsistemas.com/consulta_cups/costos?id=25874" xr:uid="{6B5C1146-7FD0-44C2-82BA-852C9295ACFD}"/>
    <hyperlink ref="A498" r:id="rId993" display="https://tupiel.darsistemas.com/consulta/36472" xr:uid="{B410F284-B3CF-49CC-ABCF-853E8CB21F85}"/>
    <hyperlink ref="B498" r:id="rId994" display="https://tupiel.darsistemas.com/consulta_cups/costos?id=26575" xr:uid="{AF46D4FD-D6DE-4F08-A33F-31E94DF0BDB2}"/>
    <hyperlink ref="A499" r:id="rId995" display="https://tupiel.darsistemas.com/consulta/35827" xr:uid="{616D767E-3A81-4D50-AD23-1C2090028CF9}"/>
    <hyperlink ref="B499" r:id="rId996" display="https://tupiel.darsistemas.com/consulta_cups/costos?id=25680" xr:uid="{C7CF49C8-FE26-472F-901F-5868684CCE50}"/>
    <hyperlink ref="A500" r:id="rId997" display="https://tupiel.darsistemas.com/consulta/33003" xr:uid="{003C682B-31B3-48F2-96FC-B5593BF85F9B}"/>
    <hyperlink ref="B500" r:id="rId998" display="https://tupiel.darsistemas.com/consulta_cups/costos?id=20993" xr:uid="{89B8527B-476A-4892-A36A-861984B98E58}"/>
    <hyperlink ref="A501" r:id="rId999" display="https://tupiel.darsistemas.com/consulta/36452" xr:uid="{A7088C4D-8958-4818-9220-6D9050A451DF}"/>
    <hyperlink ref="B501" r:id="rId1000" display="https://tupiel.darsistemas.com/consulta_cups/costos?id=26539" xr:uid="{32BE0C9D-6B41-4804-9E07-0F3937E38EE2}"/>
    <hyperlink ref="A502" r:id="rId1001" display="https://tupiel.darsistemas.com/consulta/36231" xr:uid="{CA044249-030A-426B-8661-9C06FE57FAAF}"/>
    <hyperlink ref="B502" r:id="rId1002" display="https://tupiel.darsistemas.com/consulta_cups/costos?id=26131" xr:uid="{302AFEB9-BA6B-404F-BDB2-F4462C1BCC44}"/>
    <hyperlink ref="A503" r:id="rId1003" display="https://tupiel.darsistemas.com/consulta/36231" xr:uid="{6B12A20E-A37E-400F-9043-8A2CB0A6ED6F}"/>
    <hyperlink ref="B503" r:id="rId1004" display="https://tupiel.darsistemas.com/consulta_cups/costos?id=26132" xr:uid="{591DAB12-2BB6-43DA-9F0C-5274BF1D2840}"/>
    <hyperlink ref="A504" r:id="rId1005" display="https://tupiel.darsistemas.com/consulta/33003" xr:uid="{B06A5E69-6679-4A0E-872C-5F10BCE6B76C}"/>
    <hyperlink ref="B504" r:id="rId1006" display="https://tupiel.darsistemas.com/consulta_cups/costos?id=26542" xr:uid="{627CF935-095B-42BB-AC6A-DBFC1670A5FC}"/>
    <hyperlink ref="A505" r:id="rId1007" display="https://tupiel.darsistemas.com/consulta/36474" xr:uid="{A429138C-11B3-45DD-B5B4-0A0772D92AD1}"/>
    <hyperlink ref="B505" r:id="rId1008" display="https://tupiel.darsistemas.com/consulta_cups/costos?id=26578" xr:uid="{52F000E0-8840-4EA9-9762-C81862B3849B}"/>
    <hyperlink ref="A506" r:id="rId1009" display="https://tupiel.darsistemas.com/consulta/35807" xr:uid="{6A251E35-C587-4801-9C0E-A68CFC59F07E}"/>
    <hyperlink ref="B506" r:id="rId1010" display="https://tupiel.darsistemas.com/consulta_cups/costos?id=25355" xr:uid="{8245A775-7141-4828-AE4C-BDBB4269DE75}"/>
    <hyperlink ref="A507" r:id="rId1011" display="https://tupiel.darsistemas.com/consulta/36360" xr:uid="{788F48D8-27EA-4F35-9C9F-D8FB800CBB96}"/>
    <hyperlink ref="B507" r:id="rId1012" display="https://tupiel.darsistemas.com/consulta_cups/costos?id=26375" xr:uid="{651D4282-F129-459C-9A69-A65314B26FD5}"/>
    <hyperlink ref="A508" r:id="rId1013" display="https://tupiel.darsistemas.com/consulta/36468" xr:uid="{3BD645F0-5D85-4B71-85F7-6D65C00E723E}"/>
    <hyperlink ref="B508" r:id="rId1014" display="https://tupiel.darsistemas.com/consulta_cups/costos?id=26570" xr:uid="{A8C461C7-AF13-464A-BB5E-5E0F18BE6983}"/>
    <hyperlink ref="A509" r:id="rId1015" display="https://tupiel.darsistemas.com/consulta/36450" xr:uid="{3850A2DB-26D1-4747-BA6A-B7D3B31DB6D5}"/>
    <hyperlink ref="B509" r:id="rId1016" display="https://tupiel.darsistemas.com/consulta_cups/costos?id=26536" xr:uid="{A03C2765-AFC3-4855-B3C2-F85C3825B6B2}"/>
    <hyperlink ref="A510" r:id="rId1017" display="https://tupiel.darsistemas.com/consulta/36434" xr:uid="{109E64A0-7AB7-4316-86C0-2FA560718E1C}"/>
    <hyperlink ref="B510" r:id="rId1018" display="https://tupiel.darsistemas.com/consulta_cups/costos?id=26511" xr:uid="{1349306F-877A-4BDB-8294-7DF80ED7B40D}"/>
    <hyperlink ref="A511" r:id="rId1019" display="https://tupiel.darsistemas.com/consulta/30891" xr:uid="{76524C05-AED5-4948-A58E-DB334957FC0C}"/>
    <hyperlink ref="B511" r:id="rId1020" display="https://tupiel.darsistemas.com/consulta_cups/costos?id=23539" xr:uid="{860540F5-C5B9-455C-9733-4C666CFA0CBA}"/>
    <hyperlink ref="A512" r:id="rId1021" display="https://tupiel.darsistemas.com/consulta/34717" xr:uid="{60E30746-99F0-48D9-9D9F-F423DC7CA387}"/>
    <hyperlink ref="B512" r:id="rId1022" display="https://tupiel.darsistemas.com/consulta_cups/costos?id=23668" xr:uid="{ECB5947A-C485-4CD7-8BA6-EB06342C2487}"/>
    <hyperlink ref="A513" r:id="rId1023" display="https://tupiel.darsistemas.com/consulta/36030" xr:uid="{05EF3A64-F244-4D44-838A-26EF3600A78F}"/>
    <hyperlink ref="B513" r:id="rId1024" display="https://tupiel.darsistemas.com/consulta_cups/costos?id=25780" xr:uid="{A61874F1-34DC-45EA-A3A5-E23C488D895B}"/>
    <hyperlink ref="A514" r:id="rId1025" display="https://tupiel.darsistemas.com/consulta/36322" xr:uid="{D5141FDA-8BCB-47AD-B6C5-0FB160706C17}"/>
    <hyperlink ref="B514" r:id="rId1026" display="https://tupiel.darsistemas.com/consulta_cups/costos?id=26593" xr:uid="{DC3C3FCE-179C-4045-AD3C-68DE5532F1C7}"/>
    <hyperlink ref="A515" r:id="rId1027" display="https://tupiel.darsistemas.com/consulta/34444" xr:uid="{B5551FD3-A88F-48AB-8FA5-025DEAD64605}"/>
    <hyperlink ref="B515" r:id="rId1028" display="https://tupiel.darsistemas.com/consulta_cups/costos?id=24415" xr:uid="{2FE574BB-97BD-4DEE-B994-F0E75F8689B0}"/>
    <hyperlink ref="A516" r:id="rId1029" display="https://tupiel.darsistemas.com/consulta/35581" xr:uid="{AF87125E-34BF-485D-A1B7-455A6A21EDD1}"/>
    <hyperlink ref="B516" r:id="rId1030" display="https://tupiel.darsistemas.com/consulta_cups/costos?id=26590" xr:uid="{08C696D3-AF55-40D2-9A32-5E7A47A5BA82}"/>
    <hyperlink ref="A517" r:id="rId1031" display="https://tupiel.darsistemas.com/consulta/35578" xr:uid="{A9C0E2E4-6D58-461D-BDAD-C6007012505B}"/>
    <hyperlink ref="B517" r:id="rId1032" display="https://tupiel.darsistemas.com/consulta_cups/costos?id=24953" xr:uid="{D93807F6-C79F-47A1-A1A9-DE7D0FE19B5C}"/>
    <hyperlink ref="A518" r:id="rId1033" display="https://tupiel.darsistemas.com/consulta/35581" xr:uid="{7392F3E1-665A-47EE-9CD1-856C58D5AB0D}"/>
    <hyperlink ref="B518" r:id="rId1034" display="https://tupiel.darsistemas.com/consulta_cups/costos?id=26595" xr:uid="{B126F237-5E47-449F-AD41-017769FF6667}"/>
    <hyperlink ref="A519" r:id="rId1035" display="https://tupiel.darsistemas.com/consulta/36339" xr:uid="{D06E96EA-FD3B-4A81-A518-BACDD4FC0CFB}"/>
    <hyperlink ref="B519" r:id="rId1036" display="https://tupiel.darsistemas.com/consulta_cups/costos?id=26337" xr:uid="{C9B8F82A-B3B0-4579-8A94-B663E522665B}"/>
    <hyperlink ref="A520" r:id="rId1037" display="https://tupiel.darsistemas.com/consulta/35735" xr:uid="{BE89EB0D-3C02-4DAF-ACE3-2830E55A294D}"/>
    <hyperlink ref="B520" r:id="rId1038" display="https://tupiel.darsistemas.com/consulta_cups/costos?id=25222" xr:uid="{7680A8D1-BEE6-4E75-97C0-25A9DEBD6921}"/>
    <hyperlink ref="A521" r:id="rId1039" display="https://tupiel.darsistemas.com/consulta/36266" xr:uid="{03C6D6B1-1AD4-4D75-9D97-26359B6D073F}"/>
    <hyperlink ref="B521" r:id="rId1040" display="https://tupiel.darsistemas.com/consulta_cups/costos?id=26208" xr:uid="{53625CEE-C81A-40A0-9F4D-339F1478B6C3}"/>
    <hyperlink ref="A522" r:id="rId1041" display="https://tupiel.darsistemas.com/consulta/36303" xr:uid="{BF9E3BE8-0501-46BD-9295-AAF55AAE9F59}"/>
    <hyperlink ref="B522" r:id="rId1042" display="https://tupiel.darsistemas.com/consulta_cups/costos?id=26273" xr:uid="{12D35D5C-5D53-4AA8-9825-3C31EE2D8489}"/>
    <hyperlink ref="A523" r:id="rId1043" display="https://tupiel.darsistemas.com/consulta/36034" xr:uid="{EC68FC31-1331-4168-9C36-06783173D0CD}"/>
    <hyperlink ref="B523" r:id="rId1044" display="https://tupiel.darsistemas.com/consulta_cups/costos?id=26586" xr:uid="{66923554-4664-427A-A75B-DE7D01B33AAF}"/>
    <hyperlink ref="A524" r:id="rId1045" display="https://tupiel.darsistemas.com/consulta/33352" xr:uid="{A71E829A-F666-441A-9E1A-2CA16D0C7042}"/>
    <hyperlink ref="B524" r:id="rId1046" display="https://tupiel.darsistemas.com/consulta_cups/costos?id=23690" xr:uid="{7CDCCE84-44DA-45F9-8BF6-CE541F546C2C}"/>
    <hyperlink ref="A525" r:id="rId1047" display="https://tupiel.darsistemas.com/consulta/33352" xr:uid="{03F06530-57C5-4917-BBEB-98263AF8841C}"/>
    <hyperlink ref="B525" r:id="rId1048" display="https://tupiel.darsistemas.com/consulta_cups/costos?id=23691" xr:uid="{052170FF-8BC7-4ED0-88DE-5F78B6C6E116}"/>
    <hyperlink ref="A526" r:id="rId1049" display="https://tupiel.darsistemas.com/consulta/33352" xr:uid="{CFF4A6AF-6713-452A-B64E-ABAED8142330}"/>
    <hyperlink ref="B526" r:id="rId1050" display="https://tupiel.darsistemas.com/consulta_cups/costos?id=26566" xr:uid="{5A514610-5CD9-4474-995E-5BCC27A0D49C}"/>
    <hyperlink ref="A527" r:id="rId1051" display="https://tupiel.darsistemas.com/consulta/36476" xr:uid="{553ED53B-FD47-455E-A8B0-B6C3C8D4CF59}"/>
    <hyperlink ref="B527" r:id="rId1052" display="https://tupiel.darsistemas.com/consulta_cups/costos?id=26581" xr:uid="{DA9FC1CA-8DD9-4427-B807-20C156379366}"/>
    <hyperlink ref="A528" r:id="rId1053" display="https://tupiel.darsistemas.com/consulta/31722" xr:uid="{46A4A29A-A3A8-47BD-BBB3-260BD22D3D6C}"/>
    <hyperlink ref="B528" r:id="rId1054" display="https://tupiel.darsistemas.com/consulta_cups/costos?id=26574" xr:uid="{9060EE64-6B7C-4640-BFEB-06486B19996B}"/>
    <hyperlink ref="A529" r:id="rId1055" display="https://tupiel.darsistemas.com/consulta/33008" xr:uid="{2014205E-FBE8-4E84-B829-263F13DA115D}"/>
    <hyperlink ref="B529" r:id="rId1056" display="https://tupiel.darsistemas.com/consulta_cups/costos?id=24920" xr:uid="{D2E595DF-85ED-4125-B756-574ABFF4577A}"/>
    <hyperlink ref="A530" r:id="rId1057" display="https://tupiel.darsistemas.com/consulta/30570" xr:uid="{2BA083D3-203B-4FB8-B919-C1385F5B777E}"/>
    <hyperlink ref="B530" r:id="rId1058" display="https://tupiel.darsistemas.com/consulta_cups/costos?id=26584" xr:uid="{B854FDAF-C6A8-44E4-B466-D8B8E80B9F85}"/>
    <hyperlink ref="A531" r:id="rId1059" display="https://tupiel.darsistemas.com/consulta/29084" xr:uid="{E568F468-BC9A-4F25-9C94-BD12BE66A455}"/>
    <hyperlink ref="B531" r:id="rId1060" display="https://tupiel.darsistemas.com/consulta_cups/costos?id=24380" xr:uid="{5F0C05D3-4571-4BFB-BE42-3015F271E721}"/>
    <hyperlink ref="A532" r:id="rId1061" display="https://tupiel.darsistemas.com/consulta/35745" xr:uid="{7FD731F2-0C6F-491E-A6BD-E6EDEB7DF45D}"/>
    <hyperlink ref="B532" r:id="rId1062" display="https://tupiel.darsistemas.com/consulta_cups/costos?id=25251" xr:uid="{87B1F8DC-2274-41DA-8FBA-89B9D0C9D310}"/>
    <hyperlink ref="A533" r:id="rId1063" display="https://tupiel.darsistemas.com/consulta/35929" xr:uid="{0619FA58-716E-4F20-A76D-A3438F6E886E}"/>
    <hyperlink ref="B533" r:id="rId1064" display="https://tupiel.darsistemas.com/consulta_cups/costos?id=25574" xr:uid="{59C4FC8F-C62D-4478-B168-92F1E354792E}"/>
    <hyperlink ref="A534" r:id="rId1065" display="https://tupiel.darsistemas.com/consulta/36483" xr:uid="{58A9B496-D468-4A3B-8C2F-E589EC61C555}"/>
    <hyperlink ref="B534" r:id="rId1066" display="https://tupiel.darsistemas.com/consulta_cups/costos?id=26606" xr:uid="{09173DF4-5BBA-42FF-B0DB-2DF881DB8372}"/>
    <hyperlink ref="A535" r:id="rId1067" display="https://tupiel.darsistemas.com/consulta/35929" xr:uid="{7D986F67-7E86-421C-8911-144D617200AB}"/>
    <hyperlink ref="B535" r:id="rId1068" display="https://tupiel.darsistemas.com/consulta_cups/costos?id=25575" xr:uid="{7CB6DFE4-98C4-4693-9EB9-441244DC4C7E}"/>
    <hyperlink ref="A536" r:id="rId1069" display="https://tupiel.darsistemas.com/consulta/35984" xr:uid="{9A10D205-8EBB-4DD8-98DB-F00F88BDB3E1}"/>
    <hyperlink ref="B536" r:id="rId1070" display="https://tupiel.darsistemas.com/consulta_cups/costos?id=26498" xr:uid="{455B2EC8-AB21-4740-A21F-973E79D56930}"/>
    <hyperlink ref="A537" r:id="rId1071" display="https://tupiel.darsistemas.com/consulta/35984" xr:uid="{785C1D72-E792-4CBE-8740-D374954C6ADB}"/>
    <hyperlink ref="B537" r:id="rId1072" display="https://tupiel.darsistemas.com/consulta_cups/costos?id=26499" xr:uid="{1B23D2A4-D916-446E-ACF8-ED7399F3F7DD}"/>
    <hyperlink ref="A538" r:id="rId1073" display="https://tupiel.darsistemas.com/consulta/36485" xr:uid="{0734AD47-DAFB-405D-85EC-9D514035BBA6}"/>
    <hyperlink ref="B538" r:id="rId1074" display="https://tupiel.darsistemas.com/consulta_cups/costos?id=26608" xr:uid="{73FDCCA9-A80C-4A1C-B0B2-C648433C3CEC}"/>
    <hyperlink ref="A539" r:id="rId1075" display="https://tupiel.darsistemas.com/consulta/36063" xr:uid="{5EC06C98-2FF2-4CB8-A09F-1EDA9E90C6D3}"/>
    <hyperlink ref="B539" r:id="rId1076" display="https://tupiel.darsistemas.com/consulta_cups/costos?id=25839" xr:uid="{895598B6-E719-4D1B-9D2C-B99F6DAD7850}"/>
    <hyperlink ref="A540" r:id="rId1077" display="https://tupiel.darsistemas.com/consulta/36063" xr:uid="{5467621E-9419-4E82-AE98-C6DAA07A6D3C}"/>
    <hyperlink ref="B540" r:id="rId1078" display="https://tupiel.darsistemas.com/consulta_cups/costos?id=26609" xr:uid="{D636EE6A-D2BE-4E1E-9299-75770B94794F}"/>
    <hyperlink ref="A541" r:id="rId1079" display="https://tupiel.darsistemas.com/consulta/32768" xr:uid="{4DB749D1-534D-4D49-B742-00709B6ECC80}"/>
    <hyperlink ref="B541" r:id="rId1080" display="https://tupiel.darsistemas.com/consulta_cups/costos?id=20635" xr:uid="{0761B5FE-02A1-4A0E-A7E1-F9F808A131B0}"/>
    <hyperlink ref="A542" r:id="rId1081" display="https://tupiel.darsistemas.com/consulta/35746" xr:uid="{32FDF945-133B-4DC8-A761-AEB60DE15F5B}"/>
    <hyperlink ref="B542" r:id="rId1082" display="https://tupiel.darsistemas.com/consulta_cups/costos?id=25252" xr:uid="{B6820D0D-7351-448A-A25F-6AD7468422EB}"/>
    <hyperlink ref="A543" r:id="rId1083" display="https://tupiel.darsistemas.com/consulta/35534" xr:uid="{16FED3C1-6743-47E8-A004-6C63C3846E58}"/>
    <hyperlink ref="B543" r:id="rId1084" display="https://tupiel.darsistemas.com/consulta_cups/costos?id=24876" xr:uid="{FCA92E79-7329-483B-A1EF-158266593522}"/>
    <hyperlink ref="A544" r:id="rId1085" display="https://tupiel.darsistemas.com/consulta/36486" xr:uid="{C9F47F50-9A2E-4A32-84FA-0F59267A2FAC}"/>
    <hyperlink ref="B544" r:id="rId1086" display="https://tupiel.darsistemas.com/consulta_cups/costos?id=26614" xr:uid="{079689CB-027C-4187-A52E-E24C316748FA}"/>
    <hyperlink ref="A545" r:id="rId1087" display="https://tupiel.darsistemas.com/consulta/32408" xr:uid="{3D07AE46-4FBA-4739-9A07-1AB09D01C029}"/>
    <hyperlink ref="B545" r:id="rId1088" display="https://tupiel.darsistemas.com/consulta_cups/costos?id=26007" xr:uid="{4D5C218A-4AF6-4B98-B3F9-9D68497BC6D3}"/>
    <hyperlink ref="A546" r:id="rId1089" display="https://tupiel.darsistemas.com/consulta/32768" xr:uid="{599DC29D-7BD2-4F00-B3D5-3C19F0E3651E}"/>
    <hyperlink ref="B546" r:id="rId1090" display="https://tupiel.darsistemas.com/consulta_cups/costos?id=26610" xr:uid="{290EF895-65C2-4165-B307-ED792E8203F8}"/>
    <hyperlink ref="A547" r:id="rId1091" display="https://tupiel.darsistemas.com/consulta/32768" xr:uid="{989A3307-AF99-4144-8958-25CDB9E1F9E8}"/>
    <hyperlink ref="B547" r:id="rId1092" display="https://tupiel.darsistemas.com/consulta_cups/costos?id=26611" xr:uid="{DB8D5EC0-484A-4DA3-89CA-BC86A6325A9F}"/>
    <hyperlink ref="A548" r:id="rId1093" display="https://tupiel.darsistemas.com/consulta/32408" xr:uid="{07C22DD3-F809-4B87-BBE2-5848ECC243F2}"/>
    <hyperlink ref="B548" r:id="rId1094" display="https://tupiel.darsistemas.com/consulta_cups/costos?id=26020" xr:uid="{2372570D-E4BF-4ABB-A4DF-4ED6064A81C6}"/>
    <hyperlink ref="A549" r:id="rId1095" display="https://tupiel.darsistemas.com/consulta/35933" xr:uid="{CA8898ED-24CE-48FB-80BD-BE86CAA69BD7}"/>
    <hyperlink ref="B549" r:id="rId1096" display="https://tupiel.darsistemas.com/consulta_cups/costos?id=25583" xr:uid="{861F7219-00B1-48BA-93A7-F8121BD17B4F}"/>
    <hyperlink ref="A550" r:id="rId1097" display="https://tupiel.darsistemas.com/consulta/35933" xr:uid="{5BFBE52B-F273-4E37-AD60-12AAA5E59FF6}"/>
    <hyperlink ref="B550" r:id="rId1098" display="https://tupiel.darsistemas.com/consulta_cups/costos?id=25584" xr:uid="{5CE64154-7123-4AD1-B1D9-AF4FD05BDCE6}"/>
    <hyperlink ref="A551" r:id="rId1099" display="https://tupiel.darsistemas.com/consulta/36426" xr:uid="{4581CC44-F90E-432A-AB3B-B49F438E9B2E}"/>
    <hyperlink ref="B551" r:id="rId1100" display="https://tupiel.darsistemas.com/consulta_cups/costos?id=26486" xr:uid="{0BE330C6-EFDB-4EA8-A142-8E37ED58E97B}"/>
    <hyperlink ref="A552" r:id="rId1101" display="https://tupiel.darsistemas.com/consulta/21440" xr:uid="{1BD302A5-0E6C-488A-BC46-BAC13E884E5D}"/>
    <hyperlink ref="B552" r:id="rId1102" display="https://tupiel.darsistemas.com/consulta_cups/costos?id=24844" xr:uid="{AA37B665-026A-4D05-B694-4E2699FB07C8}"/>
    <hyperlink ref="A553" r:id="rId1103" display="https://tupiel.darsistemas.com/consulta/35668" xr:uid="{29691FAC-F739-4929-827E-B34FD805A21A}"/>
    <hyperlink ref="B553" r:id="rId1104" display="https://tupiel.darsistemas.com/consulta_cups/costos?id=25938" xr:uid="{C1CDE569-015E-421A-A640-371A7B33C8EA}"/>
    <hyperlink ref="A554" r:id="rId1105" display="https://tupiel.darsistemas.com/consulta/30600" xr:uid="{7D37F8CA-782A-41B5-BEE6-AD99D61E376A}"/>
    <hyperlink ref="B554" r:id="rId1106" display="https://tupiel.darsistemas.com/consulta_cups/costos?id=18377" xr:uid="{F0FF1658-439F-4B32-A163-1FA82994C58D}"/>
    <hyperlink ref="A555" r:id="rId1107" display="https://tupiel.darsistemas.com/consulta/29527" xr:uid="{A1668737-D824-4803-ACB5-CD49E443E334}"/>
    <hyperlink ref="B555" r:id="rId1108" display="https://tupiel.darsistemas.com/consulta_cups/costos?id=24701" xr:uid="{B271110A-4E45-4A7E-9EBD-1A5B3CBF1345}"/>
    <hyperlink ref="A556" r:id="rId1109" display="https://tupiel.darsistemas.com/consulta/35981" xr:uid="{F31398AC-141F-4D81-8A5D-FF4FA0FAC663}"/>
    <hyperlink ref="B556" r:id="rId1110" display="https://tupiel.darsistemas.com/consulta_cups/costos?id=25683" xr:uid="{613D2569-9EE0-42B4-A26F-9C5BA7532264}"/>
    <hyperlink ref="A557" r:id="rId1111" display="https://tupiel.darsistemas.com/consulta/21196" xr:uid="{C9054E97-B469-4450-B257-92E5F3D821F2}"/>
    <hyperlink ref="B557" r:id="rId1112" display="https://tupiel.darsistemas.com/consulta_cups/costos?id=26634" xr:uid="{178B79D1-F108-4440-959D-4F9D015E07E3}"/>
    <hyperlink ref="A558" r:id="rId1113" display="https://tupiel.darsistemas.com/consulta/33404" xr:uid="{29BB6B3C-3974-4526-9EC6-53E03433AFE5}"/>
    <hyperlink ref="B558" r:id="rId1114" display="https://tupiel.darsistemas.com/consulta_cups/costos?id=25256" xr:uid="{03AA1EF1-D941-41AE-B0FE-9004AF6172FA}"/>
    <hyperlink ref="A559" r:id="rId1115" display="https://tupiel.darsistemas.com/consulta/36412" xr:uid="{20671BEE-B747-4531-8287-7A12DEBCADF4}"/>
    <hyperlink ref="B559" r:id="rId1116" display="https://tupiel.darsistemas.com/consulta_cups/costos?id=26466" xr:uid="{078301AA-0C32-412A-BA5A-8EF85E4DDA94}"/>
    <hyperlink ref="A560" r:id="rId1117" display="https://tupiel.darsistemas.com/consulta/36304" xr:uid="{3FDB1BD9-8AC8-4E43-9C97-E5C5DDD6EA1C}"/>
    <hyperlink ref="B560" r:id="rId1118" display="https://tupiel.darsistemas.com/consulta_cups/costos?id=26277" xr:uid="{704DBEFF-FA00-45B7-B076-7582C9AA0972}"/>
    <hyperlink ref="A561" r:id="rId1119" display="https://tupiel.darsistemas.com/consulta/36475" xr:uid="{CB186D7E-AF05-4DD0-8566-0CDA2E8CDD66}"/>
    <hyperlink ref="B561" r:id="rId1120" display="https://tupiel.darsistemas.com/consulta_cups/costos?id=26579" xr:uid="{E4FAC1F2-606F-4D1C-90F2-21ABA6DF76B0}"/>
    <hyperlink ref="A562" r:id="rId1121" display="https://tupiel.darsistemas.com/consulta/36507" xr:uid="{D37209A5-0EF7-4BFE-A2A9-EA7F6949DCE9}"/>
    <hyperlink ref="B562" r:id="rId1122" display="https://tupiel.darsistemas.com/consulta_cups/costos?id=26651" xr:uid="{C3658DB0-ECF8-48AD-BAC5-A4BFB8860619}"/>
    <hyperlink ref="A563" r:id="rId1123" display="https://tupiel.darsistemas.com/consulta/34368" xr:uid="{A5E9EF2F-29D2-4936-83A1-1B765F4D04D1}"/>
    <hyperlink ref="B563" r:id="rId1124" display="https://tupiel.darsistemas.com/consulta_cups/costos?id=24979" xr:uid="{39073009-FDCA-47D7-84DF-D7669A0E8E04}"/>
    <hyperlink ref="A564" r:id="rId1125" display="https://tupiel.darsistemas.com/consulta/36366" xr:uid="{7DFF2AE9-D76D-489A-BCAB-E2848F086321}"/>
    <hyperlink ref="B564" r:id="rId1126" display="https://tupiel.darsistemas.com/consulta_cups/costos?id=26394" xr:uid="{7CBD19EE-82EB-4EE4-B478-BF280EDD0337}"/>
    <hyperlink ref="A565" r:id="rId1127" display="https://tupiel.darsistemas.com/consulta/32912" xr:uid="{C18619FD-D91C-4479-A371-8C809C3D6609}"/>
    <hyperlink ref="B565" r:id="rId1128" display="https://tupiel.darsistemas.com/consulta_cups/costos?id=26356" xr:uid="{1BFBC59D-5879-4297-B4B4-3DCD0D65F975}"/>
    <hyperlink ref="A566" r:id="rId1129" display="https://tupiel.darsistemas.com/consulta/36498" xr:uid="{30B51962-2FA1-4A48-9069-FD8A808E4F3B}"/>
    <hyperlink ref="B566" r:id="rId1130" display="https://tupiel.darsistemas.com/consulta_cups/costos?id=26637" xr:uid="{01197833-B149-4416-BECC-F4E6669E87EB}"/>
    <hyperlink ref="A567" r:id="rId1131" display="https://tupiel.darsistemas.com/consulta/36431" xr:uid="{094F42BF-DD02-4932-A0B8-EEFC59644551}"/>
    <hyperlink ref="B567" r:id="rId1132" display="https://tupiel.darsistemas.com/consulta_cups/costos?id=26500" xr:uid="{E9D839E7-3B02-4634-A08E-F4537041FAC7}"/>
    <hyperlink ref="A568" r:id="rId1133" display="https://tupiel.darsistemas.com/consulta/35988" xr:uid="{F05C2949-C74D-4884-A6DF-F963ED0D159C}"/>
    <hyperlink ref="B568" r:id="rId1134" display="https://tupiel.darsistemas.com/consulta_cups/costos?id=26661" xr:uid="{9427A437-228E-4DF7-8E3B-8672852FB1D9}"/>
    <hyperlink ref="A569" r:id="rId1135" display="https://tupiel.darsistemas.com/consulta/36301" xr:uid="{92DD3094-3571-4750-9880-FB7C41F2FA2D}"/>
    <hyperlink ref="B569" r:id="rId1136" display="https://tupiel.darsistemas.com/consulta_cups/costos?id=26266" xr:uid="{CA301D31-B14A-4A7C-A14F-9463E89B0144}"/>
    <hyperlink ref="A570" r:id="rId1137" display="https://tupiel.darsistemas.com/consulta/36511" xr:uid="{151CF080-140B-4FD2-BC34-B32ECC4DA091}"/>
    <hyperlink ref="B570" r:id="rId1138" display="https://tupiel.darsistemas.com/consulta_cups/costos?id=26655" xr:uid="{7017CB4F-9D41-487E-9766-BDAF3A838F26}"/>
    <hyperlink ref="A571" r:id="rId1139" display="https://tupiel.darsistemas.com/consulta/36413" xr:uid="{B644D749-285A-4FEE-91F9-111127DB2D21}"/>
    <hyperlink ref="B571" r:id="rId1140" display="https://tupiel.darsistemas.com/consulta_cups/costos?id=26467" xr:uid="{9B335A23-07AF-46D4-8BE8-D963EED44F41}"/>
    <hyperlink ref="A572" r:id="rId1141" display="https://tupiel.darsistemas.com/consulta/36433" xr:uid="{982C92BC-7FF9-4041-B1E2-57C8EC2B57DC}"/>
    <hyperlink ref="B572" r:id="rId1142" display="https://tupiel.darsistemas.com/consulta_cups/costos?id=26509" xr:uid="{23592EF9-F47C-4406-B6C1-48B3CA1150C6}"/>
    <hyperlink ref="A573" r:id="rId1143" display="https://tupiel.darsistemas.com/consulta/36370" xr:uid="{4A997066-79B4-44FB-81DC-B6D89EAE72AA}"/>
    <hyperlink ref="B573" r:id="rId1144" display="https://tupiel.darsistemas.com/consulta_cups/costos?id=26406" xr:uid="{7BFEF824-073D-4CD8-A1D4-57035AE01FBE}"/>
    <hyperlink ref="A574" r:id="rId1145" display="https://tupiel.darsistemas.com/consulta/33615" xr:uid="{4F0CBD79-F6C9-40B1-B8EF-F9BD87343F4F}"/>
    <hyperlink ref="B574" r:id="rId1146" display="https://tupiel.darsistemas.com/consulta_cups/costos?id=26667" xr:uid="{C30E9580-62A7-434E-B7F3-EB5B0B94BF55}"/>
    <hyperlink ref="A575" r:id="rId1147" display="https://tupiel.darsistemas.com/consulta/35575" xr:uid="{4CC4D113-2F41-4A9C-9BC8-8B7173B7E4E4}"/>
    <hyperlink ref="B575" r:id="rId1148" display="https://tupiel.darsistemas.com/consulta_cups/costos?id=25016" xr:uid="{33B21F57-46C1-4E31-A708-B81645BB85DD}"/>
    <hyperlink ref="A576" r:id="rId1149" display="https://tupiel.darsistemas.com/consulta/33615" xr:uid="{97937C73-3B26-4BB4-8AB1-4B2E5C88C0B9}"/>
    <hyperlink ref="B576" r:id="rId1150" display="https://tupiel.darsistemas.com/consulta_cups/costos?id=26668" xr:uid="{BEE09C9F-971C-4B1A-8CB9-6CB310FCE1A0}"/>
    <hyperlink ref="A577" r:id="rId1151" display="https://tupiel.darsistemas.com/consulta/33615" xr:uid="{2D0660E4-59B5-4175-B01B-CF62A5867049}"/>
    <hyperlink ref="B577" r:id="rId1152" display="https://tupiel.darsistemas.com/consulta_cups/costos?id=26669" xr:uid="{497CD90D-9754-4302-8B84-67CCAE2E4EF2}"/>
    <hyperlink ref="A578" r:id="rId1153" display="https://tupiel.darsistemas.com/consulta/35575" xr:uid="{F8FB18B9-7E0B-47AB-9A4E-B747C58A26EB}"/>
    <hyperlink ref="B578" r:id="rId1154" display="https://tupiel.darsistemas.com/consulta_cups/costos?id=25017" xr:uid="{6DC16060-0AA1-462E-9271-EF46B905233E}"/>
    <hyperlink ref="A579" r:id="rId1155" display="https://tupiel.darsistemas.com/consulta/22035" xr:uid="{2A93E8D0-1213-40E8-9217-4AAA4A29B8EF}"/>
    <hyperlink ref="B579" r:id="rId1156" display="https://tupiel.darsistemas.com/consulta_cups/costos?id=26626" xr:uid="{276BF035-061A-486A-9621-CF7A046C7953}"/>
    <hyperlink ref="A580" r:id="rId1157" display="https://tupiel.darsistemas.com/consulta/36508" xr:uid="{9425E279-76E3-4B3D-8989-AD1FE327DEAB}"/>
    <hyperlink ref="B580" r:id="rId1158" display="https://tupiel.darsistemas.com/consulta_cups/costos?id=26652" xr:uid="{BBB05CDC-B4BA-4D1C-9E0D-29F300B2B57E}"/>
    <hyperlink ref="A581" r:id="rId1159" display="https://tupiel.darsistemas.com/consulta/22035" xr:uid="{10F55E3D-B44B-4B50-BA61-F69B6333C6F9}"/>
    <hyperlink ref="B581" r:id="rId1160" display="https://tupiel.darsistemas.com/consulta_cups/costos?id=26627" xr:uid="{7277CFED-BEEC-4C29-B6D8-CBBD628C5B07}"/>
    <hyperlink ref="A582" r:id="rId1161" display="https://tupiel.darsistemas.com/consulta/27672" xr:uid="{8E2E85E3-72E4-4103-B9B1-9D9C00472679}"/>
    <hyperlink ref="B582" r:id="rId1162" display="https://tupiel.darsistemas.com/consulta_cups/costos?id=25744" xr:uid="{C49C4744-EB0E-4283-BC1A-A55A13D2B952}"/>
    <hyperlink ref="A583" r:id="rId1163" display="https://tupiel.darsistemas.com/consulta/36425" xr:uid="{57CFE42B-516C-407A-AC40-1F4FA078A179}"/>
    <hyperlink ref="B583" r:id="rId1164" display="https://tupiel.darsistemas.com/consulta_cups/costos?id=26485" xr:uid="{080AE70F-B69E-4B62-8DAC-B0911868AC48}"/>
    <hyperlink ref="A584" r:id="rId1165" display="https://tupiel.darsistemas.com/consulta/29113" xr:uid="{CB2DB62A-BC9B-4827-8447-01E48B14B2BF}"/>
    <hyperlink ref="B584" r:id="rId1166" display="https://tupiel.darsistemas.com/consulta_cups/costos?id=25958" xr:uid="{530A1C4B-6585-46D9-856D-EC1B1A18E019}"/>
    <hyperlink ref="A585" r:id="rId1167" display="https://tupiel.darsistemas.com/consulta/35491" xr:uid="{A19A7EEC-4E9C-421D-98A6-7FCFA415F01A}"/>
    <hyperlink ref="B585" r:id="rId1168" display="https://tupiel.darsistemas.com/consulta_cups/costos?id=24809" xr:uid="{39335A4B-E783-42D8-BCFF-B01408071951}"/>
    <hyperlink ref="A586" r:id="rId1169" display="https://tupiel.darsistemas.com/consulta/36057" xr:uid="{E81C865D-42C4-4A27-A20D-73ED047DF6AA}"/>
    <hyperlink ref="B586" r:id="rId1170" display="https://tupiel.darsistemas.com/consulta_cups/costos?id=25827" xr:uid="{808DB2A4-9F79-4E3B-BE36-C251D4890DBE}"/>
    <hyperlink ref="A587" r:id="rId1171" display="https://tupiel.darsistemas.com/consulta/36534" xr:uid="{7B07242F-DA89-4ED4-8126-4927F8128F12}"/>
    <hyperlink ref="B587" r:id="rId1172" display="https://tupiel.darsistemas.com/consulta_cups/costos?id=26697" xr:uid="{5D43ECDE-A6FF-4C4C-B8A8-9DB282409A0A}"/>
    <hyperlink ref="A588" r:id="rId1173" display="https://tupiel.darsistemas.com/consulta/35564" xr:uid="{61351EF6-A207-4AF8-9BBF-FB64477050DC}"/>
    <hyperlink ref="B588" r:id="rId1174" display="https://tupiel.darsistemas.com/consulta_cups/costos?id=24933" xr:uid="{A3FC7CA2-E62F-4D61-9BB1-5EA8C14CFD9E}"/>
    <hyperlink ref="A589" r:id="rId1175" display="https://tupiel.darsistemas.com/consulta/35494" xr:uid="{18D4CA3A-B551-4615-9856-D34582B8F79E}"/>
    <hyperlink ref="B589" r:id="rId1176" display="https://tupiel.darsistemas.com/consulta_cups/costos?id=24813" xr:uid="{C7DAC74B-ED99-4F46-BB43-2453AA3ED50D}"/>
    <hyperlink ref="A590" r:id="rId1177" display="https://tupiel.darsistemas.com/consulta/36535" xr:uid="{7DEA7EA5-046C-4653-BD9F-1FE363963C17}"/>
    <hyperlink ref="B590" r:id="rId1178" display="https://tupiel.darsistemas.com/consulta_cups/costos?id=26699" xr:uid="{8F21D965-6625-4264-9F5F-03277B18BC34}"/>
    <hyperlink ref="A591" r:id="rId1179" display="https://tupiel.darsistemas.com/consulta/36501" xr:uid="{2A8EF51D-AA22-4E6F-9DDE-2DC52271CB90}"/>
    <hyperlink ref="B591" r:id="rId1180" display="https://tupiel.darsistemas.com/consulta_cups/costos?id=26643" xr:uid="{E96A5524-2CDD-4AAB-B45A-B8E11A3B7F55}"/>
    <hyperlink ref="A592" r:id="rId1181" display="https://tupiel.darsistemas.com/consulta/36537" xr:uid="{46C52B47-43F1-4C8B-B2EE-BEE7E943A551}"/>
    <hyperlink ref="B592" r:id="rId1182" display="https://tupiel.darsistemas.com/consulta_cups/costos?id=26701" xr:uid="{9B6C1681-F355-4AA4-9B0E-A701B9AB539C}"/>
    <hyperlink ref="A593" r:id="rId1183" display="https://tupiel.darsistemas.com/consulta/25978" xr:uid="{CE75E34E-4FD4-40AE-8388-7B914314978C}"/>
    <hyperlink ref="B593" r:id="rId1184" display="https://tupiel.darsistemas.com/consulta_cups/costos?id=25152" xr:uid="{C266A9E4-0189-4A41-951C-8DB569708105}"/>
    <hyperlink ref="A594" r:id="rId1185" display="https://tupiel.darsistemas.com/consulta/36495" xr:uid="{49C29B40-190F-4246-B046-0F855DC27EA4}"/>
    <hyperlink ref="B594" r:id="rId1186" display="https://tupiel.darsistemas.com/consulta_cups/costos?id=26703" xr:uid="{B1FE9E1F-77F6-49A5-B3B4-8D1CE4B301DB}"/>
    <hyperlink ref="A595" r:id="rId1187" display="https://tupiel.darsistemas.com/consulta/36495" xr:uid="{2942B891-1FFE-48F5-86C4-6D2259BE6F82}"/>
    <hyperlink ref="B595" r:id="rId1188" display="https://tupiel.darsistemas.com/consulta_cups/costos?id=26630" xr:uid="{8881525D-36DA-4674-A130-7D806C1BF6B1}"/>
    <hyperlink ref="A596" r:id="rId1189" display="https://tupiel.darsistemas.com/consulta/36495" xr:uid="{8D9B3CA4-A366-47FA-BF2D-89A4C9C4BC3D}"/>
    <hyperlink ref="B596" r:id="rId1190" display="https://tupiel.darsistemas.com/consulta_cups/costos?id=26702" xr:uid="{454F6CEB-0C14-4CB8-9D1D-AD4CB797E99B}"/>
    <hyperlink ref="A597" r:id="rId1191" display="https://tupiel.darsistemas.com/consulta/33449" xr:uid="{3C3A3B21-8ED5-48F2-8A81-EEDC7D20B5BD}"/>
    <hyperlink ref="B597" r:id="rId1192" display="https://tupiel.darsistemas.com/consulta_cups/costos?id=26386" xr:uid="{F3163099-A080-4002-B73E-3DA7DFD4985E}"/>
    <hyperlink ref="A598" r:id="rId1193" display="https://tupiel.darsistemas.com/consulta/33292" xr:uid="{ACCE1F80-886A-46F0-81B2-3D52F3B02F56}"/>
    <hyperlink ref="B598" r:id="rId1194" display="https://tupiel.darsistemas.com/consulta_cups/costos?id=26387" xr:uid="{18E1004A-79DC-41C2-9CFD-D051AB164BFF}"/>
    <hyperlink ref="A599" r:id="rId1195" display="https://tupiel.darsistemas.com/consulta/36254" xr:uid="{11D4CDDE-CB11-40BE-A981-DE2EF93E69C7}"/>
    <hyperlink ref="B599" r:id="rId1196" display="https://tupiel.darsistemas.com/consulta_cups/costos?id=26188" xr:uid="{DD3C61B5-8095-453F-835A-EA7824F6F03F}"/>
    <hyperlink ref="A600" r:id="rId1197" display="https://tupiel.darsistemas.com/consulta/36254" xr:uid="{80B08370-E02A-4C6C-948E-7049E9ABB62A}"/>
    <hyperlink ref="B600" r:id="rId1198" display="https://tupiel.darsistemas.com/consulta_cups/costos?id=26719" xr:uid="{005BE188-7409-4ED6-82E8-66AA21283CD0}"/>
    <hyperlink ref="A601" r:id="rId1199" display="https://tupiel.darsistemas.com/consulta/36493" xr:uid="{1B7E2BD2-B0A4-41BB-A818-E958913F9FBD}"/>
    <hyperlink ref="B601" r:id="rId1200" display="https://tupiel.darsistemas.com/consulta_cups/costos?id=26623" xr:uid="{1180AAF6-4F87-4DA4-B073-B38A7A4058FC}"/>
    <hyperlink ref="A602" r:id="rId1201" display="https://tupiel.darsistemas.com/consulta/36444" xr:uid="{CCEC983E-0F02-4C67-8444-DEB83A640336}"/>
    <hyperlink ref="B602" r:id="rId1202" display="https://tupiel.darsistemas.com/consulta_cups/costos?id=26524" xr:uid="{70BC2D38-0F15-40B7-908C-86A2C1B54067}"/>
    <hyperlink ref="A603" r:id="rId1203" display="https://tupiel.darsistemas.com/consulta/36448" xr:uid="{92251A67-067A-4DBF-9A67-771F54A64F16}"/>
    <hyperlink ref="B603" r:id="rId1204" display="https://tupiel.darsistemas.com/consulta_cups/costos?id=26533" xr:uid="{341D6FF5-2896-477D-BA93-531BE366B9F4}"/>
    <hyperlink ref="A604" r:id="rId1205" display="https://tupiel.darsistemas.com/consulta/36549" xr:uid="{B6C2FDF1-E0EE-47B0-B0CA-ED4F874370BA}"/>
    <hyperlink ref="B604" r:id="rId1206" display="https://tupiel.darsistemas.com/consulta_cups/costos?id=26723" xr:uid="{4E55C915-509F-406F-9CAE-F307D07E2634}"/>
    <hyperlink ref="A605" r:id="rId1207" display="https://tupiel.darsistemas.com/consulta/34006" xr:uid="{D0A42BF0-2906-475D-8EBB-294E6A35E597}"/>
    <hyperlink ref="B605" r:id="rId1208" display="https://tupiel.darsistemas.com/consulta_cups/costos?id=26348" xr:uid="{152EB133-3FF4-481B-9D2C-75F4D8A27FFB}"/>
    <hyperlink ref="A606" r:id="rId1209" display="https://tupiel.darsistemas.com/consulta/36390" xr:uid="{763E5978-8251-4088-A7A6-3914426225A4}"/>
    <hyperlink ref="B606" r:id="rId1210" display="https://tupiel.darsistemas.com/consulta_cups/costos?id=26432" xr:uid="{E38DA32B-424F-4252-BC59-0CF9093489DC}"/>
    <hyperlink ref="A607" r:id="rId1211" display="https://tupiel.darsistemas.com/consulta/36552" xr:uid="{F5C2D18B-B71F-4B2A-BB38-B39E14C6ACDC}"/>
    <hyperlink ref="B607" r:id="rId1212" display="https://tupiel.darsistemas.com/consulta_cups/costos?id=26730" xr:uid="{6796129F-B9BD-490C-A2F7-2E60008E5A59}"/>
    <hyperlink ref="A608" r:id="rId1213" display="https://tupiel.darsistemas.com/consulta/23794" xr:uid="{E08C81A4-1890-43B0-BE6F-8151B779E3E1}"/>
    <hyperlink ref="B608" r:id="rId1214" display="https://tupiel.darsistemas.com/consulta_cups/costos?id=25140" xr:uid="{A7CC4A54-DC59-437B-ABAB-08020D202FE5}"/>
    <hyperlink ref="A609" r:id="rId1215" display="https://tupiel.darsistemas.com/consulta/25748" xr:uid="{D007B4D6-19B8-4CCE-9D84-5D056E783F28}"/>
    <hyperlink ref="B609" r:id="rId1216" display="https://tupiel.darsistemas.com/consulta_cups/costos?id=26725" xr:uid="{FA5290EA-C105-453B-83E6-286A7479FADA}"/>
    <hyperlink ref="A610" r:id="rId1217" display="https://tupiel.darsistemas.com/consulta/36559" xr:uid="{F7197B31-A66D-4F07-919B-1B737E867A2A}"/>
    <hyperlink ref="B610" r:id="rId1218" display="https://tupiel.darsistemas.com/consulta_cups/costos?id=26739" xr:uid="{789CD9DF-481A-4C9B-B882-036EF2F74522}"/>
    <hyperlink ref="A611" r:id="rId1219" display="https://tupiel.darsistemas.com/consulta/36459" xr:uid="{5724FA03-E710-460A-8896-B8BE824AD36E}"/>
    <hyperlink ref="B611" r:id="rId1220" display="https://tupiel.darsistemas.com/consulta_cups/costos?id=26551" xr:uid="{CB7BC28A-EE01-4E4B-AF9A-4E49311179F4}"/>
    <hyperlink ref="A612" r:id="rId1221" display="https://tupiel.darsistemas.com/consulta/36400" xr:uid="{6F0CFDBB-7489-424C-B074-6FD8C75D61FE}"/>
    <hyperlink ref="B612" r:id="rId1222" display="https://tupiel.darsistemas.com/consulta_cups/costos?id=26449" xr:uid="{8FAE2F1D-8145-434B-9CB1-831EDE19C581}"/>
    <hyperlink ref="A613" r:id="rId1223" display="https://tupiel.darsistemas.com/consulta/36292" xr:uid="{30F7C01A-2ED4-4BBE-B72E-88265ED2CBA6}"/>
    <hyperlink ref="B613" r:id="rId1224" display="https://tupiel.darsistemas.com/consulta_cups/costos?id=26253" xr:uid="{2F1B717D-5059-4FA9-81C8-789AF58CD612}"/>
    <hyperlink ref="A614" r:id="rId1225" display="https://tupiel.darsistemas.com/consulta/36399" xr:uid="{58239C2E-12B8-4F09-8B7A-AB228FB5FCFA}"/>
    <hyperlink ref="B614" r:id="rId1226" display="https://tupiel.darsistemas.com/consulta_cups/costos?id=26447" xr:uid="{F9C250AB-E02F-4DB9-9BDE-B1BD235C2FCB}"/>
    <hyperlink ref="A615" r:id="rId1227" display="https://tupiel.darsistemas.com/consulta/36140" xr:uid="{6D957F61-2D35-4B52-A617-8D9EE9801E28}"/>
    <hyperlink ref="B615" r:id="rId1228" display="https://tupiel.darsistemas.com/consulta_cups/costos?id=25954" xr:uid="{D12A11EC-1BB4-44B7-981D-1E320F7FF870}"/>
    <hyperlink ref="A616" r:id="rId1229" display="https://tupiel.darsistemas.com/consulta/35899" xr:uid="{F6C53738-6772-47EB-BCCC-08FB0B375C66}"/>
    <hyperlink ref="B616" r:id="rId1230" display="https://tupiel.darsistemas.com/consulta_cups/costos?id=26750" xr:uid="{FBAC780C-8C4A-4D89-A3FD-D01D4F9A83E8}"/>
    <hyperlink ref="A617" r:id="rId1231" display="https://tupiel.darsistemas.com/consulta/36215" xr:uid="{AC056826-1949-4B3A-9A82-06D61A5B4E8F}"/>
    <hyperlink ref="B617" r:id="rId1232" display="https://tupiel.darsistemas.com/consulta_cups/costos?id=26092" xr:uid="{4D4BBF0F-3000-4747-B8C9-18C8D2F8EF83}"/>
    <hyperlink ref="A618" r:id="rId1233" display="https://tupiel.darsistemas.com/consulta/33476" xr:uid="{B23CF639-B984-43FD-8994-6A0AF5CA56D8}"/>
    <hyperlink ref="B618" r:id="rId1234" display="https://tupiel.darsistemas.com/consulta_cups/costos?id=24685" xr:uid="{29A44793-8822-402B-B2DA-6A42C3C3A820}"/>
    <hyperlink ref="A619" r:id="rId1235" display="https://tupiel.darsistemas.com/consulta/36528" xr:uid="{FCF68F52-0EB7-482E-A352-C1CA772D3142}"/>
    <hyperlink ref="B619" r:id="rId1236" display="https://tupiel.darsistemas.com/consulta_cups/costos?id=26690" xr:uid="{B6489F5E-8259-43E4-8534-B942AD32DC9A}"/>
    <hyperlink ref="A620" r:id="rId1237" display="https://tupiel.darsistemas.com/consulta/25748" xr:uid="{640B4D58-44E1-4C55-BC6A-12DD8A116354}"/>
    <hyperlink ref="B620" r:id="rId1238" display="https://tupiel.darsistemas.com/consulta_cups/costos?id=26726" xr:uid="{031FBECE-EEB1-4F13-9A48-652ACB6FDAF7}"/>
    <hyperlink ref="A621" r:id="rId1239" display="https://tupiel.darsistemas.com/consulta/31570" xr:uid="{FE06F7C9-8587-45F3-B4ED-08A96A56B2B8}"/>
    <hyperlink ref="B621" r:id="rId1240" display="https://tupiel.darsistemas.com/consulta_cups/costos?id=26585" xr:uid="{C22769FB-E222-4A55-902D-CA36BED8EB29}"/>
    <hyperlink ref="A622" r:id="rId1241" display="https://tupiel.darsistemas.com/consulta/36557" xr:uid="{C3A9F4D7-CD5D-4164-AA1F-4F05AB34FB60}"/>
    <hyperlink ref="B622" r:id="rId1242" display="https://tupiel.darsistemas.com/consulta_cups/costos?id=26736" xr:uid="{7CBCB00C-ABFA-43F5-9E07-CB3A351962FC}"/>
    <hyperlink ref="A623" r:id="rId1243" display="https://tupiel.darsistemas.com/consulta/36557" xr:uid="{6E46E117-D7AB-4865-8DF4-1BC269792C1E}"/>
    <hyperlink ref="B623" r:id="rId1244" display="https://tupiel.darsistemas.com/consulta_cups/costos?id=26737" xr:uid="{AABF12E7-60F0-48CA-9ADF-EC73FBD2B390}"/>
    <hyperlink ref="A624" r:id="rId1245" display="https://tupiel.darsistemas.com/consulta/35525" xr:uid="{F8A4E750-FD06-42A1-9E66-5417F680F198}"/>
    <hyperlink ref="B624" r:id="rId1246" display="https://tupiel.darsistemas.com/consulta_cups/costos?id=24859" xr:uid="{6F93B365-F378-455C-8E57-15877CA970AE}"/>
    <hyperlink ref="A625" r:id="rId1247" display="https://tupiel.darsistemas.com/consulta/35525" xr:uid="{A3ACD0FF-685A-4F8B-A0D9-2F3129A2FAFF}"/>
    <hyperlink ref="B625" r:id="rId1248" display="https://tupiel.darsistemas.com/consulta_cups/costos?id=24860" xr:uid="{C3CEB7CB-FB65-48C6-B36A-65073A26E1D7}"/>
    <hyperlink ref="A626" r:id="rId1249" display="https://tupiel.darsistemas.com/consulta/26515" xr:uid="{87384CD3-808C-4A1A-9612-E3143E862D37}"/>
    <hyperlink ref="B626" r:id="rId1250" display="https://tupiel.darsistemas.com/consulta_cups/costos?id=26663" xr:uid="{08863190-6660-4727-8DA2-B68C325306A0}"/>
    <hyperlink ref="A627" r:id="rId1251" display="https://tupiel.darsistemas.com/consulta/26515" xr:uid="{27908662-EDED-492C-916C-A4687817AF55}"/>
    <hyperlink ref="B627" r:id="rId1252" display="https://tupiel.darsistemas.com/consulta_cups/costos?id=26673" xr:uid="{AB331710-6971-4B92-9621-A4E935A9CCEC}"/>
    <hyperlink ref="A628" r:id="rId1253" display="https://tupiel.darsistemas.com/consulta/36542" xr:uid="{EA560DA8-51E8-49F1-B9C2-1C06459B24ED}"/>
    <hyperlink ref="B628" r:id="rId1254" display="https://tupiel.darsistemas.com/consulta_cups/costos?id=26710" xr:uid="{393F3138-A9C6-41A9-89A0-506E8F054247}"/>
    <hyperlink ref="A629" r:id="rId1255" display="https://tupiel.darsistemas.com/consulta/36542" xr:uid="{8719A389-B4E9-407C-A9E1-0DB95A8FA342}"/>
    <hyperlink ref="B629" r:id="rId1256" display="https://tupiel.darsistemas.com/consulta_cups/costos?id=26711" xr:uid="{1F36A2A7-B1F2-4BE4-9820-7DC8F810B950}"/>
    <hyperlink ref="A630" r:id="rId1257" display="https://tupiel.darsistemas.com/consulta/36542" xr:uid="{57EFDE8C-F51E-4DB4-832B-1C3234851405}"/>
    <hyperlink ref="B630" r:id="rId1258" display="https://tupiel.darsistemas.com/consulta_cups/costos?id=26712" xr:uid="{DDC7A508-D578-46FC-B24D-D2D67D7F130E}"/>
    <hyperlink ref="A631" r:id="rId1259" display="https://tupiel.darsistemas.com/consulta/33848" xr:uid="{A890ADD5-7782-4201-B5ED-BD657193DCCD}"/>
    <hyperlink ref="B631" r:id="rId1260" display="https://tupiel.darsistemas.com/consulta_cups/costos?id=26716" xr:uid="{6F9E8628-F6B9-47FC-99B3-A0FFB70E3832}"/>
    <hyperlink ref="A632" r:id="rId1261" display="https://tupiel.darsistemas.com/consulta/35748" xr:uid="{62E807E0-828D-47F7-BD63-06AF4023FE62}"/>
    <hyperlink ref="B632" r:id="rId1262" display="https://tupiel.darsistemas.com/consulta_cups/costos?id=26744" xr:uid="{2FDFBF71-9DB0-4320-8CFF-5F95B87E0625}"/>
    <hyperlink ref="A633" r:id="rId1263" display="https://tupiel.darsistemas.com/consulta/33848" xr:uid="{66B48E97-A7DB-4425-A431-7B9DDFBB1D6D}"/>
    <hyperlink ref="B633" r:id="rId1264" display="https://tupiel.darsistemas.com/consulta_cups/costos?id=26717" xr:uid="{A8A27DC9-C367-4228-8240-7D4EAFF6BB53}"/>
    <hyperlink ref="A634" r:id="rId1265" display="https://tupiel.darsistemas.com/consulta/35748" xr:uid="{B12D91D1-2859-4C1E-8AAB-B7B7F867452B}"/>
    <hyperlink ref="B634" r:id="rId1266" display="https://tupiel.darsistemas.com/consulta_cups/costos?id=26745" xr:uid="{A6133B33-FDFE-467A-8916-8EE5FB454338}"/>
    <hyperlink ref="A635" r:id="rId1267" display="https://tupiel.darsistemas.com/consulta/36522" xr:uid="{2D782A22-AEC7-46DD-8CC6-BE23440D3FB5}"/>
    <hyperlink ref="B635" r:id="rId1268" display="https://tupiel.darsistemas.com/consulta_cups/costos?id=26678" xr:uid="{2417E4F2-F529-4CA1-8A9D-BB1C8A2B73E4}"/>
    <hyperlink ref="A636" r:id="rId1269" display="https://tupiel.darsistemas.com/consulta/36522" xr:uid="{80E98C26-8C2C-4F7F-AF28-CC67B1EB6E78}"/>
    <hyperlink ref="B636" r:id="rId1270" display="https://tupiel.darsistemas.com/consulta_cups/costos?id=26677" xr:uid="{659226AF-BFA0-4169-A0A7-39A8970FF15D}"/>
    <hyperlink ref="A637" r:id="rId1271" display="https://tupiel.darsistemas.com/consulta/29504" xr:uid="{3D21915D-177D-4A85-9922-2ED8F3205369}"/>
    <hyperlink ref="B637" r:id="rId1272" display="https://tupiel.darsistemas.com/consulta_cups/costos?id=18673" xr:uid="{B4522D48-8C38-4A1A-A224-ECC1D1A6322F}"/>
    <hyperlink ref="A638" r:id="rId1273" display="https://tupiel.darsistemas.com/consulta/29504" xr:uid="{9DC09D4D-994D-4FBD-AE4C-89784B548B8E}"/>
    <hyperlink ref="B638" r:id="rId1274" display="https://tupiel.darsistemas.com/consulta_cups/costos?id=18674" xr:uid="{65C16AAE-B5CC-4798-AA4C-25A6D9CB1CB9}"/>
    <hyperlink ref="A639" r:id="rId1275" display="https://tupiel.darsistemas.com/consulta/28241" xr:uid="{7A40C4F8-D952-4301-A26A-70690F61ADEC}"/>
    <hyperlink ref="B639" r:id="rId1276" display="https://tupiel.darsistemas.com/consulta_cups/costos?id=26722" xr:uid="{F4F3D8E4-7C96-4100-A71C-E773B901582C}"/>
    <hyperlink ref="A640" r:id="rId1277" display="https://tupiel.darsistemas.com/consulta/36327" xr:uid="{A3A9D992-26F7-44BF-8D77-7D442C29A46B}"/>
    <hyperlink ref="B640" r:id="rId1278" display="https://tupiel.darsistemas.com/consulta_cups/costos?id=26310" xr:uid="{1EEE399E-5442-458B-A1D5-A94A6CD3F06A}"/>
    <hyperlink ref="A641" r:id="rId1279" display="https://tupiel.darsistemas.com/consulta/36369" xr:uid="{99424A50-0028-4B5F-9E05-D39BA90CABDC}"/>
    <hyperlink ref="B641" r:id="rId1280" display="https://tupiel.darsistemas.com/consulta_cups/costos?id=26403" xr:uid="{C9D87246-6942-4003-AF91-370821904701}"/>
    <hyperlink ref="A642" r:id="rId1281" display="https://tupiel.darsistemas.com/consulta/36368" xr:uid="{7FAE47BA-240B-488E-9123-7F0BC33FB1AD}"/>
    <hyperlink ref="B642" r:id="rId1282" display="https://tupiel.darsistemas.com/consulta_cups/costos?id=26397" xr:uid="{D4F85057-B748-4EE0-AB89-DC8763C437B1}"/>
    <hyperlink ref="A643" r:id="rId1283" display="https://tupiel.darsistemas.com/consulta/36539" xr:uid="{2E592F53-9754-478C-8409-856998AB032C}"/>
    <hyperlink ref="B643" r:id="rId1284" display="https://tupiel.darsistemas.com/consulta_cups/costos?id=26705" xr:uid="{3197B769-FA64-45D8-9623-572CA684B38A}"/>
    <hyperlink ref="A644" r:id="rId1285" display="https://tupiel.darsistemas.com/consulta/36558" xr:uid="{7310D4B2-BBD1-426C-8FDA-CF12AF4E6563}"/>
    <hyperlink ref="B644" r:id="rId1286" display="https://tupiel.darsistemas.com/consulta_cups/costos?id=26738" xr:uid="{A8DF16C7-E05B-40A6-AF25-A07BB976E267}"/>
    <hyperlink ref="A645" r:id="rId1287" display="https://tupiel.darsistemas.com/consulta/36553" xr:uid="{418AC209-3B2A-45B8-A98A-2E555281689D}"/>
    <hyperlink ref="B645" r:id="rId1288" display="https://tupiel.darsistemas.com/consulta_cups/costos?id=26731" xr:uid="{1CE186E9-DCCD-49FC-9BA9-393EA4AB14B0}"/>
    <hyperlink ref="A646" r:id="rId1289" display="https://tupiel.darsistemas.com/consulta/36482" xr:uid="{6087187D-BD05-48C1-9009-F05FCD84240A}"/>
    <hyperlink ref="B646" r:id="rId1290" display="https://tupiel.darsistemas.com/consulta_cups/costos?id=26604" xr:uid="{3C58EB4A-348D-4E7B-A8FC-D76446860100}"/>
    <hyperlink ref="A647" r:id="rId1291" display="https://tupiel.darsistemas.com/consulta/36572" xr:uid="{77A60CF3-79A1-47E0-8B7F-725E97FBAFEA}"/>
    <hyperlink ref="B647" r:id="rId1292" display="https://tupiel.darsistemas.com/consulta_cups/costos?id=26760" xr:uid="{35A70D23-C39B-40F1-8480-82D848E07660}"/>
    <hyperlink ref="A648" r:id="rId1293" display="https://tupiel.darsistemas.com/consulta/36572" xr:uid="{4C3FA685-1789-40DD-A0BD-6B6CA862B415}"/>
    <hyperlink ref="B648" r:id="rId1294" display="https://tupiel.darsistemas.com/consulta_cups/costos?id=26761" xr:uid="{9B9F1B3A-B871-4664-86E9-212AB5340E40}"/>
    <hyperlink ref="A649" r:id="rId1295" display="https://tupiel.darsistemas.com/consulta/36376" xr:uid="{93E5649E-31D6-47B9-8775-DCB1F441D5C9}"/>
    <hyperlink ref="B649" r:id="rId1296" display="https://tupiel.darsistemas.com/consulta_cups/costos?id=26417" xr:uid="{1C886885-3EA9-456C-B505-7DF5DE6DD6C7}"/>
    <hyperlink ref="A650" r:id="rId1297" display="https://tupiel.darsistemas.com/consulta/36570" xr:uid="{EDC686B8-6D07-45F0-AE34-D213FA3A185C}"/>
    <hyperlink ref="B650" r:id="rId1298" display="https://tupiel.darsistemas.com/consulta_cups/costos?id=26758" xr:uid="{1FAC6BEE-E9A8-4ED5-BB81-1225D23F024B}"/>
    <hyperlink ref="A651" r:id="rId1299" display="https://tupiel.darsistemas.com/consulta/34161" xr:uid="{92E616F6-8D04-4FB8-9C64-45643ED9D3C9}"/>
    <hyperlink ref="B651" r:id="rId1300" display="https://tupiel.darsistemas.com/consulta_cups/costos?id=25603" xr:uid="{D7397D71-2D12-45B5-9DD0-2BFF1E87D7D0}"/>
    <hyperlink ref="A652" r:id="rId1301" display="https://tupiel.darsistemas.com/consulta/36578" xr:uid="{666E5A4B-7FFD-4C0F-BC1D-9065E3146D8C}"/>
    <hyperlink ref="B652" r:id="rId1302" display="https://tupiel.darsistemas.com/consulta_cups/costos?id=26771" xr:uid="{EAC1DB0C-40F6-4559-82C2-157DD897D221}"/>
    <hyperlink ref="A653" r:id="rId1303" display="https://tupiel.darsistemas.com/consulta/36556" xr:uid="{AAE8AC20-8DE2-45E8-8BA8-1341CDCE3DE6}"/>
    <hyperlink ref="B653" r:id="rId1304" display="https://tupiel.darsistemas.com/consulta_cups/costos?id=26735" xr:uid="{B5F4E4D9-E562-4932-96E4-BC3CD2B50DA9}"/>
    <hyperlink ref="A654" r:id="rId1305" display="https://tupiel.darsistemas.com/consulta/36578" xr:uid="{532D7AF3-307B-4EBE-B2BB-14138210AA28}"/>
    <hyperlink ref="B654" r:id="rId1306" display="https://tupiel.darsistemas.com/consulta_cups/costos?id=26772" xr:uid="{B7E7672A-8C8B-4D9A-8BF7-37B062240A61}"/>
    <hyperlink ref="A655" r:id="rId1307" display="https://tupiel.darsistemas.com/consulta/36578" xr:uid="{A3C1A613-6E54-4C80-8B6F-70CEE93A8498}"/>
    <hyperlink ref="B655" r:id="rId1308" display="https://tupiel.darsistemas.com/consulta_cups/costos?id=26770" xr:uid="{2C3ECFB3-57E2-4C0B-AF17-095F8FD6F4DA}"/>
    <hyperlink ref="A656" r:id="rId1309" display="https://tupiel.darsistemas.com/consulta/33953" xr:uid="{AD0CEEDA-CF62-4552-8250-DE47278E3EA7}"/>
    <hyperlink ref="B656" r:id="rId1310" display="https://tupiel.darsistemas.com/consulta_cups/costos?id=24375" xr:uid="{A09A75A4-0795-455D-8120-2880AF80A07D}"/>
    <hyperlink ref="A657" r:id="rId1311" display="https://tupiel.darsistemas.com/consulta/36454" xr:uid="{618BF3D9-4489-4C76-94C4-5EFCAA0B592A}"/>
    <hyperlink ref="B657" r:id="rId1312" display="https://tupiel.darsistemas.com/consulta_cups/costos?id=26544" xr:uid="{94580BE7-D69F-4C9B-8BF0-A0C70732085B}"/>
    <hyperlink ref="A658" r:id="rId1313" display="https://tupiel.darsistemas.com/consulta/36554" xr:uid="{79B7C8D1-2CCB-4CD1-AE10-6DEA3254E8E7}"/>
    <hyperlink ref="B658" r:id="rId1314" display="https://tupiel.darsistemas.com/consulta_cups/costos?id=26732" xr:uid="{C670A95C-BDF0-417B-AFB3-248A885484D0}"/>
    <hyperlink ref="A659" r:id="rId1315" display="https://tupiel.darsistemas.com/consulta/22200" xr:uid="{DF42809B-781F-4073-97B2-16DECFEE5F06}"/>
    <hyperlink ref="B659" r:id="rId1316" display="https://tupiel.darsistemas.com/consulta_cups/costos?id=26527" xr:uid="{8A68368B-C14C-4EE3-9E9E-2B4FE01FB9FD}"/>
    <hyperlink ref="A660" r:id="rId1317" display="https://tupiel.darsistemas.com/consulta/22200" xr:uid="{68BB987E-84B1-4324-A23B-3888BC642EE1}"/>
    <hyperlink ref="B660" r:id="rId1318" display="https://tupiel.darsistemas.com/consulta_cups/costos?id=26528" xr:uid="{694375E2-4A11-46F1-B84C-8D92A953693E}"/>
    <hyperlink ref="A661" r:id="rId1319" display="https://tupiel.darsistemas.com/consulta/22200" xr:uid="{CA5F7DC5-0F9E-4D24-AB54-E169564D4FE4}"/>
    <hyperlink ref="B661" r:id="rId1320" display="https://tupiel.darsistemas.com/consulta_cups/costos?id=26529" xr:uid="{4E2C2BF1-70D1-4E0D-9EAC-549E5F16165C}"/>
    <hyperlink ref="A662" r:id="rId1321" display="https://tupiel.darsistemas.com/consulta/36555" xr:uid="{F97A8C89-04E6-453F-8037-CF19C869493B}"/>
    <hyperlink ref="B662" r:id="rId1322" display="https://tupiel.darsistemas.com/consulta_cups/costos?id=26733" xr:uid="{61D4A1B8-ABE3-46CA-8EE5-CACD8E3DC363}"/>
    <hyperlink ref="A663" r:id="rId1323" display="https://tupiel.darsistemas.com/consulta/35944" xr:uid="{BBD63F41-8EC1-40FB-A306-4B18178C53FB}"/>
    <hyperlink ref="B663" r:id="rId1324" display="https://tupiel.darsistemas.com/consulta_cups/costos?id=25601" xr:uid="{410BDCD2-32D4-4F84-A996-C5101BCB8D0D}"/>
    <hyperlink ref="A664" r:id="rId1325" display="https://tupiel.darsistemas.com/consulta/36298" xr:uid="{F4943B24-B27E-419A-8717-528CBEEFB19E}"/>
    <hyperlink ref="B664" r:id="rId1326" display="https://tupiel.darsistemas.com/consulta_cups/costos?id=26261" xr:uid="{BE4DAE9A-188D-4A38-AF83-ADF467F1ABC3}"/>
    <hyperlink ref="A665" r:id="rId1327" display="https://tupiel.darsistemas.com/consulta/36298" xr:uid="{E7397B19-2E5C-4AA2-A66B-2BFBC5DDE463}"/>
    <hyperlink ref="B665" r:id="rId1328" display="https://tupiel.darsistemas.com/consulta_cups/costos?id=26781" xr:uid="{536CC1A1-80BB-46D7-93AB-0CF3B66678D2}"/>
    <hyperlink ref="A666" r:id="rId1329" display="https://tupiel.darsistemas.com/consulta/36588" xr:uid="{D765FFE4-6782-420E-99CB-4A89C384F307}"/>
    <hyperlink ref="B666" r:id="rId1330" display="https://tupiel.darsistemas.com/consulta_cups/costos?id=26787" xr:uid="{B750CAC6-CC74-4BF4-B236-C4FFBB17C45B}"/>
    <hyperlink ref="A667" r:id="rId1331" display="https://tupiel.darsistemas.com/consulta/35636" xr:uid="{72C93CF4-9D50-431A-82E5-3BF26790DCBB}"/>
    <hyperlink ref="B667" r:id="rId1332" display="https://tupiel.darsistemas.com/consulta_cups/costos?id=25054" xr:uid="{013D462C-38A8-4527-9AF7-92F2957F910D}"/>
    <hyperlink ref="A668" r:id="rId1333" display="https://tupiel.darsistemas.com/consulta/36298" xr:uid="{186593FF-6DEE-4619-9FC1-DEEFEE5BE4FF}"/>
    <hyperlink ref="B668" r:id="rId1334" display="https://tupiel.darsistemas.com/consulta_cups/costos?id=26782" xr:uid="{AD241450-70E7-4FE0-A124-88350964D07F}"/>
    <hyperlink ref="A669" r:id="rId1335" display="https://tupiel.darsistemas.com/consulta/33205" xr:uid="{6F91D2AF-0538-4A56-896D-2A8B3F19E7B4}"/>
    <hyperlink ref="B669" r:id="rId1336" display="https://tupiel.darsistemas.com/consulta_cups/costos?id=25656" xr:uid="{42894BA1-052B-4B8D-A467-EF22C1599D49}"/>
    <hyperlink ref="A670" r:id="rId1337" display="https://tupiel.darsistemas.com/consulta/36430" xr:uid="{04915FB5-F9FD-4D06-9BFA-528092AC8501}"/>
    <hyperlink ref="B670" r:id="rId1338" display="https://tupiel.darsistemas.com/consulta_cups/costos?id=26494" xr:uid="{6D7068DB-70F3-4242-A7B8-5CF4D82445A5}"/>
    <hyperlink ref="A671" r:id="rId1339" display="https://tupiel.darsistemas.com/consulta/36597" xr:uid="{E5EDB1D9-B8CD-4DA5-9C64-0B0F5BC75E3A}"/>
    <hyperlink ref="B671" r:id="rId1340" display="https://tupiel.darsistemas.com/consulta_cups/costos?id=26801" xr:uid="{C9C72205-89FC-45DB-977C-8C4AFB44A99C}"/>
    <hyperlink ref="A672" r:id="rId1341" display="https://tupiel.darsistemas.com/consulta/36599" xr:uid="{264799E7-41D0-4373-AF90-EDE9957CF526}"/>
    <hyperlink ref="B672" r:id="rId1342" display="https://tupiel.darsistemas.com/consulta_cups/costos?id=26803" xr:uid="{B191D12B-9DDB-44D2-B974-1BECA1E3D041}"/>
    <hyperlink ref="A673" r:id="rId1343" display="https://tupiel.darsistemas.com/consulta/36209" xr:uid="{E7DA6089-31EA-4E19-9D91-E5A5AC2943D0}"/>
    <hyperlink ref="B673" r:id="rId1344" display="https://tupiel.darsistemas.com/consulta_cups/costos?id=26081" xr:uid="{C23F1328-09BB-4E8F-B741-CB2CE953B5E3}"/>
    <hyperlink ref="A674" r:id="rId1345" display="https://tupiel.darsistemas.com/consulta/36093" xr:uid="{4E9AD32E-68C2-4C4D-87D6-6154E0F47A52}"/>
    <hyperlink ref="B674" r:id="rId1346" display="https://tupiel.darsistemas.com/consulta_cups/costos?id=25882" xr:uid="{DF7C4E61-24EA-4D6A-BE08-44EA5D9FD73D}"/>
    <hyperlink ref="A675" r:id="rId1347" display="https://tupiel.darsistemas.com/consulta/36072" xr:uid="{4FB0FDFB-61DB-4004-A198-F4C8CC95E2A4}"/>
    <hyperlink ref="B675" r:id="rId1348" display="https://tupiel.darsistemas.com/consulta_cups/costos?id=26388" xr:uid="{94A6FAD7-2CE6-46FF-81BF-8D8CE6331B01}"/>
    <hyperlink ref="A676" r:id="rId1349" display="https://tupiel.darsistemas.com/consulta/36072" xr:uid="{139B7878-C84B-4032-816B-9939A33F8AB6}"/>
    <hyperlink ref="B676" r:id="rId1350" display="https://tupiel.darsistemas.com/consulta_cups/costos?id=26389" xr:uid="{3B22353E-CCF9-47C2-A72F-01CF7B6979DE}"/>
    <hyperlink ref="A677" r:id="rId1351" display="https://tupiel.darsistemas.com/consulta/26515" xr:uid="{99B306CB-4DC3-4D95-8F45-9FE8C33CDC43}"/>
    <hyperlink ref="B677" r:id="rId1352" display="https://tupiel.darsistemas.com/consulta_cups/costos?id=26707" xr:uid="{EEE5D0EF-71A1-4ADB-B9E8-CC5388A5E1CD}"/>
    <hyperlink ref="A678" r:id="rId1353" display="https://tupiel.darsistemas.com/consulta/36587" xr:uid="{AD764DEC-B465-4771-A338-A98214563497}"/>
    <hyperlink ref="B678" r:id="rId1354" display="https://tupiel.darsistemas.com/consulta_cups/costos?id=26786" xr:uid="{4AA56D13-7E37-42D6-9003-406E03CE1D27}"/>
    <hyperlink ref="A679" r:id="rId1355" display="https://tupiel.darsistemas.com/consulta/36582" xr:uid="{BA7E86AB-F505-4B59-A83D-293B4F90FC5F}"/>
    <hyperlink ref="B679" r:id="rId1356" display="https://tupiel.darsistemas.com/consulta_cups/costos?id=26776" xr:uid="{50DE2C2B-90E9-4FDF-B257-14BEF8C621C8}"/>
    <hyperlink ref="A680" r:id="rId1357" display="https://tupiel.darsistemas.com/consulta/36562" xr:uid="{F8A77D22-2505-467D-BAC7-FA71411571F2}"/>
    <hyperlink ref="B680" r:id="rId1358" display="https://tupiel.darsistemas.com/consulta_cups/costos?id=26746" xr:uid="{5A21A54A-3A24-48F0-924D-15541A12CC04}"/>
    <hyperlink ref="A681" r:id="rId1359" display="https://tupiel.darsistemas.com/consulta/36410" xr:uid="{6F2EC27A-1B93-4692-A797-35FEB414EC48}"/>
    <hyperlink ref="B681" r:id="rId1360" display="https://tupiel.darsistemas.com/consulta_cups/costos?id=26464" xr:uid="{BE8454B4-2D85-4A65-8899-2DF90459654D}"/>
    <hyperlink ref="A682" r:id="rId1361" display="https://tupiel.darsistemas.com/consulta/36569" xr:uid="{C25FAC21-2B34-4A79-BF7D-26D828D899B5}"/>
    <hyperlink ref="B682" r:id="rId1362" display="https://tupiel.darsistemas.com/consulta_cups/costos?id=26757" xr:uid="{0EAFDA6B-FE9E-42AA-9193-399077D76A4F}"/>
    <hyperlink ref="A683" r:id="rId1363" display="https://tupiel.darsistemas.com/consulta/36094" xr:uid="{70A6AD82-F76F-405D-9B61-BD79A406484E}"/>
    <hyperlink ref="B683" r:id="rId1364" display="https://tupiel.darsistemas.com/consulta_cups/costos?id=25883" xr:uid="{A8CE8526-B9B5-42B3-ACE0-B54E57EF1CB3}"/>
    <hyperlink ref="A684" r:id="rId1365" display="https://tupiel.darsistemas.com/consulta/36595" xr:uid="{B2F46512-D9EC-41AC-9539-A6B70482C374}"/>
    <hyperlink ref="B684" r:id="rId1366" display="https://tupiel.darsistemas.com/consulta_cups/costos?id=26797" xr:uid="{2066E40F-37EB-4378-B736-027E0E880B3A}"/>
    <hyperlink ref="A685" r:id="rId1367" display="https://tupiel.darsistemas.com/consulta/36573" xr:uid="{79DEE389-7138-4295-891B-0CCF22A38EFE}"/>
    <hyperlink ref="B685" r:id="rId1368" display="https://tupiel.darsistemas.com/consulta_cups/costos?id=26764" xr:uid="{AE4298C6-0020-4792-B17C-E0B5D1E7AFCF}"/>
    <hyperlink ref="A686" r:id="rId1369" display="https://tupiel.darsistemas.com/consulta/35176" xr:uid="{904069DB-9853-4C56-B8CF-AEE87597D88F}"/>
    <hyperlink ref="B686" r:id="rId1370" display="https://tupiel.darsistemas.com/consulta_cups/costos?id=24327" xr:uid="{FD9A4933-734A-4400-8F9D-B98DB899DA4C}"/>
    <hyperlink ref="A687" r:id="rId1371" display="https://tupiel.darsistemas.com/consulta/35407" xr:uid="{8D3E410B-8BD6-4BD2-941F-6A13D6C5121B}"/>
    <hyperlink ref="B687" r:id="rId1372" display="https://tupiel.darsistemas.com/consulta_cups/costos?id=26820" xr:uid="{20B8612F-8263-4FD2-A203-34239D70879B}"/>
    <hyperlink ref="A688" r:id="rId1373" display="https://tupiel.darsistemas.com/consulta/36606" xr:uid="{A1731C35-3D95-4E08-9184-8AB079E6F877}"/>
    <hyperlink ref="B688" r:id="rId1374" display="https://tupiel.darsistemas.com/consulta_cups/costos?id=26821" xr:uid="{5CF2BD5F-9E1F-449F-8FAA-1416B6F5FA57}"/>
    <hyperlink ref="A689" r:id="rId1375" display="https://tupiel.darsistemas.com/consulta/36608" xr:uid="{52ABD619-5313-4C1E-970F-4DBA6F06AF3E}"/>
    <hyperlink ref="B689" r:id="rId1376" display="https://tupiel.darsistemas.com/consulta_cups/costos?id=26823" xr:uid="{CF624FD8-ECBF-4E42-8427-CF9F0F6992EF}"/>
    <hyperlink ref="A690" r:id="rId1377" display="https://tupiel.darsistemas.com/consulta/36608" xr:uid="{F7090B1B-BFDD-4231-8AAD-F41460903B36}"/>
    <hyperlink ref="B690" r:id="rId1378" display="https://tupiel.darsistemas.com/consulta_cups/costos?id=26824" xr:uid="{3605BF33-68BD-4069-996C-DA73EBBF65F1}"/>
    <hyperlink ref="A691" r:id="rId1379" display="https://tupiel.darsistemas.com/consulta/36600" xr:uid="{4CE2EDAE-85A0-4A8D-9383-EC1837A9B28D}"/>
    <hyperlink ref="B691" r:id="rId1380" display="https://tupiel.darsistemas.com/consulta_cups/costos?id=26808" xr:uid="{2E8842FA-981E-404B-A43C-156A58DFBA21}"/>
    <hyperlink ref="A692" r:id="rId1381" display="https://tupiel.darsistemas.com/consulta/36579" xr:uid="{6264561E-4D68-4DD5-94D2-AA53649CBA68}"/>
    <hyperlink ref="B692" r:id="rId1382" display="https://tupiel.darsistemas.com/consulta_cups/costos?id=26773" xr:uid="{C5708BD4-FCB4-4442-87BF-41FF16C9AF14}"/>
    <hyperlink ref="A693" r:id="rId1383" display="https://tupiel.darsistemas.com/consulta/35907" xr:uid="{5F2802B0-1755-445A-87BD-BBB99257594E}"/>
    <hyperlink ref="B693" r:id="rId1384" display="https://tupiel.darsistemas.com/consulta_cups/costos?id=25533" xr:uid="{2FC80B45-AA14-4B6A-8869-077BD7CE9A1C}"/>
    <hyperlink ref="A694" r:id="rId1385" display="https://tupiel.darsistemas.com/consulta/36506" xr:uid="{C3897099-410C-4733-ACD8-B8C34EE6A8F5}"/>
    <hyperlink ref="B694" r:id="rId1386" display="https://tupiel.darsistemas.com/consulta_cups/costos?id=26650" xr:uid="{AB2C762D-B4D9-494E-8F10-90E25BD2DDFF}"/>
    <hyperlink ref="A695" r:id="rId1387" display="https://tupiel.darsistemas.com/consulta/36577" xr:uid="{D21D53DD-3C88-450B-B841-F67BCD617852}"/>
    <hyperlink ref="B695" r:id="rId1388" display="https://tupiel.darsistemas.com/consulta_cups/costos?id=26769" xr:uid="{76039AB1-62E8-41D0-80F7-7540CAE7FCDF}"/>
    <hyperlink ref="A696" r:id="rId1389" display="https://tupiel.darsistemas.com/consulta/36610" xr:uid="{870D33DB-2366-4B8E-89E5-C068DF7FDE1F}"/>
    <hyperlink ref="B696" r:id="rId1390" display="https://tupiel.darsistemas.com/consulta_cups/costos?id=26826" xr:uid="{13400317-0253-443F-BC41-F55EE85379E6}"/>
    <hyperlink ref="A697" r:id="rId1391" display="https://tupiel.darsistemas.com/consulta/36520" xr:uid="{9299DD06-8238-4BCC-A98C-C7D4B89C14FA}"/>
    <hyperlink ref="B697" r:id="rId1392" display="https://tupiel.darsistemas.com/consulta_cups/costos?id=26675" xr:uid="{3D75AD6A-F81B-4FCC-8B5C-17D60C0181AF}"/>
    <hyperlink ref="A698" r:id="rId1393" display="https://tupiel.darsistemas.com/consulta/36620" xr:uid="{53E74A0E-B079-4028-A7C5-3FE57F1F6F52}"/>
    <hyperlink ref="B698" r:id="rId1394" display="https://tupiel.darsistemas.com/consulta_cups/costos?id=26845" xr:uid="{60E1EA09-9C74-4509-9966-FDFBA6FC2C40}"/>
    <hyperlink ref="A699" r:id="rId1395" display="https://tupiel.darsistemas.com/consulta/36593" xr:uid="{7FE3FC5A-D12B-48E8-B1A9-53D1B9A09C31}"/>
    <hyperlink ref="B699" r:id="rId1396" display="https://tupiel.darsistemas.com/consulta_cups/costos?id=26795" xr:uid="{36038055-361B-4618-B38B-2B2282B9E07E}"/>
    <hyperlink ref="A700" r:id="rId1397" display="https://tupiel.darsistemas.com/consulta/36548" xr:uid="{337367FA-95A3-4DAF-B004-B9BE322D7B32}"/>
    <hyperlink ref="B700" r:id="rId1398" display="https://tupiel.darsistemas.com/consulta_cups/costos?id=26721" xr:uid="{F8AAF3A5-E3A7-4DD3-9123-8D193F86A1D5}"/>
    <hyperlink ref="A701" r:id="rId1399" display="https://tupiel.darsistemas.com/consulta/34832" xr:uid="{1AE74A3E-BFCB-49DB-AA87-DEB400A93B7D}"/>
    <hyperlink ref="B701" r:id="rId1400" display="https://tupiel.darsistemas.com/consulta_cups/costos?id=26847" xr:uid="{2CAD7C21-FCEB-4626-BAD7-D4BC2BF30C83}"/>
    <hyperlink ref="A702" r:id="rId1401" display="https://tupiel.darsistemas.com/consulta/36576" xr:uid="{188DA697-EC1E-4346-9664-1E8F20551D9D}"/>
    <hyperlink ref="B702" r:id="rId1402" display="https://tupiel.darsistemas.com/consulta_cups/costos?id=26768" xr:uid="{5E2A997F-FA80-4A28-A457-02292DDF3B61}"/>
    <hyperlink ref="A703" r:id="rId1403" display="https://tupiel.darsistemas.com/consulta/35905" xr:uid="{C0F91723-FB1D-4B73-8C65-E06CC3EFC96A}"/>
    <hyperlink ref="B703" r:id="rId1404" display="https://tupiel.darsistemas.com/consulta_cups/costos?id=25670" xr:uid="{D603BA95-B5F9-428E-BC20-9943C5AA11F7}"/>
    <hyperlink ref="A704" r:id="rId1405" display="https://tupiel.darsistemas.com/consulta/36619" xr:uid="{32F984D6-D655-41DA-BEF4-A02B9C7817ED}"/>
    <hyperlink ref="B704" r:id="rId1406" display="https://tupiel.darsistemas.com/consulta_cups/costos?id=26843" xr:uid="{E3386817-597A-4F21-925A-AAAD383456E2}"/>
    <hyperlink ref="A705" r:id="rId1407" display="https://tupiel.darsistemas.com/consulta/36623" xr:uid="{BEFABAC3-E33F-4BF2-8C31-D135C8DF66F0}"/>
    <hyperlink ref="B705" r:id="rId1408" display="https://tupiel.darsistemas.com/consulta_cups/costos?id=26849" xr:uid="{B32ECF50-90D0-4518-8442-1A8EE5D469BA}"/>
    <hyperlink ref="A706" r:id="rId1409" display="https://tupiel.darsistemas.com/consulta/36533" xr:uid="{6BCEF3E8-88FF-42C3-AC9E-C98402034654}"/>
    <hyperlink ref="B706" r:id="rId1410" display="https://tupiel.darsistemas.com/consulta_cups/costos?id=26695" xr:uid="{BEA938CB-DAF5-4D7B-8D8F-1AFB1CE3CA4C}"/>
    <hyperlink ref="A707" r:id="rId1411" display="https://tupiel.darsistemas.com/consulta/36227" xr:uid="{9C9E3AB4-DE21-470B-9140-D2AE01477E84}"/>
    <hyperlink ref="B707" r:id="rId1412" display="https://tupiel.darsistemas.com/consulta_cups/costos?id=26294" xr:uid="{FACB77E6-9E8A-4322-AC8F-2B188ABD9096}"/>
    <hyperlink ref="A708" r:id="rId1413" display="https://tupiel.darsistemas.com/consulta/36227" xr:uid="{3BE5AF46-B258-4A19-A017-35C6A6789EC4}"/>
    <hyperlink ref="B708" r:id="rId1414" display="https://tupiel.darsistemas.com/consulta_cups/costos?id=26295" xr:uid="{1338D257-47EB-44B8-8F1B-E67661361B5E}"/>
    <hyperlink ref="A709" r:id="rId1415" display="https://tupiel.darsistemas.com/consulta/36519" xr:uid="{9DFC0927-32E0-4E9B-AA6C-5ECB731E0E6B}"/>
    <hyperlink ref="B709" r:id="rId1416" display="https://tupiel.darsistemas.com/consulta_cups/costos?id=26674" xr:uid="{9C8C03CA-1A64-4CC9-9165-60E25DC31E14}"/>
    <hyperlink ref="A710" r:id="rId1417" display="https://tupiel.darsistemas.com/consulta/36211" xr:uid="{9BFB30E4-B679-4E37-BBD8-D50DBEAA12B9}"/>
    <hyperlink ref="B710" r:id="rId1418" display="https://tupiel.darsistemas.com/consulta_cups/costos?id=26085" xr:uid="{1EFA5FFB-36AF-4494-8D24-36FF640CA848}"/>
    <hyperlink ref="A711" r:id="rId1419" display="https://tupiel.darsistemas.com/consulta/36227" xr:uid="{5D2B1C70-3F9C-4853-9208-1C1BF195C991}"/>
    <hyperlink ref="B711" r:id="rId1420" display="https://tupiel.darsistemas.com/consulta_cups/costos?id=26296" xr:uid="{FEAD7E6F-EE2A-4A41-9AED-8BB075E88A48}"/>
    <hyperlink ref="A712" r:id="rId1421" display="https://tupiel.darsistemas.com/consulta/35223" xr:uid="{0254D37B-233D-490D-A8AA-212928E0B13D}"/>
    <hyperlink ref="B712" r:id="rId1422" display="https://tupiel.darsistemas.com/consulta_cups/costos?id=26858" xr:uid="{5D3C126A-2A45-4D85-8644-8BA935D6DB8A}"/>
    <hyperlink ref="A713" r:id="rId1423" display="https://tupiel.darsistemas.com/consulta/35223" xr:uid="{3C30AF50-50A2-4CFF-B821-90670CC33E52}"/>
    <hyperlink ref="B713" r:id="rId1424" display="https://tupiel.darsistemas.com/consulta_cups/costos?id=26872" xr:uid="{0738E3E4-F4EB-4948-9DF8-A37747BCAA7E}"/>
    <hyperlink ref="A714" r:id="rId1425" display="https://tupiel.darsistemas.com/consulta/35451" xr:uid="{E865FA40-2D27-45FB-90EE-52840F3918E2}"/>
    <hyperlink ref="B714" r:id="rId1426" display="https://tupiel.darsistemas.com/consulta_cups/costos?id=24754" xr:uid="{7B6055C4-ADE8-4EDC-A6A7-003380CAD2DD}"/>
    <hyperlink ref="A715" r:id="rId1427" display="https://tupiel.darsistemas.com/consulta/26515" xr:uid="{28EFA377-9860-4792-9FB4-F09C46594DF1}"/>
    <hyperlink ref="B715" r:id="rId1428" display="https://tupiel.darsistemas.com/consulta_cups/costos?id=26815" xr:uid="{B9E95F11-2DE2-48D1-B981-3F2398BF0F01}"/>
    <hyperlink ref="A716" r:id="rId1429" display="https://tupiel.darsistemas.com/consulta/31385" xr:uid="{9896DEDB-48C9-4F60-B36A-9715F2736E9F}"/>
    <hyperlink ref="B716" r:id="rId1430" display="https://tupiel.darsistemas.com/consulta_cups/costos?id=26844" xr:uid="{68155083-2B76-4ECD-AD4C-526989520BF2}"/>
    <hyperlink ref="A717" r:id="rId1431" display="https://tupiel.darsistemas.com/consulta/34532" xr:uid="{0F19BEEB-FACB-4ADB-8261-FE63A42988FC}"/>
    <hyperlink ref="B717" r:id="rId1432" display="https://tupiel.darsistemas.com/consulta_cups/costos?id=24331" xr:uid="{F116C7DC-7A01-4A8B-B820-AC30459E592A}"/>
    <hyperlink ref="A718" r:id="rId1433" display="https://tupiel.darsistemas.com/consulta/34532" xr:uid="{ACC27218-94A1-4CCD-9B76-C2FBABA5D41B}"/>
    <hyperlink ref="B718" r:id="rId1434" display="https://tupiel.darsistemas.com/consulta_cups/costos?id=26864" xr:uid="{11956DE9-C3DF-4A4D-ABA8-6ECD3B4CC91C}"/>
    <hyperlink ref="A719" r:id="rId1435" display="https://tupiel.darsistemas.com/consulta/36347" xr:uid="{EAC7A96C-3E8C-49F4-B70B-F2FBB9D36B72}"/>
    <hyperlink ref="B719" r:id="rId1436" display="https://tupiel.darsistemas.com/consulta_cups/costos?id=26353" xr:uid="{841066EC-8D72-4A8D-B031-5A97BC077009}"/>
    <hyperlink ref="A720" r:id="rId1437" display="https://tupiel.darsistemas.com/consulta/35662" xr:uid="{F3D7D630-CCA3-4886-B0AE-E28DC6203077}"/>
    <hyperlink ref="B720" r:id="rId1438" display="https://tupiel.darsistemas.com/consulta_cups/costos?id=25097" xr:uid="{BF91BA4B-3D7F-4EA5-905E-06F022B090CC}"/>
    <hyperlink ref="A721" r:id="rId1439" display="https://tupiel.darsistemas.com/consulta/20151" xr:uid="{06A53B55-4C02-4BC9-B16E-A047C44F7069}"/>
    <hyperlink ref="B721" r:id="rId1440" display="https://tupiel.darsistemas.com/consulta_cups/costos?id=25873" xr:uid="{ED4F4C46-6A86-4FAC-B492-E0C5611EA9E0}"/>
    <hyperlink ref="A722" r:id="rId1441" display="https://tupiel.darsistemas.com/consulta/20151" xr:uid="{DA91B073-39DE-4359-995D-5DB782AC2D5B}"/>
    <hyperlink ref="B722" r:id="rId1442" display="https://tupiel.darsistemas.com/consulta_cups/costos?id=25929" xr:uid="{122CECBD-2A97-4B45-B90B-3FDEA858CCDC}"/>
    <hyperlink ref="A723" r:id="rId1443" display="https://tupiel.darsistemas.com/consulta/20604" xr:uid="{C9A74039-C0F0-4C7C-A76F-0E3CC3923C48}"/>
    <hyperlink ref="B723" r:id="rId1444" display="https://tupiel.darsistemas.com/consulta_cups/costos?id=25949" xr:uid="{9029F000-C189-40C2-A3B9-4674BFD60886}"/>
    <hyperlink ref="A724" r:id="rId1445" display="https://tupiel.darsistemas.com/consulta/21013" xr:uid="{B6CD167F-4B92-4F88-8D5E-78C001CE8B64}"/>
    <hyperlink ref="B724" r:id="rId1446" display="https://tupiel.darsistemas.com/consulta_cups/costos?id=25946" xr:uid="{97347CE2-B13A-473D-B3E7-05D145854475}"/>
    <hyperlink ref="A725" r:id="rId1447" display="https://tupiel.darsistemas.com/consulta/21527" xr:uid="{57370248-DD22-47ED-84D0-7FCCF0BE75FA}"/>
    <hyperlink ref="B725" r:id="rId1448" display="https://tupiel.darsistemas.com/consulta_cups/costos?id=25947" xr:uid="{BFCE8748-E743-417F-B577-F2FBC6E3F0D7}"/>
    <hyperlink ref="A726" r:id="rId1449" display="https://tupiel.darsistemas.com/consulta/21527" xr:uid="{8052A38E-A15F-46E9-83BD-F26DD47A0084}"/>
    <hyperlink ref="B726" r:id="rId1450" display="https://tupiel.darsistemas.com/consulta_cups/costos?id=26727" xr:uid="{ADDB496F-AA7D-4CE0-A3D7-9A0061D6FC3E}"/>
    <hyperlink ref="A727" r:id="rId1451" display="https://tupiel.darsistemas.com/consulta/21527" xr:uid="{2C8340AB-7538-4D41-89BB-7B54F51CE2F6}"/>
    <hyperlink ref="B727" r:id="rId1452" display="https://tupiel.darsistemas.com/consulta_cups/costos?id=26728" xr:uid="{854F5EC3-D444-41A7-B313-04E003948001}"/>
    <hyperlink ref="A728" r:id="rId1453" display="https://tupiel.darsistemas.com/consulta/21750" xr:uid="{BF537653-0289-480F-8D12-92A2CC27794C}"/>
    <hyperlink ref="B728" r:id="rId1454" display="https://tupiel.darsistemas.com/consulta_cups/costos?id=25979" xr:uid="{A33C9A93-C48D-4176-8485-B8CBC26EC0FF}"/>
    <hyperlink ref="A729" r:id="rId1455" display="https://tupiel.darsistemas.com/consulta/21825" xr:uid="{DE057734-E150-4FFA-BBD2-8D82ADC1ADCB}"/>
    <hyperlink ref="B729" r:id="rId1456" display="https://tupiel.darsistemas.com/consulta_cups/costos?id=25945" xr:uid="{760279A7-FBED-44D5-9F67-9E85F5C6D3FD}"/>
    <hyperlink ref="A730" r:id="rId1457" display="https://tupiel.darsistemas.com/consulta/21825" xr:uid="{6A1DCC94-CAF5-4A63-9696-123CE223CB25}"/>
    <hyperlink ref="B730" r:id="rId1458" display="https://tupiel.darsistemas.com/consulta_cups/costos?id=26265" xr:uid="{5561E5A3-F055-4EF9-9F0B-32B270CE3416}"/>
    <hyperlink ref="A731" r:id="rId1459" display="https://tupiel.darsistemas.com/consulta/21825" xr:uid="{7FF569A8-CF12-4E11-9591-A98EB291881E}"/>
    <hyperlink ref="B731" r:id="rId1460" display="https://tupiel.darsistemas.com/consulta_cups/costos?id=26530" xr:uid="{434EE3FB-3DA2-4601-87DA-8F892AA774DA}"/>
    <hyperlink ref="A732" r:id="rId1461" display="https://tupiel.darsistemas.com/consulta/22001" xr:uid="{FEC88812-70A2-4959-AE75-C3769D611F52}"/>
    <hyperlink ref="B732" r:id="rId1462" display="https://tupiel.darsistemas.com/consulta_cups/costos?id=26240" xr:uid="{4C316CD3-38B3-44B7-9D21-3969E3CE5212}"/>
    <hyperlink ref="A733" r:id="rId1463" display="https://tupiel.darsistemas.com/consulta/22087" xr:uid="{E82D17E6-685E-4846-BC29-C5DD2CD1F5FD}"/>
    <hyperlink ref="B733" r:id="rId1464" display="https://tupiel.darsistemas.com/consulta_cups/costos?id=25955" xr:uid="{64CBBF99-9F6A-458B-AECF-AB44D86783F4}"/>
    <hyperlink ref="A734" r:id="rId1465" display="https://tupiel.darsistemas.com/consulta/22427" xr:uid="{8F050833-3CB0-4647-9F2A-7C5553019C91}"/>
    <hyperlink ref="B734" r:id="rId1466" display="https://tupiel.darsistemas.com/consulta_cups/costos?id=25980" xr:uid="{43536175-12B6-43D4-8BDF-DFC847EA4F44}"/>
    <hyperlink ref="A735" r:id="rId1467" display="https://tupiel.darsistemas.com/consulta/22521" xr:uid="{C65E7B08-E453-4C99-B8EB-DC81F7D4ADF2}"/>
    <hyperlink ref="B735" r:id="rId1468" display="https://tupiel.darsistemas.com/consulta_cups/costos?id=12629" xr:uid="{592DC569-4455-49C9-A826-2880885AF837}"/>
    <hyperlink ref="A736" r:id="rId1469" display="https://tupiel.darsistemas.com/consulta/22763" xr:uid="{1D2DF4A6-2013-4A21-82F4-13BD72C00658}"/>
    <hyperlink ref="B736" r:id="rId1470" display="https://tupiel.darsistemas.com/consulta_cups/costos?id=25269" xr:uid="{67517743-4595-401D-99AF-2F530439C2AB}"/>
    <hyperlink ref="A737" r:id="rId1471" display="https://tupiel.darsistemas.com/consulta/22925" xr:uid="{D4C0CB88-6DAA-4FEC-9214-799CF61AF253}"/>
    <hyperlink ref="B737" r:id="rId1472" display="https://tupiel.darsistemas.com/consulta_cups/costos?id=26751" xr:uid="{967170FB-1021-4158-9CAD-483269AC7D0F}"/>
    <hyperlink ref="A738" r:id="rId1473" display="https://tupiel.darsistemas.com/consulta/24523" xr:uid="{C5B0305A-8F81-4109-AA01-D41E3CEB8E49}"/>
    <hyperlink ref="B738" r:id="rId1474" display="https://tupiel.darsistemas.com/consulta_cups/costos?id=26050" xr:uid="{BFACAC53-848B-4A3F-BF48-8927F9F0FC79}"/>
    <hyperlink ref="A739" r:id="rId1475" display="https://tupiel.darsistemas.com/consulta/24523" xr:uid="{3A1A40A1-DC5C-4000-8FB6-165E4679E022}"/>
    <hyperlink ref="B739" r:id="rId1476" display="https://tupiel.darsistemas.com/consulta_cups/costos?id=26051" xr:uid="{7B427269-4410-47E6-A85A-BAB81F245E5D}"/>
    <hyperlink ref="A740" r:id="rId1477" display="https://tupiel.darsistemas.com/consulta/24523" xr:uid="{AA0CE8E2-9C57-47A5-8E4C-29A63B6530A2}"/>
    <hyperlink ref="B740" r:id="rId1478" display="https://tupiel.darsistemas.com/consulta_cups/costos?id=26052" xr:uid="{1FDC51D4-9443-4F95-B0C9-8B7EC1DC3F32}"/>
    <hyperlink ref="A741" r:id="rId1479" display="https://tupiel.darsistemas.com/consulta/24804" xr:uid="{C37C677A-B662-4AAD-A253-26599B490EC4}"/>
    <hyperlink ref="B741" r:id="rId1480" display="https://tupiel.darsistemas.com/consulta_cups/costos?id=8798" xr:uid="{4B60F027-38B2-4564-9309-27F03A74EEC8}"/>
    <hyperlink ref="A742" r:id="rId1481" display="https://tupiel.darsistemas.com/consulta/24928" xr:uid="{51273C10-6E6A-41E7-BF2E-86495A1BE62D}"/>
    <hyperlink ref="B742" r:id="rId1482" display="https://tupiel.darsistemas.com/consulta_cups/costos?id=25992" xr:uid="{C252CBA5-ED94-4E40-B5AC-C0B7D8C8B48F}"/>
    <hyperlink ref="A743" r:id="rId1483" display="https://tupiel.darsistemas.com/consulta/24928" xr:uid="{FFACDFC7-0743-45D5-AAB9-32F430BD931B}"/>
    <hyperlink ref="B743" r:id="rId1484" display="https://tupiel.darsistemas.com/consulta_cups/costos?id=26340" xr:uid="{E7B01F73-A843-4277-81FC-23B7B830CDB5}"/>
    <hyperlink ref="A744" r:id="rId1485" display="https://tupiel.darsistemas.com/consulta/24928" xr:uid="{7A457EF8-0CE4-4141-ACC0-396E4CA78E50}"/>
    <hyperlink ref="B744" r:id="rId1486" display="https://tupiel.darsistemas.com/consulta_cups/costos?id=26414" xr:uid="{88C1FF85-3072-47B6-B28D-1D5A4A223664}"/>
    <hyperlink ref="A745" r:id="rId1487" display="https://tupiel.darsistemas.com/consulta/24971" xr:uid="{D29E4912-316A-4BF4-A6FD-BC65ED596476}"/>
    <hyperlink ref="B745" r:id="rId1488" display="https://tupiel.darsistemas.com/consulta_cups/costos?id=18564" xr:uid="{5DBA08C2-7143-401B-AEC6-85C949A30092}"/>
    <hyperlink ref="A746" r:id="rId1489" display="https://tupiel.darsistemas.com/consulta/25053" xr:uid="{7D4B2754-479F-4686-A5D0-7ACC6D6E984D}"/>
    <hyperlink ref="B746" r:id="rId1490" display="https://tupiel.darsistemas.com/consulta_cups/costos?id=25777" xr:uid="{DD98C85A-E83F-469F-9FB5-579F2676853A}"/>
    <hyperlink ref="A747" r:id="rId1491" display="https://tupiel.darsistemas.com/consulta/25186" xr:uid="{A37894E3-C405-4708-90D4-871DDBEC4DBB}"/>
    <hyperlink ref="B747" r:id="rId1492" display="https://tupiel.darsistemas.com/consulta_cups/costos?id=26497" xr:uid="{9B514B8B-F1DA-4FB1-B4D2-0774AC31046B}"/>
    <hyperlink ref="A748" r:id="rId1493" display="https://tupiel.darsistemas.com/consulta/26048" xr:uid="{02CB2D6E-E898-4320-97AF-9116F4FDA852}"/>
    <hyperlink ref="B748" r:id="rId1494" display="https://tupiel.darsistemas.com/consulta_cups/costos?id=21538" xr:uid="{E4698475-F723-4130-A577-8FE0CAE7D64F}"/>
    <hyperlink ref="A749" r:id="rId1495" display="https://tupiel.darsistemas.com/consulta/26248" xr:uid="{BBBE0895-F639-4790-BFC7-9595AC6EBB46}"/>
    <hyperlink ref="B749" r:id="rId1496" display="https://tupiel.darsistemas.com/consulta_cups/costos?id=14012" xr:uid="{D58A20EB-FF3A-421C-82D1-5F13F2DA2ECE}"/>
    <hyperlink ref="A750" r:id="rId1497" display="https://tupiel.darsistemas.com/consulta/26728" xr:uid="{7AE0509A-8D05-44FD-B043-FA43EDFF7C79}"/>
    <hyperlink ref="B750" r:id="rId1498" display="https://tupiel.darsistemas.com/consulta_cups/costos?id=25146" xr:uid="{D172730A-26F0-4EED-9547-EDC2253972A7}"/>
    <hyperlink ref="A751" r:id="rId1499" display="https://tupiel.darsistemas.com/consulta/26832" xr:uid="{FE7315C8-AA1E-4E92-A1FA-1796DF481450}"/>
    <hyperlink ref="B751" r:id="rId1500" display="https://tupiel.darsistemas.com/consulta_cups/costos?id=25699" xr:uid="{861E386E-039F-4C2A-A1EA-D6E9D2138EC9}"/>
    <hyperlink ref="A752" r:id="rId1501" display="https://tupiel.darsistemas.com/consulta/26925" xr:uid="{DD3BE100-34E7-4CAC-A154-52BD44F4EABD}"/>
    <hyperlink ref="B752" r:id="rId1502" display="https://tupiel.darsistemas.com/consulta_cups/costos?id=24550" xr:uid="{8EF8CE7D-B5BC-44DF-8A2C-27EBB971D51D}"/>
    <hyperlink ref="A753" r:id="rId1503" display="https://tupiel.darsistemas.com/consulta/26982" xr:uid="{941BC8D2-17B4-418B-965B-47913C1461F3}"/>
    <hyperlink ref="B753" r:id="rId1504" display="https://tupiel.darsistemas.com/consulta_cups/costos?id=25480" xr:uid="{63F31F74-3877-4A1B-8A17-DBCC6AC6529D}"/>
    <hyperlink ref="A754" r:id="rId1505" display="https://tupiel.darsistemas.com/consulta/26990" xr:uid="{C2AB032F-FC30-4E35-8605-54637E1DF481}"/>
    <hyperlink ref="B754" r:id="rId1506" display="https://tupiel.darsistemas.com/consulta_cups/costos?id=26582" xr:uid="{2423DDC8-A51E-4CDC-89DE-1C0AE1ECCDE8}"/>
    <hyperlink ref="A755" r:id="rId1507" display="https://tupiel.darsistemas.com/consulta/26990" xr:uid="{34A7EE30-4A89-4102-BA1B-E04C0E00E9B1}"/>
    <hyperlink ref="B755" r:id="rId1508" display="https://tupiel.darsistemas.com/consulta_cups/costos?id=26583" xr:uid="{4143DD1E-E7E4-4190-BA34-7069957CCC7E}"/>
    <hyperlink ref="A756" r:id="rId1509" display="https://tupiel.darsistemas.com/consulta/27112" xr:uid="{92335057-92DD-44FB-995D-20AF4E4CE41C}"/>
    <hyperlink ref="B756" r:id="rId1510" display="https://tupiel.darsistemas.com/consulta_cups/costos?id=26656" xr:uid="{6D91FA69-CF61-429C-82C5-D065D0DB603B}"/>
    <hyperlink ref="A757" r:id="rId1511" display="https://tupiel.darsistemas.com/consulta/27112" xr:uid="{348B6575-DB98-46FD-9FAA-74C4689E2E13}"/>
    <hyperlink ref="B757" r:id="rId1512" display="https://tupiel.darsistemas.com/consulta_cups/costos?id=26657" xr:uid="{1CAC05F1-C193-4F24-90C4-871A341ECF46}"/>
    <hyperlink ref="A758" r:id="rId1513" display="https://tupiel.darsistemas.com/consulta/27214" xr:uid="{4487D7CC-347F-4847-A890-F4D251732A3B}"/>
    <hyperlink ref="B758" r:id="rId1514" display="https://tupiel.darsistemas.com/consulta_cups/costos?id=26035" xr:uid="{758450C1-4F56-4986-9790-0B208CF70B28}"/>
    <hyperlink ref="A759" r:id="rId1515" display="https://tupiel.darsistemas.com/consulta/27214" xr:uid="{608FBD19-A40F-4AC8-A851-6AEE9AE3AC68}"/>
    <hyperlink ref="B759" r:id="rId1516" display="https://tupiel.darsistemas.com/consulta_cups/costos?id=26412" xr:uid="{76B4C684-F5D7-4D6A-9C8E-D72AE3399CB2}"/>
    <hyperlink ref="A760" r:id="rId1517" display="https://tupiel.darsistemas.com/consulta/27214" xr:uid="{398A2B86-E322-472D-A628-F7F0BF76EB1C}"/>
    <hyperlink ref="B760" r:id="rId1518" display="https://tupiel.darsistemas.com/consulta_cups/costos?id=26505" xr:uid="{C0B736BE-C7D1-4C2A-84CC-86911AAF5AF8}"/>
    <hyperlink ref="A761" r:id="rId1519" display="https://tupiel.darsistemas.com/consulta/27214" xr:uid="{7F0860CF-609E-4E04-95FC-F6706C3CC382}"/>
    <hyperlink ref="B761" r:id="rId1520" display="https://tupiel.darsistemas.com/consulta_cups/costos?id=26506" xr:uid="{F333D8A6-3F4A-4847-92D2-BA69442798D0}"/>
    <hyperlink ref="A762" r:id="rId1521" display="https://tupiel.darsistemas.com/consulta/27214" xr:uid="{B022E1ED-A27F-4D06-8B6E-CC3887BA28A1}"/>
    <hyperlink ref="B762" r:id="rId1522" display="https://tupiel.darsistemas.com/consulta_cups/costos?id=26752" xr:uid="{42E16747-542C-4048-9282-626BCFF78EF3}"/>
    <hyperlink ref="A763" r:id="rId1523" display="https://tupiel.darsistemas.com/consulta/27219" xr:uid="{2EC2BFD1-C4D3-495A-8D52-01BF1F962F48}"/>
    <hyperlink ref="B763" r:id="rId1524" display="https://tupiel.darsistemas.com/consulta_cups/costos?id=25977" xr:uid="{DD2C657F-B76A-431B-8DA4-79F1CC2501E9}"/>
    <hyperlink ref="A764" r:id="rId1525" display="https://tupiel.darsistemas.com/consulta/27219" xr:uid="{0732FBEB-ACD1-4651-89C0-981563719325}"/>
    <hyperlink ref="B764" r:id="rId1526" display="https://tupiel.darsistemas.com/consulta_cups/costos?id=26010" xr:uid="{79895811-EB8C-4942-BD70-53C4C49DB7C1}"/>
    <hyperlink ref="A765" r:id="rId1527" display="https://tupiel.darsistemas.com/consulta/27219" xr:uid="{8362451C-8EF1-448E-A627-60BE848F10DE}"/>
    <hyperlink ref="B765" r:id="rId1528" display="https://tupiel.darsistemas.com/consulta_cups/costos?id=26032" xr:uid="{660C7A5C-61F6-44CA-9E97-E5B9745D2B66}"/>
    <hyperlink ref="A766" r:id="rId1529" display="https://tupiel.darsistemas.com/consulta/27247" xr:uid="{A5615293-3979-4728-B948-F3302C5AA985}"/>
    <hyperlink ref="B766" r:id="rId1530" display="https://tupiel.darsistemas.com/consulta_cups/costos?id=25952" xr:uid="{659A12AD-C86F-476B-BE25-125476109394}"/>
    <hyperlink ref="A767" r:id="rId1531" display="https://tupiel.darsistemas.com/consulta/27247" xr:uid="{57419201-4B75-4E6E-8079-D09A925C0502}"/>
    <hyperlink ref="B767" r:id="rId1532" display="https://tupiel.darsistemas.com/consulta_cups/costos?id=26264" xr:uid="{0DBB6C7F-F1F4-4566-8BF9-6B55F9F1F844}"/>
    <hyperlink ref="A768" r:id="rId1533" display="https://tupiel.darsistemas.com/consulta/27918" xr:uid="{F5EFA5AD-7C67-4169-9A2A-0405C692A136}"/>
    <hyperlink ref="B768" r:id="rId1534" display="https://tupiel.darsistemas.com/consulta_cups/costos?id=18027" xr:uid="{36933E04-F75F-48EB-A2D9-BC378D7E4A11}"/>
    <hyperlink ref="A769" r:id="rId1535" display="https://tupiel.darsistemas.com/consulta/28336" xr:uid="{41D2AA62-B4E0-439E-B52E-829282CD05FD}"/>
    <hyperlink ref="B769" r:id="rId1536" display="https://tupiel.darsistemas.com/consulta_cups/costos?id=26267" xr:uid="{69E5E8A6-827E-41AB-BBC2-267A9879A076}"/>
    <hyperlink ref="A770" r:id="rId1537" display="https://tupiel.darsistemas.com/consulta/28584" xr:uid="{D0F58471-26F6-4B8B-B977-68F970EEB739}"/>
    <hyperlink ref="B770" r:id="rId1538" display="https://tupiel.darsistemas.com/consulta_cups/costos?id=25763" xr:uid="{777FF61C-C6CF-4209-A7B5-8EE19500C232}"/>
    <hyperlink ref="A771" r:id="rId1539" display="https://tupiel.darsistemas.com/consulta/28584" xr:uid="{D864208A-4F45-4847-8181-28918BFF164F}"/>
    <hyperlink ref="B771" r:id="rId1540" display="https://tupiel.darsistemas.com/consulta_cups/costos?id=25864" xr:uid="{0FD5F4DB-59C9-4F70-A520-D88CDB2DA783}"/>
    <hyperlink ref="A772" r:id="rId1541" display="https://tupiel.darsistemas.com/consulta/29149" xr:uid="{2AEFD5E9-A9B5-4424-827D-94BAD79CCBA2}"/>
    <hyperlink ref="B772" r:id="rId1542" display="https://tupiel.darsistemas.com/consulta_cups/costos?id=14867" xr:uid="{02F3E6B0-BA27-440C-8C68-CEB92271839A}"/>
    <hyperlink ref="A773" r:id="rId1543" display="https://tupiel.darsistemas.com/consulta/29203" xr:uid="{AF3E9AC4-A9E7-4CDC-BB6B-EDDA383DAC45}"/>
    <hyperlink ref="B773" r:id="rId1544" display="https://tupiel.darsistemas.com/consulta_cups/costos?id=26840" xr:uid="{8270533D-93CC-4E8D-B26C-26E729889B6F}"/>
    <hyperlink ref="A774" r:id="rId1545" display="https://tupiel.darsistemas.com/consulta/29586" xr:uid="{E0826F0E-2EB3-48F4-8693-FD7EAFBBEBF1}"/>
    <hyperlink ref="B774" r:id="rId1546" display="https://tupiel.darsistemas.com/consulta_cups/costos?id=26107" xr:uid="{79ADDB98-4F2E-442D-8679-ABF3ECD3DFA6}"/>
    <hyperlink ref="A775" r:id="rId1547" display="https://tupiel.darsistemas.com/consulta/30092" xr:uid="{F5B596A9-8F45-4648-A8A9-0E3D436A7B3F}"/>
    <hyperlink ref="B775" r:id="rId1548" display="https://tupiel.darsistemas.com/consulta_cups/costos?id=25944" xr:uid="{B5423D59-850A-4FC7-93BD-0B4965A02886}"/>
    <hyperlink ref="A776" r:id="rId1549" display="https://tupiel.darsistemas.com/consulta/31212" xr:uid="{8FA519FF-E3BA-4CFE-BC15-4E76D8E25A33}"/>
    <hyperlink ref="B776" r:id="rId1550" display="https://tupiel.darsistemas.com/consulta_cups/costos?id=26438" xr:uid="{09878DFF-D989-47AC-BA0C-510FE909AC2A}"/>
    <hyperlink ref="A777" r:id="rId1551" display="https://tupiel.darsistemas.com/consulta/31470" xr:uid="{B2995971-991B-40CB-AE36-D1470DDEA15F}"/>
    <hyperlink ref="B777" r:id="rId1552" display="https://tupiel.darsistemas.com/consulta_cups/costos?id=18597" xr:uid="{00F2E6E3-53EA-4896-B7F6-C8EC3A61C236}"/>
    <hyperlink ref="A778" r:id="rId1553" display="https://tupiel.darsistemas.com/consulta/31470" xr:uid="{9772B67B-BFC2-44DA-AD16-8D148CE6D1B1}"/>
    <hyperlink ref="B778" r:id="rId1554" display="https://tupiel.darsistemas.com/consulta_cups/costos?id=18598" xr:uid="{699744BC-A157-471E-B42C-4825543F79DB}"/>
    <hyperlink ref="A779" r:id="rId1555" display="https://tupiel.darsistemas.com/consulta/31626" xr:uid="{A81E72E2-0E66-40C7-8D39-21A73F879F01}"/>
    <hyperlink ref="B779" r:id="rId1556" display="https://tupiel.darsistemas.com/consulta_cups/costos?id=26628" xr:uid="{646DBB53-638D-46C0-A925-7956F8E6045E}"/>
    <hyperlink ref="A780" r:id="rId1557" display="https://tupiel.darsistemas.com/consulta/31747" xr:uid="{BF9B8D8C-F5CC-4D31-A90E-C9F1EBCCF38E}"/>
    <hyperlink ref="B780" r:id="rId1558" display="https://tupiel.darsistemas.com/consulta_cups/costos?id=25975" xr:uid="{8B3D4BA3-3808-4AEA-8D4A-9A1F7F090560}"/>
    <hyperlink ref="A781" r:id="rId1559" display="https://tupiel.darsistemas.com/consulta/31801" xr:uid="{59D12ABC-8AA2-4685-B362-9FE0BA12F1D0}"/>
    <hyperlink ref="B781" r:id="rId1560" display="https://tupiel.darsistemas.com/consulta_cups/costos?id=26036" xr:uid="{1B0E41E4-E40A-45A2-87C2-43C0793C6D1D}"/>
    <hyperlink ref="A782" r:id="rId1561" display="https://tupiel.darsistemas.com/consulta/31801" xr:uid="{D16EDA17-419C-43A0-A36A-BDAF2DDA223E}"/>
    <hyperlink ref="B782" r:id="rId1562" display="https://tupiel.darsistemas.com/consulta_cups/costos?id=26588" xr:uid="{D9266755-890B-45D4-A9CD-81B6186FF877}"/>
    <hyperlink ref="A783" r:id="rId1563" display="https://tupiel.darsistemas.com/consulta/31801" xr:uid="{EFCBEEB2-0A43-40D7-8ED1-7E5CA8A727ED}"/>
    <hyperlink ref="B783" r:id="rId1564" display="https://tupiel.darsistemas.com/consulta_cups/costos?id=26589" xr:uid="{15B6927B-567A-4DFC-9120-F096C8313AF4}"/>
    <hyperlink ref="A784" r:id="rId1565" display="https://tupiel.darsistemas.com/consulta/32956" xr:uid="{95E69B66-8F7F-4D78-87CE-D9E05A4AC975}"/>
    <hyperlink ref="B784" r:id="rId1566" display="https://tupiel.darsistemas.com/consulta_cups/costos?id=24064" xr:uid="{F4FA5197-8AA0-4522-BDE2-D32EA2E621CE}"/>
    <hyperlink ref="A785" r:id="rId1567" display="https://tupiel.darsistemas.com/consulta/32956" xr:uid="{99519A4D-5825-436F-A0FF-EE2F58A9F212}"/>
    <hyperlink ref="B785" r:id="rId1568" display="https://tupiel.darsistemas.com/consulta_cups/costos?id=26282" xr:uid="{DFE3E8A8-45FF-41C7-A8EA-F5C91D8372DA}"/>
    <hyperlink ref="A786" r:id="rId1569" display="https://tupiel.darsistemas.com/consulta/33067" xr:uid="{F5BA037D-F7F7-4357-802A-3C65340DD6D4}"/>
    <hyperlink ref="B786" r:id="rId1570" display="https://tupiel.darsistemas.com/consulta_cups/costos?id=25976" xr:uid="{860B7B15-0F02-49F7-AE45-22CCA4D245AE}"/>
    <hyperlink ref="A787" r:id="rId1571" display="https://tupiel.darsistemas.com/consulta/33458" xr:uid="{4C709318-5DE8-40F0-AB71-8F54E39BD9D1}"/>
    <hyperlink ref="B787" r:id="rId1572" display="https://tupiel.darsistemas.com/consulta_cups/costos?id=21740" xr:uid="{D41E0F54-0932-4D50-AA98-898FB4813163}"/>
    <hyperlink ref="A788" r:id="rId1573" display="https://tupiel.darsistemas.com/consulta/33934" xr:uid="{2E487B63-5C15-4045-A94F-D4C31ADD4A35}"/>
    <hyperlink ref="B788" r:id="rId1574" display="https://tupiel.darsistemas.com/consulta_cups/costos?id=26037" xr:uid="{905645EB-5C54-411E-ACE0-F43433FEA2F0}"/>
    <hyperlink ref="A789" r:id="rId1575" display="https://tupiel.darsistemas.com/consulta/34704" xr:uid="{924EDDE0-5B21-4C55-9B4A-BBEE3CC53A9C}"/>
    <hyperlink ref="B789" r:id="rId1576" display="https://tupiel.darsistemas.com/consulta_cups/costos?id=23644" xr:uid="{25E69CEF-04A3-4187-A5B4-35995DF42306}"/>
    <hyperlink ref="A790" r:id="rId1577" display="https://tupiel.darsistemas.com/consulta/34704" xr:uid="{855D9064-9DFC-4DF2-BE68-05F3A2539917}"/>
    <hyperlink ref="B790" r:id="rId1578" display="https://tupiel.darsistemas.com/consulta_cups/costos?id=23645" xr:uid="{FEC1F095-E8B4-49B3-8DFE-6E75AC968AB6}"/>
    <hyperlink ref="A791" r:id="rId1579" display="https://tupiel.darsistemas.com/consulta/34705" xr:uid="{D5AABA10-2238-4BCB-AA6C-8C3ED4C07AB8}"/>
    <hyperlink ref="B791" r:id="rId1580" display="https://tupiel.darsistemas.com/consulta_cups/costos?id=24203" xr:uid="{7182D33D-1CB7-4262-A3F8-2F7E764BF292}"/>
    <hyperlink ref="A792" r:id="rId1581" display="https://tupiel.darsistemas.com/consulta/34846" xr:uid="{DD2A8AAF-7AC0-470F-873E-9D4CCC475ABA}"/>
    <hyperlink ref="B792" r:id="rId1582" display="https://tupiel.darsistemas.com/consulta_cups/costos?id=24211" xr:uid="{3880FA96-95DC-4A71-B70A-E8242E089026}"/>
    <hyperlink ref="A793" r:id="rId1583" display="https://tupiel.darsistemas.com/consulta/34846" xr:uid="{44A341AD-0D73-4D0F-9BB0-89859AFE8DCB}"/>
    <hyperlink ref="B793" r:id="rId1584" display="https://tupiel.darsistemas.com/consulta_cups/costos?id=26108" xr:uid="{354CAF4D-1A2C-43E8-9622-5D1111E26377}"/>
    <hyperlink ref="A794" r:id="rId1585" display="https://tupiel.darsistemas.com/consulta/35060" xr:uid="{D661CDF1-BC25-4A49-8C5A-8DDBB3DDCE9D}"/>
    <hyperlink ref="B794" r:id="rId1586" display="https://tupiel.darsistemas.com/consulta_cups/costos?id=25636" xr:uid="{FADF1EA5-4BEF-4D93-AC9E-16FE85D8E2A7}"/>
    <hyperlink ref="A795" r:id="rId1587" display="https://tupiel.darsistemas.com/consulta/35060" xr:uid="{CBB772D3-15EC-40AC-9EA9-341E4B195612}"/>
    <hyperlink ref="B795" r:id="rId1588" display="https://tupiel.darsistemas.com/consulta_cups/costos?id=25924" xr:uid="{5E1A50CD-15A8-45AF-9A40-FF6BA3AAC7FC}"/>
    <hyperlink ref="A796" r:id="rId1589" display="https://tupiel.darsistemas.com/consulta/35060" xr:uid="{94D4955C-8DD0-46C2-BB1C-FAAE20B27487}"/>
    <hyperlink ref="B796" r:id="rId1590" display="https://tupiel.darsistemas.com/consulta_cups/costos?id=26053" xr:uid="{23D88DAD-CAB5-401B-9D7D-F15A9472EEB8}"/>
    <hyperlink ref="A797" r:id="rId1591" display="https://tupiel.darsistemas.com/consulta/35060" xr:uid="{263C1AC3-85D5-4329-8DB4-1CB72AF25353}"/>
    <hyperlink ref="B797" r:id="rId1592" display="https://tupiel.darsistemas.com/consulta_cups/costos?id=26343" xr:uid="{4A542818-5040-49B1-81E5-B1E2F07E534A}"/>
    <hyperlink ref="A798" r:id="rId1593" display="https://tupiel.darsistemas.com/consulta/35060" xr:uid="{4D0AB17D-C7E2-4B96-909E-04275EBBD7B7}"/>
    <hyperlink ref="B798" r:id="rId1594" display="https://tupiel.darsistemas.com/consulta_cups/costos?id=26451" xr:uid="{CE4E69FC-CFE9-4C51-8B02-37C8B79FD242}"/>
    <hyperlink ref="A799" r:id="rId1595" display="https://tupiel.darsistemas.com/consulta/35060" xr:uid="{1DA2F65C-7731-489B-96FD-9939C007C862}"/>
    <hyperlink ref="B799" r:id="rId1596" display="https://tupiel.darsistemas.com/consulta_cups/costos?id=26641" xr:uid="{6E34738F-7595-44B8-982B-A87B69BC1B27}"/>
    <hyperlink ref="A800" r:id="rId1597" display="https://tupiel.darsistemas.com/consulta/35561" xr:uid="{45D23B68-3F42-4A38-A770-EF8F4FEED8BB}"/>
    <hyperlink ref="B800" r:id="rId1598" display="https://tupiel.darsistemas.com/consulta_cups/costos?id=26234" xr:uid="{6E7F0618-839B-4183-B3C6-196660E52AEF}"/>
    <hyperlink ref="A801" r:id="rId1599" display="https://tupiel.darsistemas.com/consulta/35592" xr:uid="{34249C6F-F2E9-455A-845E-884C0CF9C5CE}"/>
    <hyperlink ref="B801" r:id="rId1600" display="https://tupiel.darsistemas.com/consulta_cups/costos?id=24970" xr:uid="{4530245D-B5FE-433D-9E0C-8DC44098B023}"/>
    <hyperlink ref="A802" r:id="rId1601" display="https://tupiel.darsistemas.com/consulta/35592" xr:uid="{3D5366B4-99C9-4E3E-BB69-AB2E89DC19AF}"/>
    <hyperlink ref="B802" r:id="rId1602" display="https://tupiel.darsistemas.com/consulta_cups/costos?id=26384" xr:uid="{C6182EC7-91BB-4EAE-8DDA-7781A70CDB46}"/>
    <hyperlink ref="A803" r:id="rId1603" display="https://tupiel.darsistemas.com/consulta/35649" xr:uid="{F089C9DE-1DD3-4926-A65A-CB0B5FD75B16}"/>
    <hyperlink ref="B803" r:id="rId1604" display="https://tupiel.darsistemas.com/consulta_cups/costos?id=25074" xr:uid="{F336BC26-6C9F-4F72-A132-B9BAD0B41D45}"/>
    <hyperlink ref="A804" r:id="rId1605" display="https://tupiel.darsistemas.com/consulta/35656" xr:uid="{EB5A7A92-10D0-4106-8A13-07D13A99FD66}"/>
    <hyperlink ref="B804" r:id="rId1606" display="https://tupiel.darsistemas.com/consulta_cups/costos?id=25970" xr:uid="{FDFC66BC-9172-47D7-8C60-B0E1F7322CE6}"/>
    <hyperlink ref="A805" r:id="rId1607" display="https://tupiel.darsistemas.com/consulta/35656" xr:uid="{921CF5E9-7CA2-46BC-B600-5247137DBC92}"/>
    <hyperlink ref="B805" r:id="rId1608" display="https://tupiel.darsistemas.com/consulta_cups/costos?id=26379" xr:uid="{1AC10F6C-DB9A-4F65-900C-C44271A6F8B0}"/>
    <hyperlink ref="A806" r:id="rId1609" display="https://tupiel.darsistemas.com/consulta/35737" xr:uid="{C3F7C943-F4F7-489D-990D-0F4D845A49AE}"/>
    <hyperlink ref="B806" r:id="rId1610" display="https://tupiel.darsistemas.com/consulta_cups/costos?id=25224" xr:uid="{EE8D60AC-94D1-47CE-B7CF-FB5CE48DD9EF}"/>
    <hyperlink ref="A807" r:id="rId1611" display="https://tupiel.darsistemas.com/consulta/35849" xr:uid="{DD90EAD0-BECE-475E-80E4-47B30316FBE7}"/>
    <hyperlink ref="B807" r:id="rId1612" display="https://tupiel.darsistemas.com/consulta_cups/costos?id=25448" xr:uid="{A7F8F808-B6E1-404A-90B8-45ADEDA1AF3C}"/>
    <hyperlink ref="A808" r:id="rId1613" display="https://tupiel.darsistemas.com/consulta/35857" xr:uid="{61F81627-E38F-45D5-B30D-5790DDF289FB}"/>
    <hyperlink ref="B808" r:id="rId1614" display="https://tupiel.darsistemas.com/consulta_cups/costos?id=26019" xr:uid="{D1BA58A0-9492-408B-B72B-7E203A7BF9E9}"/>
    <hyperlink ref="A809" r:id="rId1615" display="https://tupiel.darsistemas.com/consulta/35893" xr:uid="{31D45B86-117E-4FCC-BADD-7FBF9CF525B2}"/>
    <hyperlink ref="B809" r:id="rId1616" display="https://tupiel.darsistemas.com/consulta_cups/costos?id=25510" xr:uid="{D80A4964-904F-4E33-AEA1-12EE0F6D1124}"/>
    <hyperlink ref="A810" r:id="rId1617" display="https://tupiel.darsistemas.com/consulta/35897" xr:uid="{A1107518-AD85-43BF-B155-FB92CAF531AA}"/>
    <hyperlink ref="B810" r:id="rId1618" display="https://tupiel.darsistemas.com/consulta_cups/costos?id=25519" xr:uid="{7B1A03F3-DD40-4583-813A-20B505338342}"/>
    <hyperlink ref="A811" r:id="rId1619" display="https://tupiel.darsistemas.com/consulta/35938" xr:uid="{40716AB6-0572-4B1F-8A12-76685428EE70}"/>
    <hyperlink ref="B811" r:id="rId1620" display="https://tupiel.darsistemas.com/consulta_cups/costos?id=25593" xr:uid="{E08A005A-6DBC-42DB-B496-35BB7FCEAFB7}"/>
    <hyperlink ref="A812" r:id="rId1621" display="https://tupiel.darsistemas.com/consulta/35938" xr:uid="{D14A97CF-B890-44DA-AE01-F8CFE256A732}"/>
    <hyperlink ref="B812" r:id="rId1622" display="https://tupiel.darsistemas.com/consulta_cups/costos?id=25594" xr:uid="{A71298A1-1E30-428D-A70F-4EDB5F71CBC4}"/>
    <hyperlink ref="A813" r:id="rId1623" display="https://tupiel.darsistemas.com/consulta/35982" xr:uid="{4F657982-5A9D-4C25-84B1-EBC26CFDCCF4}"/>
    <hyperlink ref="B813" r:id="rId1624" display="https://tupiel.darsistemas.com/consulta_cups/costos?id=25684" xr:uid="{298C72FA-AC7F-411B-840D-72D9FE032164}"/>
    <hyperlink ref="A814" r:id="rId1625" display="https://tupiel.darsistemas.com/consulta/36049" xr:uid="{FF7D5D74-9F63-47FE-ADE3-D4AD8879D61F}"/>
    <hyperlink ref="B814" r:id="rId1626" display="https://tupiel.darsistemas.com/consulta_cups/costos?id=25815" xr:uid="{A83E1BA3-E31F-405D-BC26-D604E4C1EC80}"/>
    <hyperlink ref="A815" r:id="rId1627" display="https://tupiel.darsistemas.com/consulta/36059" xr:uid="{8637B6FF-7038-4248-98B8-7C618748A45C}"/>
    <hyperlink ref="B815" r:id="rId1628" display="https://tupiel.darsistemas.com/consulta_cups/costos?id=25833" xr:uid="{16189CC5-6319-4357-9FFB-01140E6B31A8}"/>
    <hyperlink ref="A816" r:id="rId1629" display="https://tupiel.darsistemas.com/consulta/36059" xr:uid="{7E3FD737-6B3E-49C0-B795-8813ACD6CB5F}"/>
    <hyperlink ref="B816" r:id="rId1630" display="https://tupiel.darsistemas.com/consulta_cups/costos?id=26136" xr:uid="{47492086-9ECB-4CB3-BB38-5AA1A1103F70}"/>
    <hyperlink ref="A817" r:id="rId1631" display="https://tupiel.darsistemas.com/consulta/36059" xr:uid="{5AF92A61-3689-412E-92FA-9767B50C5FF6}"/>
    <hyperlink ref="B817" r:id="rId1632" display="https://tupiel.darsistemas.com/consulta_cups/costos?id=26139" xr:uid="{9450959D-BADB-4EA5-8F87-3E3007731C92}"/>
    <hyperlink ref="A818" r:id="rId1633" display="https://tupiel.darsistemas.com/consulta/36101" xr:uid="{F22EB651-9672-421A-9C37-F8B785029BF2}"/>
    <hyperlink ref="B818" r:id="rId1634" display="https://tupiel.darsistemas.com/consulta_cups/costos?id=25892" xr:uid="{2F4994D7-E6EA-47A2-A123-973466C5469D}"/>
    <hyperlink ref="A819" r:id="rId1635" display="https://tupiel.darsistemas.com/consulta/36102" xr:uid="{6B78F57B-7CA4-4D0F-84E1-71E9150ED26F}"/>
    <hyperlink ref="B819" r:id="rId1636" display="https://tupiel.darsistemas.com/consulta_cups/costos?id=25893" xr:uid="{64189E18-8C91-432D-986D-636A8618C078}"/>
    <hyperlink ref="A820" r:id="rId1637" display="https://tupiel.darsistemas.com/consulta/36105" xr:uid="{17B6D143-DDE2-467A-AF34-E956F3731961}"/>
    <hyperlink ref="B820" r:id="rId1638" display="https://tupiel.darsistemas.com/consulta_cups/costos?id=25897" xr:uid="{4403B70C-439E-41C7-98A2-C1CC597292FB}"/>
    <hyperlink ref="A821" r:id="rId1639" display="https://tupiel.darsistemas.com/consulta/36106" xr:uid="{F8C467CB-C786-45D4-8C9C-32543918ED1F}"/>
    <hyperlink ref="B821" r:id="rId1640" display="https://tupiel.darsistemas.com/consulta_cups/costos?id=25898" xr:uid="{FB4255E2-82E7-450D-9444-A1E16A746E1C}"/>
    <hyperlink ref="A822" r:id="rId1641" display="https://tupiel.darsistemas.com/consulta/36114" xr:uid="{0F424259-59C7-48CC-BF60-19987882F36B}"/>
    <hyperlink ref="B822" r:id="rId1642" display="https://tupiel.darsistemas.com/consulta_cups/costos?id=25907" xr:uid="{BFD9A9B7-343C-48A5-AEAB-B49CC9D217CA}"/>
    <hyperlink ref="A823" r:id="rId1643" display="https://tupiel.darsistemas.com/consulta/36115" xr:uid="{5A78DCC1-DD9A-4C20-B608-5C0CEBF43B17}"/>
    <hyperlink ref="B823" r:id="rId1644" display="https://tupiel.darsistemas.com/consulta_cups/costos?id=25908" xr:uid="{4925CAC1-40D8-43F6-A7C2-2474612DB2A9}"/>
    <hyperlink ref="A824" r:id="rId1645" display="https://tupiel.darsistemas.com/consulta/36116" xr:uid="{C2E24A67-73EF-43DA-9DFA-E7A5043D0308}"/>
    <hyperlink ref="B824" r:id="rId1646" display="https://tupiel.darsistemas.com/consulta_cups/costos?id=25909" xr:uid="{DA83E49C-61B5-448A-8024-03A4CE9309AA}"/>
    <hyperlink ref="A825" r:id="rId1647" display="https://tupiel.darsistemas.com/consulta/36139" xr:uid="{F46F4480-AAAD-4F99-9121-A1B8F2CFED9D}"/>
    <hyperlink ref="B825" r:id="rId1648" display="https://tupiel.darsistemas.com/consulta_cups/costos?id=25953" xr:uid="{68C798C6-23B2-4AC9-B58F-9FE10E4326C9}"/>
    <hyperlink ref="A826" r:id="rId1649" display="https://tupiel.darsistemas.com/consulta/36180" xr:uid="{0D25B0FB-D340-4FE5-94A5-0ACFAE771AFA}"/>
    <hyperlink ref="B826" r:id="rId1650" display="https://tupiel.darsistemas.com/consulta_cups/costos?id=26024" xr:uid="{2FABB759-69FC-4EFA-AB47-116F2BF835E3}"/>
    <hyperlink ref="A827" r:id="rId1651" display="https://tupiel.darsistemas.com/consulta/36201" xr:uid="{C7A171D8-9F59-4712-895A-BE74C38A23D5}"/>
    <hyperlink ref="B827" r:id="rId1652" display="https://tupiel.darsistemas.com/consulta_cups/costos?id=26070" xr:uid="{3F8FF53A-7365-4484-8C1E-99D41665927B}"/>
    <hyperlink ref="A828" r:id="rId1653" display="https://tupiel.darsistemas.com/consulta/36201" xr:uid="{D3E329AE-B7B8-4570-914F-B292B1F92DA4}"/>
    <hyperlink ref="B828" r:id="rId1654" display="https://tupiel.darsistemas.com/consulta_cups/costos?id=26463" xr:uid="{2A6EBF82-AC52-4C24-AE0D-8165574AA4DA}"/>
    <hyperlink ref="A829" r:id="rId1655" display="https://tupiel.darsistemas.com/consulta/36264" xr:uid="{4E7143FF-90DA-4B69-95B2-D377BBAF12EA}"/>
    <hyperlink ref="B829" r:id="rId1656" display="https://tupiel.darsistemas.com/consulta_cups/costos?id=26203" xr:uid="{FA903784-CD35-4847-BC57-64E6D3DC0125}"/>
    <hyperlink ref="A830" r:id="rId1657" display="https://tupiel.darsistemas.com/consulta/36286" xr:uid="{65E9A096-3B6C-4E39-84CC-2B5C3103B445}"/>
    <hyperlink ref="B830" r:id="rId1658" display="https://tupiel.darsistemas.com/consulta_cups/costos?id=26246" xr:uid="{348159E1-784F-4489-9C7C-68F220B2CF3F}"/>
    <hyperlink ref="A831" r:id="rId1659" display="https://tupiel.darsistemas.com/consulta/36295" xr:uid="{D655B691-DD80-41BA-B572-FB28F3B1BB71}"/>
    <hyperlink ref="B831" r:id="rId1660" display="https://tupiel.darsistemas.com/consulta_cups/costos?id=26258" xr:uid="{0BEC322D-5B78-4FDF-9E3B-97E3A3643BFA}"/>
    <hyperlink ref="A832" r:id="rId1661" display="https://tupiel.darsistemas.com/consulta/36309" xr:uid="{4CCAD35E-B385-4FC8-A636-65A71D150641}"/>
    <hyperlink ref="B832" r:id="rId1662" display="https://tupiel.darsistemas.com/consulta_cups/costos?id=26283" xr:uid="{6FBE7E75-0C24-4EEE-8C5F-DF58089C42B1}"/>
    <hyperlink ref="A833" r:id="rId1663" display="https://tupiel.darsistemas.com/consulta/36344" xr:uid="{06936433-32D4-4C90-8DF4-EAA18404642C}"/>
    <hyperlink ref="B833" r:id="rId1664" display="https://tupiel.darsistemas.com/consulta_cups/costos?id=26347" xr:uid="{FFB51443-57CF-407B-893C-569E6BD2F7F1}"/>
    <hyperlink ref="A834" r:id="rId1665" display="https://tupiel.darsistemas.com/consulta/36351" xr:uid="{F2D534BB-283D-4821-9D78-5E88AA8C13A4}"/>
    <hyperlink ref="B834" r:id="rId1666" display="https://tupiel.darsistemas.com/consulta_cups/costos?id=26359" xr:uid="{1A09601E-9C54-44C3-A8BC-E7B45FBC9E85}"/>
    <hyperlink ref="A835" r:id="rId1667" display="https://tupiel.darsistemas.com/consulta/36351" xr:uid="{89DC66FA-CFF0-4A6E-8510-FE8DA41CCC1E}"/>
    <hyperlink ref="B835" r:id="rId1668" display="https://tupiel.darsistemas.com/consulta_cups/costos?id=26360" xr:uid="{A8377B07-CF59-47C0-9B93-EC4867C100FC}"/>
    <hyperlink ref="A836" r:id="rId1669" display="https://tupiel.darsistemas.com/consulta/36363" xr:uid="{CFE444CD-7938-4994-9A0A-66D85BB6C073}"/>
    <hyperlink ref="B836" r:id="rId1670" display="https://tupiel.darsistemas.com/consulta_cups/costos?id=26383" xr:uid="{2CD4C609-C8BA-413C-A77D-974DDEAA0728}"/>
    <hyperlink ref="A837" r:id="rId1671" display="https://tupiel.darsistemas.com/consulta/36421" xr:uid="{6B31E007-56EC-4A4F-AC7E-160B0B695845}"/>
    <hyperlink ref="B837" r:id="rId1672" display="https://tupiel.darsistemas.com/consulta_cups/costos?id=26481" xr:uid="{5C6ADA47-E06B-4EDE-B330-7AD8C4EC94DB}"/>
    <hyperlink ref="A838" r:id="rId1673" display="https://tupiel.darsistemas.com/consulta/36421" xr:uid="{8183AC49-E824-4732-A59A-EF9537706878}"/>
    <hyperlink ref="B838" r:id="rId1674" display="https://tupiel.darsistemas.com/consulta_cups/costos?id=26547" xr:uid="{5A02B3AB-DF10-4F7D-BBBD-0985F59C267A}"/>
    <hyperlink ref="A839" r:id="rId1675" display="https://tupiel.darsistemas.com/consulta/36421" xr:uid="{B634EA51-D589-4AA6-BB67-98F061C8ADBD}"/>
    <hyperlink ref="B839" r:id="rId1676" display="https://tupiel.darsistemas.com/consulta_cups/costos?id=26549" xr:uid="{C913BB59-D2E4-4079-AB39-4ED61E0D3611}"/>
    <hyperlink ref="A840" r:id="rId1677" display="https://tupiel.darsistemas.com/consulta/36437" xr:uid="{31DD029F-A7F8-4721-B5B8-C0D5995CEE00}"/>
    <hyperlink ref="B840" r:id="rId1678" display="https://tupiel.darsistemas.com/consulta_cups/costos?id=26514" xr:uid="{F79A28FD-A5E0-4ACD-BA36-0EDB9A3268E3}"/>
    <hyperlink ref="A841" r:id="rId1679" display="https://tupiel.darsistemas.com/consulta/36441" xr:uid="{F8D9766D-441D-4BD9-A010-77AEB74AD3D7}"/>
    <hyperlink ref="B841" r:id="rId1680" display="https://tupiel.darsistemas.com/consulta_cups/costos?id=26518" xr:uid="{6193E83A-06EF-4E02-942D-A569B73E875A}"/>
    <hyperlink ref="A842" r:id="rId1681" display="https://tupiel.darsistemas.com/consulta/36445" xr:uid="{6F64745F-18E6-4FE9-8CF7-91DC767AA4EC}"/>
    <hyperlink ref="B842" r:id="rId1682" display="https://tupiel.darsistemas.com/consulta_cups/costos?id=26526" xr:uid="{F9222317-1BF7-49BA-AF07-91384BFF20C0}"/>
    <hyperlink ref="A843" r:id="rId1683" display="https://tupiel.darsistemas.com/consulta/36449" xr:uid="{641ABDCA-1CE6-4278-8687-264D065813E1}"/>
    <hyperlink ref="B843" r:id="rId1684" display="https://tupiel.darsistemas.com/consulta_cups/costos?id=26534" xr:uid="{74EE9962-A5AF-4AB5-A19A-01D9B152EF53}"/>
    <hyperlink ref="A844" r:id="rId1685" display="https://tupiel.darsistemas.com/consulta/36456" xr:uid="{33A5DABC-D32E-4F4A-B93B-6607A9C1E421}"/>
    <hyperlink ref="B844" r:id="rId1686" display="https://tupiel.darsistemas.com/consulta_cups/costos?id=26546" xr:uid="{5808EFCD-D29D-4D40-B7BD-33C55CDBA2B3}"/>
    <hyperlink ref="A845" r:id="rId1687" display="https://tupiel.darsistemas.com/consulta/36460" xr:uid="{45B263F4-1D17-4E43-B281-253E2DA0DB0E}"/>
    <hyperlink ref="B845" r:id="rId1688" display="https://tupiel.darsistemas.com/consulta_cups/costos?id=26552" xr:uid="{3D5D9E8D-4CA2-4BAC-9491-B48454CC2DAB}"/>
    <hyperlink ref="A846" r:id="rId1689" display="https://tupiel.darsistemas.com/consulta/36471" xr:uid="{F4DC2ED5-CBC3-4CE0-9734-03969E166281}"/>
    <hyperlink ref="B846" r:id="rId1690" display="https://tupiel.darsistemas.com/consulta_cups/costos?id=26573" xr:uid="{21B8F3DC-9008-41CD-894A-424ECC9ED58C}"/>
    <hyperlink ref="A847" r:id="rId1691" display="https://tupiel.darsistemas.com/consulta/36484" xr:uid="{43240A51-7317-4E67-A428-7881DD3DA07B}"/>
    <hyperlink ref="B847" r:id="rId1692" display="https://tupiel.darsistemas.com/consulta_cups/costos?id=26607" xr:uid="{1FF9C495-BD63-4500-9C64-DA5655293DCB}"/>
    <hyperlink ref="A848" r:id="rId1693" display="https://tupiel.darsistemas.com/consulta/36505" xr:uid="{3C53D9DD-47A2-482B-9970-DDABF2BF0872}"/>
    <hyperlink ref="B848" r:id="rId1694" display="https://tupiel.darsistemas.com/consulta_cups/costos?id=26649" xr:uid="{45D2BB1B-3574-4BEC-8345-809855BC340A}"/>
    <hyperlink ref="A849" r:id="rId1695" display="https://tupiel.darsistemas.com/consulta/36515" xr:uid="{0B0CAA9F-9BC9-4255-B209-DF1D6AC4436D}"/>
    <hyperlink ref="B849" r:id="rId1696" display="https://tupiel.darsistemas.com/consulta_cups/costos?id=26662" xr:uid="{6E131077-0612-4839-BE95-0D953E36C3D1}"/>
    <hyperlink ref="A850" r:id="rId1697" display="https://tupiel.darsistemas.com/consulta/36580" xr:uid="{A9C39C21-ACF8-4919-AF8D-75B82D4649AB}"/>
    <hyperlink ref="B850" r:id="rId1698" display="https://tupiel.darsistemas.com/consulta_cups/costos?id=26774" xr:uid="{1BEE3796-F706-4CD1-A581-08B716BCA6C8}"/>
  </hyperlinks>
  <pageMargins left="0.7" right="0.7" top="0.75" bottom="0.75" header="0" footer="0"/>
  <pageSetup orientation="landscape" r:id="rId169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3122-05BB-4067-96E7-D9E2BF879612}">
  <sheetPr>
    <tabColor theme="9" tint="0.39997558519241921"/>
  </sheetPr>
  <dimension ref="B1:W35"/>
  <sheetViews>
    <sheetView zoomScale="80" zoomScaleNormal="80" workbookViewId="0">
      <selection activeCell="N3" sqref="N3"/>
    </sheetView>
  </sheetViews>
  <sheetFormatPr baseColWidth="10" defaultColWidth="11.3984375" defaultRowHeight="13.8"/>
  <cols>
    <col min="1" max="1" width="4.296875" style="18" customWidth="1"/>
    <col min="2" max="2" width="12.69921875" style="20" customWidth="1"/>
    <col min="3" max="3" width="15.59765625" style="30" hidden="1" customWidth="1"/>
    <col min="4" max="4" width="14.59765625" style="30" hidden="1" customWidth="1"/>
    <col min="5" max="5" width="14.09765625" style="21" bestFit="1" customWidth="1"/>
    <col min="6" max="9" width="13" style="21" customWidth="1"/>
    <col min="10" max="10" width="8.09765625" style="21" customWidth="1"/>
    <col min="11" max="11" width="2" style="21" customWidth="1"/>
    <col min="12" max="12" width="20.59765625" style="20" customWidth="1"/>
    <col min="13" max="13" width="16.3984375" style="20" customWidth="1"/>
    <col min="14" max="14" width="18.59765625" style="20" customWidth="1"/>
    <col min="15" max="15" width="13.69921875" style="20" customWidth="1"/>
    <col min="16" max="16" width="15.296875" style="20" customWidth="1"/>
    <col min="17" max="17" width="11.3984375" style="18"/>
    <col min="18" max="18" width="12.59765625" style="18" bestFit="1" customWidth="1"/>
    <col min="19" max="16384" width="11.3984375" style="18"/>
  </cols>
  <sheetData>
    <row r="1" spans="2:23">
      <c r="L1" s="45" t="s">
        <v>97</v>
      </c>
      <c r="M1" s="45" t="s">
        <v>79</v>
      </c>
      <c r="N1" s="45" t="s">
        <v>42</v>
      </c>
      <c r="O1" s="45" t="s">
        <v>37</v>
      </c>
      <c r="P1" s="45" t="s">
        <v>80</v>
      </c>
    </row>
    <row r="2" spans="2:23" ht="13.5" customHeight="1" thickBot="1">
      <c r="B2" s="44" t="s">
        <v>71</v>
      </c>
      <c r="C2" s="44" t="s">
        <v>71</v>
      </c>
      <c r="D2" s="44" t="s">
        <v>71</v>
      </c>
      <c r="E2" s="37"/>
      <c r="F2" s="46"/>
      <c r="G2" s="46"/>
      <c r="H2" s="46"/>
      <c r="I2" s="37"/>
      <c r="L2" s="39" t="s">
        <v>70</v>
      </c>
      <c r="M2" s="39" t="s">
        <v>70</v>
      </c>
      <c r="N2" s="39" t="s">
        <v>70</v>
      </c>
      <c r="O2" s="39" t="s">
        <v>70</v>
      </c>
      <c r="P2" s="39" t="s">
        <v>70</v>
      </c>
    </row>
    <row r="3" spans="2:23" ht="40.200000000000003" thickBot="1">
      <c r="B3" s="97" t="s">
        <v>42</v>
      </c>
      <c r="C3" s="98" t="s">
        <v>87</v>
      </c>
      <c r="D3" s="97" t="s">
        <v>103</v>
      </c>
      <c r="E3" s="97" t="s">
        <v>88</v>
      </c>
      <c r="F3" s="97" t="s">
        <v>64</v>
      </c>
      <c r="G3" s="97" t="s">
        <v>65</v>
      </c>
      <c r="H3" s="97" t="s">
        <v>63</v>
      </c>
      <c r="I3" s="97" t="s">
        <v>74</v>
      </c>
      <c r="J3" s="99" t="s">
        <v>60</v>
      </c>
      <c r="K3" s="23"/>
      <c r="L3" s="43">
        <v>19347826.086956523</v>
      </c>
      <c r="M3" s="43">
        <v>3190000</v>
      </c>
      <c r="N3" s="24">
        <v>46072</v>
      </c>
      <c r="O3" s="47">
        <v>24284000</v>
      </c>
      <c r="P3" s="25">
        <v>16</v>
      </c>
      <c r="Q3" s="26"/>
      <c r="R3" s="26"/>
      <c r="S3" s="26"/>
      <c r="T3" s="26"/>
      <c r="U3" s="26"/>
      <c r="V3" s="26"/>
      <c r="W3" s="26"/>
    </row>
    <row r="4" spans="2:23" ht="16.5" customHeight="1" thickBot="1">
      <c r="B4" s="104">
        <v>46054</v>
      </c>
      <c r="C4" s="105">
        <v>0</v>
      </c>
      <c r="D4" s="31">
        <v>0</v>
      </c>
      <c r="E4" s="31">
        <f>SUMIF(INFO.PROYECCIÓN!$C:$C,B4,INFO.PROYECCIÓN!$L:$L)</f>
        <v>0</v>
      </c>
      <c r="F4" s="31">
        <f>SUMIFS(INFO.RENTABILIDAD!$L$1:$L$15000,INFO.RENTABILIDAD!$C$1:$C$15000,B4,INFO.RENTABILIDAD!$W$1:$W$15000,"SI")</f>
        <v>133000</v>
      </c>
      <c r="G4" s="31">
        <f>SUMIFS(INFO.RENTABILIDAD!$L$1:$L$999,INFO.RENTABILIDAD!$C$1:$C$999,B4,INFO.RENTABILIDAD!$W$1:$W$999,"NO")</f>
        <v>0</v>
      </c>
      <c r="H4" s="31">
        <f>SUMIFS(INFO.RENTABILIDAD!$L$1:$L$999,INFO.RENTABILIDAD!$C$1:$C$999,B4,INFO.RENTABILIDAD!$W$1:$W$999,"SIN PAGO")</f>
        <v>0</v>
      </c>
      <c r="I4" s="31">
        <f>SUMIF(INFO.RENTABILIDAD!C:C,B4,INFO.RENTABILIDAD!L:L)</f>
        <v>133000</v>
      </c>
      <c r="J4" s="103" t="s">
        <v>50</v>
      </c>
      <c r="K4" s="27"/>
      <c r="L4" s="391" t="s">
        <v>109</v>
      </c>
      <c r="M4" s="391"/>
      <c r="N4" s="391"/>
      <c r="O4" s="391"/>
      <c r="P4" s="391"/>
      <c r="Q4" s="28"/>
      <c r="R4" s="28"/>
      <c r="S4" s="28"/>
      <c r="T4" s="28"/>
      <c r="U4" s="28"/>
      <c r="V4" s="28"/>
      <c r="W4" s="28"/>
    </row>
    <row r="5" spans="2:23" ht="13.5" customHeight="1" thickBot="1">
      <c r="B5" s="104">
        <v>46055</v>
      </c>
      <c r="C5" s="105">
        <v>0</v>
      </c>
      <c r="D5" s="31">
        <v>0</v>
      </c>
      <c r="E5" s="31">
        <f>SUMIF(INFO.PROYECCIÓN!$C:$C,B5,INFO.PROYECCIÓN!$L:$L)</f>
        <v>0</v>
      </c>
      <c r="F5" s="31">
        <f>SUMIFS(INFO.RENTABILIDAD!$L$1:$L$15000,INFO.RENTABILIDAD!$C$1:$C$15000,B5,INFO.RENTABILIDAD!$W$1:$W$15000,"SI")</f>
        <v>23167000</v>
      </c>
      <c r="G5" s="31">
        <f>SUMIFS(INFO.RENTABILIDAD!$L$1:$L$999,INFO.RENTABILIDAD!$C$1:$C$999,B5,INFO.RENTABILIDAD!$W$1:$W$999,"NO")</f>
        <v>200000</v>
      </c>
      <c r="H5" s="31">
        <f>SUMIFS(INFO.RENTABILIDAD!$L$1:$L$999,INFO.RENTABILIDAD!$C$1:$C$999,B5,INFO.RENTABILIDAD!$W$1:$W$999,"SIN PAGO")</f>
        <v>0</v>
      </c>
      <c r="I5" s="31">
        <f>SUMIF(INFO.RENTABILIDAD!C:C,B5,INFO.RENTABILIDAD!L:L)</f>
        <v>23367000</v>
      </c>
      <c r="J5" s="103" t="s">
        <v>50</v>
      </c>
      <c r="K5" s="27"/>
      <c r="L5" s="75" t="s">
        <v>58</v>
      </c>
      <c r="M5" s="75" t="s">
        <v>41</v>
      </c>
      <c r="N5" s="75" t="s">
        <v>108</v>
      </c>
      <c r="O5" s="75" t="s">
        <v>61</v>
      </c>
      <c r="P5" s="75" t="s">
        <v>85</v>
      </c>
      <c r="Q5" s="28"/>
      <c r="R5" s="28"/>
      <c r="S5" s="28"/>
      <c r="T5" s="28"/>
      <c r="U5" s="28"/>
      <c r="V5" s="28"/>
      <c r="W5" s="28"/>
    </row>
    <row r="6" spans="2:23" ht="13.5" customHeight="1">
      <c r="B6" s="104">
        <v>46056</v>
      </c>
      <c r="C6" s="105">
        <v>0</v>
      </c>
      <c r="D6" s="31">
        <v>0</v>
      </c>
      <c r="E6" s="31">
        <f>SUMIF(INFO.PROYECCIÓN!$C:$C,B6,INFO.PROYECCIÓN!$L:$L)</f>
        <v>0</v>
      </c>
      <c r="F6" s="31">
        <f>SUMIFS(INFO.RENTABILIDAD!$L$1:$L$15000,INFO.RENTABILIDAD!$C$1:$C$15000,B6,INFO.RENTABILIDAD!$W$1:$W$15000,"SI")</f>
        <v>14266000</v>
      </c>
      <c r="G6" s="31">
        <f>SUMIFS(INFO.RENTABILIDAD!$L$1:$L$999,INFO.RENTABILIDAD!$C$1:$C$999,B6,INFO.RENTABILIDAD!$W$1:$W$999,"NO")</f>
        <v>1350000</v>
      </c>
      <c r="H6" s="31">
        <f>SUMIFS(INFO.RENTABILIDAD!$L$1:$L$999,INFO.RENTABILIDAD!$C$1:$C$999,B6,INFO.RENTABILIDAD!$W$1:$W$999,"SIN PAGO")</f>
        <v>0</v>
      </c>
      <c r="I6" s="31">
        <f>SUMIF(INFO.RENTABILIDAD!C:C,B6,INFO.RENTABILIDAD!L:L)</f>
        <v>15616000</v>
      </c>
      <c r="J6" s="103" t="s">
        <v>50</v>
      </c>
      <c r="K6" s="27"/>
      <c r="L6" s="84"/>
      <c r="M6" s="35" t="s">
        <v>54</v>
      </c>
      <c r="N6" s="36">
        <f>SUM(C4:C8)</f>
        <v>0</v>
      </c>
      <c r="O6" s="36">
        <f>SUM(E4:E8)</f>
        <v>0</v>
      </c>
      <c r="P6" s="36">
        <f>SUM(I4:I8)</f>
        <v>61422500</v>
      </c>
      <c r="Q6" s="28"/>
      <c r="R6" s="28"/>
      <c r="S6" s="28"/>
      <c r="T6" s="28"/>
      <c r="U6" s="28"/>
      <c r="V6" s="28"/>
      <c r="W6" s="28"/>
    </row>
    <row r="7" spans="2:23" ht="13.5" customHeight="1">
      <c r="B7" s="104">
        <v>46057</v>
      </c>
      <c r="C7" s="105">
        <v>0</v>
      </c>
      <c r="D7" s="31">
        <v>0</v>
      </c>
      <c r="E7" s="31">
        <f>SUMIF(INFO.PROYECCIÓN!$C:$C,B7,INFO.PROYECCIÓN!$L:$L)</f>
        <v>0</v>
      </c>
      <c r="F7" s="31">
        <f>SUMIFS(INFO.RENTABILIDAD!$L$1:$L$15000,INFO.RENTABILIDAD!$C$1:$C$15000,B7,INFO.RENTABILIDAD!$W$1:$W$15000,"SI")</f>
        <v>6521000</v>
      </c>
      <c r="G7" s="31">
        <f>SUMIFS(INFO.RENTABILIDAD!$L$1:$L$999,INFO.RENTABILIDAD!$C$1:$C$999,B7,INFO.RENTABILIDAD!$W$1:$W$999,"NO")</f>
        <v>381000</v>
      </c>
      <c r="H7" s="31">
        <f>SUMIFS(INFO.RENTABILIDAD!$L$1:$L$999,INFO.RENTABILIDAD!$C$1:$C$999,B7,INFO.RENTABILIDAD!$W$1:$W$999,"SIN PAGO")</f>
        <v>0</v>
      </c>
      <c r="I7" s="31">
        <f>SUMIF(INFO.RENTABILIDAD!C:C,B7,INFO.RENTABILIDAD!L:L)</f>
        <v>6902000</v>
      </c>
      <c r="J7" s="103" t="s">
        <v>50</v>
      </c>
      <c r="K7" s="27"/>
      <c r="L7" s="85"/>
      <c r="M7" s="29" t="s">
        <v>55</v>
      </c>
      <c r="N7" s="32">
        <f>SUM(C9:C15)</f>
        <v>0</v>
      </c>
      <c r="O7" s="36">
        <f>SUM(E9:E15)</f>
        <v>0</v>
      </c>
      <c r="P7" s="36">
        <f>SUM(I9:I15)</f>
        <v>114190500</v>
      </c>
      <c r="Q7" s="28"/>
      <c r="R7" s="28"/>
      <c r="S7" s="28"/>
      <c r="T7" s="28"/>
      <c r="U7" s="28"/>
      <c r="V7" s="28"/>
      <c r="W7" s="28"/>
    </row>
    <row r="8" spans="2:23" ht="13.5" customHeight="1">
      <c r="B8" s="104">
        <v>46058</v>
      </c>
      <c r="C8" s="105">
        <v>0</v>
      </c>
      <c r="D8" s="31">
        <v>0</v>
      </c>
      <c r="E8" s="31">
        <f>SUMIF(INFO.PROYECCIÓN!$C:$C,B8,INFO.PROYECCIÓN!$L:$L)</f>
        <v>0</v>
      </c>
      <c r="F8" s="31">
        <f>SUMIFS(INFO.RENTABILIDAD!$L$1:$L$15000,INFO.RENTABILIDAD!$C$1:$C$15000,B8,INFO.RENTABILIDAD!$W$1:$W$15000,"SI")</f>
        <v>13902000</v>
      </c>
      <c r="G8" s="31">
        <f>SUMIFS(INFO.RENTABILIDAD!$L$1:$L$999,INFO.RENTABILIDAD!$C$1:$C$999,B8,INFO.RENTABILIDAD!$W$1:$W$999,"NO")</f>
        <v>1502500</v>
      </c>
      <c r="H8" s="31">
        <f>SUMIFS(INFO.RENTABILIDAD!$L$1:$L$999,INFO.RENTABILIDAD!$C$1:$C$999,B8,INFO.RENTABILIDAD!$W$1:$W$999,"SIN PAGO")</f>
        <v>0</v>
      </c>
      <c r="I8" s="31">
        <f>SUMIF(INFO.RENTABILIDAD!C:C,B8,INFO.RENTABILIDAD!L:L)</f>
        <v>15404500</v>
      </c>
      <c r="J8" s="103" t="s">
        <v>50</v>
      </c>
      <c r="K8" s="27"/>
      <c r="L8" s="85"/>
      <c r="M8" s="29" t="s">
        <v>56</v>
      </c>
      <c r="N8" s="32">
        <f>SUM(C16:C22)</f>
        <v>0</v>
      </c>
      <c r="O8" s="36">
        <f>SUM(E16:E22)</f>
        <v>0</v>
      </c>
      <c r="P8" s="36">
        <f>SUM(I16:I22)</f>
        <v>137771000</v>
      </c>
      <c r="Q8" s="28"/>
      <c r="R8" s="28"/>
      <c r="S8" s="28"/>
      <c r="T8" s="28"/>
      <c r="U8" s="28"/>
      <c r="V8" s="28"/>
      <c r="W8" s="28"/>
    </row>
    <row r="9" spans="2:23" ht="13.5" customHeight="1">
      <c r="B9" s="104">
        <v>46059</v>
      </c>
      <c r="C9" s="105">
        <v>0</v>
      </c>
      <c r="D9" s="31">
        <v>0</v>
      </c>
      <c r="E9" s="31">
        <f>SUMIF(INFO.PROYECCIÓN!$C:$C,B9,INFO.PROYECCIÓN!$L:$L)</f>
        <v>0</v>
      </c>
      <c r="F9" s="31">
        <f>SUMIFS(INFO.RENTABILIDAD!$L$1:$L$15000,INFO.RENTABILIDAD!$C$1:$C$15000,B9,INFO.RENTABILIDAD!$W$1:$W$15000,"SI")</f>
        <v>24645000</v>
      </c>
      <c r="G9" s="31">
        <f>SUMIFS(INFO.RENTABILIDAD!$L$1:$L$999,INFO.RENTABILIDAD!$C$1:$C$999,B9,INFO.RENTABILIDAD!$W$1:$W$999,"NO")</f>
        <v>123500</v>
      </c>
      <c r="H9" s="31">
        <f>SUMIFS(INFO.RENTABILIDAD!$L$1:$L$999,INFO.RENTABILIDAD!$C$1:$C$999,B9,INFO.RENTABILIDAD!$W$1:$W$999,"SIN PAGO")</f>
        <v>0</v>
      </c>
      <c r="I9" s="31">
        <f>SUMIF(INFO.RENTABILIDAD!C:C,B9,INFO.RENTABILIDAD!L:L)</f>
        <v>24768500</v>
      </c>
      <c r="J9" s="103" t="s">
        <v>50</v>
      </c>
      <c r="K9" s="27"/>
      <c r="L9" s="86"/>
      <c r="M9" s="34" t="s">
        <v>57</v>
      </c>
      <c r="N9" s="33">
        <f>SUM(C23:C29)</f>
        <v>0</v>
      </c>
      <c r="O9" s="36">
        <f>SUM(E23:E29)</f>
        <v>85912500</v>
      </c>
      <c r="P9" s="36">
        <f>SUM(I23:I29)</f>
        <v>0</v>
      </c>
      <c r="Q9" s="28"/>
      <c r="R9" s="28"/>
      <c r="S9" s="28"/>
      <c r="T9" s="28"/>
      <c r="U9" s="28"/>
      <c r="V9" s="28"/>
      <c r="W9" s="28"/>
    </row>
    <row r="10" spans="2:23" ht="13.5" customHeight="1" thickBot="1">
      <c r="B10" s="104">
        <v>46060</v>
      </c>
      <c r="C10" s="105">
        <v>0</v>
      </c>
      <c r="D10" s="31">
        <v>0</v>
      </c>
      <c r="E10" s="31">
        <f>SUMIF(INFO.PROYECCIÓN!$C:$C,B10,INFO.PROYECCIÓN!$L:$L)</f>
        <v>0</v>
      </c>
      <c r="F10" s="31">
        <f>SUMIFS(INFO.RENTABILIDAD!$L$1:$L$15000,INFO.RENTABILIDAD!$C$1:$C$15000,B10,INFO.RENTABILIDAD!$W$1:$W$15000,"SI")</f>
        <v>11220000</v>
      </c>
      <c r="G10" s="31">
        <f>SUMIFS(INFO.RENTABILIDAD!$L$1:$L$999,INFO.RENTABILIDAD!$C$1:$C$999,B10,INFO.RENTABILIDAD!$W$1:$W$999,"NO")</f>
        <v>940000</v>
      </c>
      <c r="H10" s="31">
        <f>SUMIFS(INFO.RENTABILIDAD!$L$1:$L$999,INFO.RENTABILIDAD!$C$1:$C$999,B10,INFO.RENTABILIDAD!$W$1:$W$999,"SIN PAGO")</f>
        <v>0</v>
      </c>
      <c r="I10" s="31">
        <f>SUMIF(INFO.RENTABILIDAD!C:C,B10,INFO.RENTABILIDAD!L:L)</f>
        <v>12160000</v>
      </c>
      <c r="J10" s="103" t="s">
        <v>50</v>
      </c>
      <c r="K10" s="27"/>
      <c r="L10" s="95"/>
      <c r="M10" s="34" t="s">
        <v>102</v>
      </c>
      <c r="N10" s="33">
        <f>SUM(C30:C34)</f>
        <v>0</v>
      </c>
      <c r="O10" s="36">
        <f>SUM(E30:E34)</f>
        <v>19120000</v>
      </c>
      <c r="P10" s="36">
        <f>SUM(I30:I34)</f>
        <v>0</v>
      </c>
      <c r="Q10" s="28"/>
      <c r="R10" s="28"/>
      <c r="S10" s="28"/>
      <c r="T10" s="28"/>
      <c r="U10" s="28"/>
      <c r="V10" s="28"/>
      <c r="W10" s="28"/>
    </row>
    <row r="11" spans="2:23" ht="13.5" customHeight="1" thickBot="1">
      <c r="B11" s="104">
        <v>46061</v>
      </c>
      <c r="C11" s="105">
        <v>0</v>
      </c>
      <c r="D11" s="31">
        <v>0</v>
      </c>
      <c r="E11" s="31">
        <f>SUMIF(INFO.PROYECCIÓN!$C:$C,B11,INFO.PROYECCIÓN!$L:$L)</f>
        <v>0</v>
      </c>
      <c r="F11" s="31">
        <f>SUMIFS(INFO.RENTABILIDAD!$L$1:$L$15000,INFO.RENTABILIDAD!$C$1:$C$15000,B11,INFO.RENTABILIDAD!$W$1:$W$15000,"SI")</f>
        <v>610000</v>
      </c>
      <c r="G11" s="31">
        <f>SUMIFS(INFO.RENTABILIDAD!$L$1:$L$999,INFO.RENTABILIDAD!$C$1:$C$999,B11,INFO.RENTABILIDAD!$W$1:$W$999,"NO")</f>
        <v>0</v>
      </c>
      <c r="H11" s="31">
        <f>SUMIFS(INFO.RENTABILIDAD!$L$1:$L$999,INFO.RENTABILIDAD!$C$1:$C$999,B11,INFO.RENTABILIDAD!$W$1:$W$999,"SIN PAGO")</f>
        <v>0</v>
      </c>
      <c r="I11" s="31">
        <f>SUMIF(INFO.RENTABILIDAD!C:C,B11,INFO.RENTABILIDAD!L:L)</f>
        <v>610000</v>
      </c>
      <c r="J11" s="103" t="s">
        <v>50</v>
      </c>
      <c r="K11" s="27"/>
      <c r="L11" s="387" t="s">
        <v>110</v>
      </c>
      <c r="M11" s="388"/>
      <c r="N11" s="76">
        <f>SUM(N6:N10)</f>
        <v>0</v>
      </c>
      <c r="O11" s="76">
        <f>SUM(O6:O10)</f>
        <v>105032500</v>
      </c>
      <c r="P11" s="77">
        <f>SUM(P6:P9)</f>
        <v>313384000</v>
      </c>
      <c r="Q11" s="28"/>
      <c r="R11" s="28"/>
      <c r="S11" s="28"/>
      <c r="T11" s="28"/>
      <c r="U11" s="28"/>
      <c r="V11" s="28"/>
      <c r="W11" s="28"/>
    </row>
    <row r="12" spans="2:23" ht="13.5" customHeight="1" thickBot="1">
      <c r="B12" s="104">
        <v>46062</v>
      </c>
      <c r="C12" s="105">
        <v>0</v>
      </c>
      <c r="D12" s="31">
        <v>0</v>
      </c>
      <c r="E12" s="31">
        <f>SUMIF(INFO.PROYECCIÓN!$C:$C,B12,INFO.PROYECCIÓN!$L:$L)</f>
        <v>0</v>
      </c>
      <c r="F12" s="31">
        <f>SUMIFS(INFO.RENTABILIDAD!$L$1:$L$15000,INFO.RENTABILIDAD!$C$1:$C$15000,B12,INFO.RENTABILIDAD!$W$1:$W$15000,"SI")</f>
        <v>18849500</v>
      </c>
      <c r="G12" s="31">
        <f>SUMIFS(INFO.RENTABILIDAD!$L$1:$L$999,INFO.RENTABILIDAD!$C$1:$C$999,B12,INFO.RENTABILIDAD!$W$1:$W$999,"NO")</f>
        <v>0</v>
      </c>
      <c r="H12" s="31">
        <f>SUMIFS(INFO.RENTABILIDAD!$L$1:$L$999,INFO.RENTABILIDAD!$C$1:$C$999,B12,INFO.RENTABILIDAD!$W$1:$W$999,"SIN PAGO")</f>
        <v>0</v>
      </c>
      <c r="I12" s="31">
        <f>SUMIF(INFO.RENTABILIDAD!C:C,B12,INFO.RENTABILIDAD!L:L)</f>
        <v>18849500</v>
      </c>
      <c r="J12" s="103" t="s">
        <v>50</v>
      </c>
      <c r="K12" s="27"/>
      <c r="Q12" s="28"/>
      <c r="R12" s="28"/>
      <c r="S12" s="28"/>
      <c r="T12" s="28"/>
      <c r="U12" s="28"/>
      <c r="V12" s="28"/>
      <c r="W12" s="28"/>
    </row>
    <row r="13" spans="2:23" ht="13.5" customHeight="1" thickBot="1">
      <c r="B13" s="104">
        <v>46063</v>
      </c>
      <c r="C13" s="105">
        <v>0</v>
      </c>
      <c r="D13" s="31">
        <v>0</v>
      </c>
      <c r="E13" s="31">
        <f>SUMIF(INFO.PROYECCIÓN!$C:$C,B13,INFO.PROYECCIÓN!$L:$L)</f>
        <v>0</v>
      </c>
      <c r="F13" s="31">
        <f>SUMIFS(INFO.RENTABILIDAD!$L$1:$L$15000,INFO.RENTABILIDAD!$C$1:$C$15000,B13,INFO.RENTABILIDAD!$W$1:$W$15000,"SI")</f>
        <v>26790000</v>
      </c>
      <c r="G13" s="31">
        <f>SUMIFS(INFO.RENTABILIDAD!$L$1:$L$999,INFO.RENTABILIDAD!$C$1:$C$999,B13,INFO.RENTABILIDAD!$W$1:$W$999,"NO")</f>
        <v>332500</v>
      </c>
      <c r="H13" s="31">
        <f>SUMIFS(INFO.RENTABILIDAD!$L$1:$L$999,INFO.RENTABILIDAD!$C$1:$C$999,B13,INFO.RENTABILIDAD!$W$1:$W$999,"SIN PAGO")</f>
        <v>0</v>
      </c>
      <c r="I13" s="31">
        <f>SUMIF(INFO.RENTABILIDAD!C:C,B13,INFO.RENTABILIDAD!L:L)</f>
        <v>27122500</v>
      </c>
      <c r="J13" s="103" t="s">
        <v>50</v>
      </c>
      <c r="K13" s="27"/>
      <c r="L13" s="385" t="str">
        <f>'BALANCE PPTO'!D4</f>
        <v>REPORTE GENERAL</v>
      </c>
      <c r="M13" s="386"/>
      <c r="Q13" s="28"/>
      <c r="R13" s="28"/>
      <c r="S13" s="28"/>
      <c r="T13" s="28"/>
      <c r="U13" s="28"/>
      <c r="V13" s="28"/>
      <c r="W13" s="28"/>
    </row>
    <row r="14" spans="2:23" ht="13.5" customHeight="1" thickBot="1">
      <c r="B14" s="104">
        <v>46064</v>
      </c>
      <c r="C14" s="105">
        <v>0</v>
      </c>
      <c r="D14" s="31">
        <v>0</v>
      </c>
      <c r="E14" s="31">
        <f>SUMIF(INFO.PROYECCIÓN!$C:$C,B14,INFO.PROYECCIÓN!$L:$L)</f>
        <v>0</v>
      </c>
      <c r="F14" s="31">
        <f>SUMIFS(INFO.RENTABILIDAD!$L$1:$L$15000,INFO.RENTABILIDAD!$C$1:$C$15000,B14,INFO.RENTABILIDAD!$W$1:$W$15000,"SI")</f>
        <v>14830000</v>
      </c>
      <c r="G14" s="31">
        <f>SUMIFS(INFO.RENTABILIDAD!$L$1:$L$999,INFO.RENTABILIDAD!$C$1:$C$999,B14,INFO.RENTABILIDAD!$W$1:$W$999,"NO")</f>
        <v>0</v>
      </c>
      <c r="H14" s="31">
        <f>SUMIFS(INFO.RENTABILIDAD!$L$1:$L$999,INFO.RENTABILIDAD!$C$1:$C$999,B14,INFO.RENTABILIDAD!$W$1:$W$999,"SIN PAGO")</f>
        <v>0</v>
      </c>
      <c r="I14" s="31">
        <f>SUMIF(INFO.RENTABILIDAD!C:C,B14,INFO.RENTABILIDAD!L:L)</f>
        <v>14830000</v>
      </c>
      <c r="J14" s="103" t="s">
        <v>50</v>
      </c>
      <c r="K14" s="27"/>
      <c r="L14" s="389">
        <f>'BALANCE PPTO'!D5</f>
        <v>46072</v>
      </c>
      <c r="M14" s="390"/>
      <c r="Q14" s="28"/>
      <c r="R14" s="94"/>
      <c r="S14" s="28"/>
      <c r="T14" s="28"/>
      <c r="U14" s="28"/>
      <c r="V14" s="28"/>
      <c r="W14" s="28"/>
    </row>
    <row r="15" spans="2:23" ht="13.5" customHeight="1" thickBot="1">
      <c r="B15" s="104">
        <v>46065</v>
      </c>
      <c r="C15" s="105">
        <v>0</v>
      </c>
      <c r="D15" s="31">
        <v>0</v>
      </c>
      <c r="E15" s="31">
        <f>SUMIF(INFO.PROYECCIÓN!$C:$C,B15,INFO.PROYECCIÓN!$L:$L)</f>
        <v>0</v>
      </c>
      <c r="F15" s="31">
        <f>SUMIFS(INFO.RENTABILIDAD!$L$1:$L$15000,INFO.RENTABILIDAD!$C$1:$C$15000,B15,INFO.RENTABILIDAD!$W$1:$W$15000,"SI")</f>
        <v>15850000</v>
      </c>
      <c r="G15" s="31">
        <f>SUMIFS(INFO.RENTABILIDAD!$L$1:$L$999,INFO.RENTABILIDAD!$C$1:$C$999,B15,INFO.RENTABILIDAD!$W$1:$W$999,"NO")</f>
        <v>0</v>
      </c>
      <c r="H15" s="31">
        <f>SUMIFS(INFO.RENTABILIDAD!$L$1:$L$999,INFO.RENTABILIDAD!$C$1:$C$999,B15,INFO.RENTABILIDAD!$W$1:$W$999,"SIN PAGO")</f>
        <v>0</v>
      </c>
      <c r="I15" s="31">
        <f>SUMIF(INFO.RENTABILIDAD!C:C,B15,INFO.RENTABILIDAD!L:L)</f>
        <v>15850000</v>
      </c>
      <c r="J15" s="103" t="s">
        <v>50</v>
      </c>
      <c r="K15" s="27"/>
      <c r="L15" s="55"/>
      <c r="M15" s="55"/>
      <c r="Q15" s="28"/>
      <c r="R15" s="28"/>
      <c r="S15" s="28"/>
      <c r="T15" s="28"/>
      <c r="U15" s="28"/>
      <c r="V15" s="28"/>
      <c r="W15" s="28"/>
    </row>
    <row r="16" spans="2:23" ht="13.5" customHeight="1" thickBot="1">
      <c r="B16" s="104">
        <v>46066</v>
      </c>
      <c r="C16" s="105">
        <v>0</v>
      </c>
      <c r="D16" s="31">
        <v>0</v>
      </c>
      <c r="E16" s="31">
        <f>SUMIF(INFO.PROYECCIÓN!$C:$C,B16,INFO.PROYECCIÓN!$L:$L)</f>
        <v>0</v>
      </c>
      <c r="F16" s="31">
        <f>SUMIFS(INFO.RENTABILIDAD!$L$1:$L$15000,INFO.RENTABILIDAD!$C$1:$C$15000,B16,INFO.RENTABILIDAD!$W$1:$W$15000,"SI")</f>
        <v>24510000</v>
      </c>
      <c r="G16" s="31">
        <f>SUMIFS(INFO.RENTABILIDAD!$L$1:$L$999,INFO.RENTABILIDAD!$C$1:$C$999,B16,INFO.RENTABILIDAD!$W$1:$W$999,"NO")</f>
        <v>0</v>
      </c>
      <c r="H16" s="31">
        <f>SUMIFS(INFO.RENTABILIDAD!$L$1:$L$999,INFO.RENTABILIDAD!$C$1:$C$999,B16,INFO.RENTABILIDAD!$W$1:$W$999,"SIN PAGO")</f>
        <v>0</v>
      </c>
      <c r="I16" s="31">
        <f>SUMIF(INFO.RENTABILIDAD!C:C,B16,INFO.RENTABILIDAD!L:L)</f>
        <v>24510000</v>
      </c>
      <c r="J16" s="103" t="s">
        <v>50</v>
      </c>
      <c r="K16" s="27"/>
      <c r="L16" s="12" t="str">
        <f>'BALANCE PPTO'!D8</f>
        <v>% ESPERADO AL DÍA</v>
      </c>
      <c r="M16" s="12" t="str">
        <f>'BALANCE PPTO'!E8</f>
        <v>% REAL AL DÍA</v>
      </c>
      <c r="Q16" s="28"/>
      <c r="R16" s="28"/>
      <c r="S16" s="28"/>
      <c r="T16" s="28"/>
      <c r="U16" s="28"/>
      <c r="V16" s="28"/>
      <c r="W16" s="28"/>
    </row>
    <row r="17" spans="2:23" ht="13.5" customHeight="1" thickBot="1">
      <c r="B17" s="104">
        <v>46067</v>
      </c>
      <c r="C17" s="105">
        <v>0</v>
      </c>
      <c r="D17" s="31">
        <v>0</v>
      </c>
      <c r="E17" s="31">
        <f>SUMIF(INFO.PROYECCIÓN!$C:$C,B17,INFO.PROYECCIÓN!$L:$L)</f>
        <v>0</v>
      </c>
      <c r="F17" s="31">
        <f>SUMIFS(INFO.RENTABILIDAD!$L$1:$L$15000,INFO.RENTABILIDAD!$C$1:$C$15000,B17,INFO.RENTABILIDAD!$W$1:$W$15000,"SI")</f>
        <v>14265000</v>
      </c>
      <c r="G17" s="31">
        <f>SUMIFS(INFO.RENTABILIDAD!$L$1:$L$999,INFO.RENTABILIDAD!$C$1:$C$999,B17,INFO.RENTABILIDAD!$W$1:$W$999,"NO")</f>
        <v>1240000</v>
      </c>
      <c r="H17" s="31">
        <f>SUMIFS(INFO.RENTABILIDAD!$L$1:$L$999,INFO.RENTABILIDAD!$C$1:$C$999,B17,INFO.RENTABILIDAD!$W$1:$W$999,"SIN PAGO")</f>
        <v>0</v>
      </c>
      <c r="I17" s="31">
        <f>SUMIF(INFO.RENTABILIDAD!C:C,B17,INFO.RENTABILIDAD!L:L)</f>
        <v>15505000</v>
      </c>
      <c r="J17" s="103" t="s">
        <v>50</v>
      </c>
      <c r="K17" s="27"/>
      <c r="L17" s="50">
        <f>'BALANCE PPTO'!D9</f>
        <v>0.66666666666666663</v>
      </c>
      <c r="M17" s="50">
        <f>'BALANCE PPTO'!E9</f>
        <v>0.58980192307692303</v>
      </c>
      <c r="N17" s="28"/>
      <c r="O17" s="28"/>
      <c r="P17" s="28"/>
      <c r="Q17" s="28"/>
      <c r="R17" s="28"/>
    </row>
    <row r="18" spans="2:23" ht="13.5" customHeight="1" thickBot="1">
      <c r="B18" s="104">
        <v>46068</v>
      </c>
      <c r="C18" s="105">
        <v>0</v>
      </c>
      <c r="D18" s="31">
        <v>0</v>
      </c>
      <c r="E18" s="31">
        <f>SUMIF(INFO.PROYECCIÓN!$C:$C,B18,INFO.PROYECCIÓN!$L:$L)</f>
        <v>0</v>
      </c>
      <c r="F18" s="31">
        <f>SUMIFS(INFO.RENTABILIDAD!$L$1:$L$15000,INFO.RENTABILIDAD!$C$1:$C$15000,B18,INFO.RENTABILIDAD!$W$1:$W$15000,"SI")</f>
        <v>2130000</v>
      </c>
      <c r="G18" s="31">
        <f>SUMIFS(INFO.RENTABILIDAD!$L$1:$L$999,INFO.RENTABILIDAD!$C$1:$C$999,B18,INFO.RENTABILIDAD!$W$1:$W$999,"NO")</f>
        <v>0</v>
      </c>
      <c r="H18" s="31">
        <f>SUMIFS(INFO.RENTABILIDAD!$L$1:$L$999,INFO.RENTABILIDAD!$C$1:$C$999,B18,INFO.RENTABILIDAD!$W$1:$W$999,"SIN PAGO")</f>
        <v>0</v>
      </c>
      <c r="I18" s="31">
        <f>SUMIF(INFO.RENTABILIDAD!C:C,B18,INFO.RENTABILIDAD!L:L)</f>
        <v>2130000</v>
      </c>
      <c r="J18" s="103" t="s">
        <v>50</v>
      </c>
      <c r="K18" s="27"/>
      <c r="L18" s="12" t="str">
        <f>'BALANCE PPTO'!D10</f>
        <v>% DIFERENCIA</v>
      </c>
      <c r="M18" s="12" t="str">
        <f>'BALANCE PPTO'!E10</f>
        <v>NOS FALTA VENDER</v>
      </c>
      <c r="N18" s="28"/>
      <c r="O18" s="28"/>
      <c r="P18" s="28"/>
      <c r="Q18" s="28"/>
      <c r="R18" s="28"/>
    </row>
    <row r="19" spans="2:23" ht="13.5" customHeight="1" thickBot="1">
      <c r="B19" s="104">
        <v>46069</v>
      </c>
      <c r="C19" s="105">
        <v>0</v>
      </c>
      <c r="D19" s="31">
        <v>0</v>
      </c>
      <c r="E19" s="31">
        <f>SUMIF(INFO.PROYECCIÓN!$C:$C,B19,INFO.PROYECCIÓN!$L:$L)</f>
        <v>0</v>
      </c>
      <c r="F19" s="31">
        <f>SUMIFS(INFO.RENTABILIDAD!$L$1:$L$15000,INFO.RENTABILIDAD!$C$1:$C$15000,B19,INFO.RENTABILIDAD!$W$1:$W$15000,"SI")</f>
        <v>26208000</v>
      </c>
      <c r="G19" s="31">
        <f>SUMIFS(INFO.RENTABILIDAD!$L$1:$L$999,INFO.RENTABILIDAD!$C$1:$C$999,B19,INFO.RENTABILIDAD!$W$1:$W$999,"NO")</f>
        <v>0</v>
      </c>
      <c r="H19" s="31">
        <f>SUMIFS(INFO.RENTABILIDAD!$L$1:$L$999,INFO.RENTABILIDAD!$C$1:$C$999,B19,INFO.RENTABILIDAD!$W$1:$W$999,"SIN PAGO")</f>
        <v>0</v>
      </c>
      <c r="I19" s="31">
        <f>SUMIF(INFO.RENTABILIDAD!C:C,B19,INFO.RENTABILIDAD!L:L)</f>
        <v>26208000</v>
      </c>
      <c r="J19" s="103" t="s">
        <v>50</v>
      </c>
      <c r="K19" s="27"/>
      <c r="L19" s="64">
        <f>'BALANCE PPTO'!D11</f>
        <v>-7.68647435897436E-2</v>
      </c>
      <c r="M19" s="64">
        <f>'BALANCE PPTO'!E11</f>
        <v>0.41019807692307697</v>
      </c>
      <c r="N19" s="28"/>
      <c r="O19" s="28"/>
      <c r="P19" s="28"/>
      <c r="Q19" s="28"/>
      <c r="R19" s="28"/>
    </row>
    <row r="20" spans="2:23" ht="13.5" customHeight="1" thickBot="1">
      <c r="B20" s="104">
        <v>46070</v>
      </c>
      <c r="C20" s="105">
        <v>0</v>
      </c>
      <c r="D20" s="31">
        <v>0</v>
      </c>
      <c r="E20" s="31">
        <f>SUMIF(INFO.PROYECCIÓN!$C:$C,B20,INFO.PROYECCIÓN!$L:$L)</f>
        <v>0</v>
      </c>
      <c r="F20" s="31">
        <f>SUMIFS(INFO.RENTABILIDAD!$L$1:$L$15000,INFO.RENTABILIDAD!$C$1:$C$15000,B20,INFO.RENTABILIDAD!$W$1:$W$15000,"SI")</f>
        <v>24768500</v>
      </c>
      <c r="G20" s="31">
        <f>SUMIFS(INFO.RENTABILIDAD!$L$1:$L$999,INFO.RENTABILIDAD!$C$1:$C$999,B20,INFO.RENTABILIDAD!$W$1:$W$999,"NO")</f>
        <v>0</v>
      </c>
      <c r="H20" s="31">
        <f>SUMIFS(INFO.RENTABILIDAD!$L$1:$L$999,INFO.RENTABILIDAD!$C$1:$C$999,B20,INFO.RENTABILIDAD!$W$1:$W$999,"SIN PAGO")</f>
        <v>0</v>
      </c>
      <c r="I20" s="31">
        <f>SUMIF(INFO.RENTABILIDAD!C:C,B20,INFO.RENTABILIDAD!L:L)</f>
        <v>24768500</v>
      </c>
      <c r="J20" s="103" t="s">
        <v>50</v>
      </c>
      <c r="K20" s="27"/>
      <c r="L20" s="12">
        <f>'BALANCE PPTO'!D12</f>
        <v>0</v>
      </c>
      <c r="M20" s="12">
        <f>'BALANCE PPTO'!E12</f>
        <v>0</v>
      </c>
      <c r="N20" s="28"/>
      <c r="O20" s="28"/>
      <c r="P20" s="28"/>
      <c r="Q20" s="28"/>
      <c r="R20" s="28"/>
    </row>
    <row r="21" spans="2:23" ht="13.5" customHeight="1" thickBot="1">
      <c r="B21" s="104">
        <v>46071</v>
      </c>
      <c r="C21" s="105">
        <v>0</v>
      </c>
      <c r="D21" s="31">
        <v>0</v>
      </c>
      <c r="E21" s="31">
        <f>SUMIF(INFO.PROYECCIÓN!$C:$C,B21,INFO.PROYECCIÓN!$L:$L)</f>
        <v>0</v>
      </c>
      <c r="F21" s="31">
        <f>SUMIFS(INFO.RENTABILIDAD!$L$1:$L$15000,INFO.RENTABILIDAD!$C$1:$C$15000,B21,INFO.RENTABILIDAD!$W$1:$W$15000,"SI")</f>
        <v>26372000</v>
      </c>
      <c r="G21" s="31">
        <f>SUMIFS(INFO.RENTABILIDAD!$L$1:$L$999,INFO.RENTABILIDAD!$C$1:$C$999,B21,INFO.RENTABILIDAD!$W$1:$W$999,"NO")</f>
        <v>0</v>
      </c>
      <c r="H21" s="31">
        <f>SUMIFS(INFO.RENTABILIDAD!$L$1:$L$999,INFO.RENTABILIDAD!$C$1:$C$999,B21,INFO.RENTABILIDAD!$W$1:$W$999,"SIN PAGO")</f>
        <v>0</v>
      </c>
      <c r="I21" s="31">
        <f>SUMIF(INFO.RENTABILIDAD!C:C,B21,INFO.RENTABILIDAD!L:L)</f>
        <v>26372000</v>
      </c>
      <c r="J21" s="103" t="s">
        <v>50</v>
      </c>
      <c r="K21" s="27"/>
      <c r="L21" s="50" t="e">
        <f>'BALANCE PPTO'!#REF!</f>
        <v>#REF!</v>
      </c>
      <c r="M21" s="74" t="e">
        <f>'BALANCE PPTO'!#REF!</f>
        <v>#REF!</v>
      </c>
      <c r="N21" s="28"/>
      <c r="O21" s="28"/>
      <c r="P21" s="28"/>
      <c r="Q21" s="28"/>
      <c r="R21" s="28"/>
    </row>
    <row r="22" spans="2:23" ht="13.5" customHeight="1" thickBot="1">
      <c r="B22" s="104">
        <v>46072</v>
      </c>
      <c r="C22" s="105">
        <v>0</v>
      </c>
      <c r="D22" s="31">
        <v>0</v>
      </c>
      <c r="E22" s="31">
        <f>SUMIF(INFO.PROYECCIÓN!$C:$C,B22,INFO.PROYECCIÓN!$L:$L)</f>
        <v>0</v>
      </c>
      <c r="F22" s="31">
        <f>SUMIFS(INFO.RENTABILIDAD!$L$1:$L$15000,INFO.RENTABILIDAD!$C$1:$C$15000,B22,INFO.RENTABILIDAD!$W$1:$W$15000,"SI")</f>
        <v>17660000</v>
      </c>
      <c r="G22" s="31">
        <f>SUMIFS(INFO.RENTABILIDAD!$L$1:$L$999,INFO.RENTABILIDAD!$C$1:$C$999,B22,INFO.RENTABILIDAD!$W$1:$W$999,"NO")</f>
        <v>617500</v>
      </c>
      <c r="H22" s="31">
        <f>SUMIFS(INFO.RENTABILIDAD!$L$1:$L$999,INFO.RENTABILIDAD!$C$1:$C$999,B22,INFO.RENTABILIDAD!$W$1:$W$999,"SIN PAGO")</f>
        <v>0</v>
      </c>
      <c r="I22" s="31">
        <f>SUMIF(INFO.RENTABILIDAD!C:C,B22,INFO.RENTABILIDAD!L:L)</f>
        <v>18277500</v>
      </c>
      <c r="J22" s="103" t="s">
        <v>50</v>
      </c>
      <c r="K22" s="27"/>
      <c r="L22" s="51"/>
      <c r="M22" s="51"/>
      <c r="N22" s="28"/>
      <c r="O22" s="28"/>
      <c r="P22" s="28"/>
      <c r="Q22" s="28"/>
      <c r="R22" s="28"/>
    </row>
    <row r="23" spans="2:23" ht="13.5" customHeight="1" thickBot="1">
      <c r="B23" s="104">
        <v>46073</v>
      </c>
      <c r="C23" s="105">
        <v>0</v>
      </c>
      <c r="D23" s="31">
        <v>0</v>
      </c>
      <c r="E23" s="31">
        <f>SUMIF(INFO.PROYECCIÓN!$C:$C,B23,INFO.PROYECCIÓN!$L:$L)</f>
        <v>14678500</v>
      </c>
      <c r="F23" s="31">
        <f>SUMIFS(INFO.RENTABILIDAD!$L$1:$L$15000,INFO.RENTABILIDAD!$C$1:$C$15000,B23,INFO.RENTABILIDAD!$W$1:$W$15000,"SI")</f>
        <v>0</v>
      </c>
      <c r="G23" s="31">
        <f>SUMIFS(INFO.RENTABILIDAD!$L$1:$L$999,INFO.RENTABILIDAD!$C$1:$C$999,B23,INFO.RENTABILIDAD!$W$1:$W$999,"NO")</f>
        <v>0</v>
      </c>
      <c r="H23" s="31">
        <f>SUMIFS(INFO.RENTABILIDAD!$L$1:$L$999,INFO.RENTABILIDAD!$C$1:$C$999,B23,INFO.RENTABILIDAD!$W$1:$W$999,"SIN PAGO")</f>
        <v>0</v>
      </c>
      <c r="I23" s="31">
        <f>SUMIF(INFO.RENTABILIDAD!C:C,B23,INFO.RENTABILIDAD!L:L)</f>
        <v>0</v>
      </c>
      <c r="J23" s="103" t="s">
        <v>50</v>
      </c>
      <c r="K23" s="27"/>
      <c r="L23" s="385" t="str">
        <f>'BALANCE PPTO'!D14</f>
        <v>ESTRATEGIA FEBRERO</v>
      </c>
      <c r="M23" s="386"/>
      <c r="N23" s="28"/>
      <c r="O23" s="28"/>
      <c r="P23" s="28"/>
      <c r="Q23" s="28"/>
      <c r="R23" s="28"/>
    </row>
    <row r="24" spans="2:23" ht="13.5" customHeight="1">
      <c r="B24" s="104">
        <v>46074</v>
      </c>
      <c r="C24" s="105">
        <v>0</v>
      </c>
      <c r="D24" s="31">
        <v>0</v>
      </c>
      <c r="E24" s="31">
        <f>SUMIF(INFO.PROYECCIÓN!$C:$C,B24,INFO.PROYECCIÓN!$L:$L)</f>
        <v>29430000</v>
      </c>
      <c r="F24" s="31">
        <f>SUMIFS(INFO.RENTABILIDAD!$L$1:$L$15000,INFO.RENTABILIDAD!$C$1:$C$15000,B24,INFO.RENTABILIDAD!$W$1:$W$15000,"SI")</f>
        <v>0</v>
      </c>
      <c r="G24" s="31">
        <f>SUMIFS(INFO.RENTABILIDAD!$L$1:$L$999,INFO.RENTABILIDAD!$C$1:$C$999,B24,INFO.RENTABILIDAD!$W$1:$W$999,"NO")</f>
        <v>0</v>
      </c>
      <c r="H24" s="31">
        <f>SUMIFS(INFO.RENTABILIDAD!$L$1:$L$999,INFO.RENTABILIDAD!$C$1:$C$999,B24,INFO.RENTABILIDAD!$W$1:$W$999,"SIN PAGO")</f>
        <v>0</v>
      </c>
      <c r="I24" s="31">
        <f>SUMIF(INFO.RENTABILIDAD!C:C,B24,INFO.RENTABILIDAD!L:L)</f>
        <v>0</v>
      </c>
      <c r="J24" s="103" t="s">
        <v>50</v>
      </c>
      <c r="K24" s="27"/>
      <c r="L24" s="65" t="str">
        <f>'BALANCE PPTO'!D15</f>
        <v xml:space="preserve">DÍAS HÁB MES </v>
      </c>
      <c r="M24" s="87">
        <f>'BALANCE PPTO'!E15</f>
        <v>24</v>
      </c>
      <c r="N24" s="28"/>
      <c r="O24" s="28"/>
      <c r="P24" s="28"/>
      <c r="Q24" s="28"/>
      <c r="R24" s="28"/>
    </row>
    <row r="25" spans="2:23" ht="13.5" customHeight="1">
      <c r="B25" s="104">
        <v>46075</v>
      </c>
      <c r="C25" s="105">
        <v>0</v>
      </c>
      <c r="D25" s="31">
        <v>0</v>
      </c>
      <c r="E25" s="31">
        <f>SUMIF(INFO.PROYECCIÓN!$C:$C,B25,INFO.PROYECCIÓN!$L:$L)</f>
        <v>840000</v>
      </c>
      <c r="F25" s="31">
        <f>SUMIFS(INFO.RENTABILIDAD!$L$1:$L$15000,INFO.RENTABILIDAD!$C$1:$C$15000,B25,INFO.RENTABILIDAD!$W$1:$W$15000,"SI")</f>
        <v>0</v>
      </c>
      <c r="G25" s="31">
        <f>SUMIFS(INFO.RENTABILIDAD!$L$1:$L$999,INFO.RENTABILIDAD!$C$1:$C$999,B25,INFO.RENTABILIDAD!$W$1:$W$999,"NO")</f>
        <v>0</v>
      </c>
      <c r="H25" s="31">
        <f>SUMIFS(INFO.RENTABILIDAD!$L$1:$L$999,INFO.RENTABILIDAD!$C$1:$C$999,B25,INFO.RENTABILIDAD!$W$1:$W$999,"SIN PAGO")</f>
        <v>0</v>
      </c>
      <c r="I25" s="31">
        <f>SUMIF(INFO.RENTABILIDAD!C:C,B25,INFO.RENTABILIDAD!L:L)</f>
        <v>0</v>
      </c>
      <c r="J25" s="103" t="s">
        <v>50</v>
      </c>
      <c r="K25" s="27"/>
      <c r="L25" s="58" t="str">
        <f>'BALANCE PPTO'!D16</f>
        <v>DÍAS EJECT</v>
      </c>
      <c r="M25" s="88">
        <f>P3</f>
        <v>16</v>
      </c>
      <c r="N25" s="28"/>
      <c r="O25" s="28"/>
      <c r="P25" s="28"/>
      <c r="Q25" s="28"/>
      <c r="R25" s="28"/>
    </row>
    <row r="26" spans="2:23" ht="13.5" customHeight="1">
      <c r="B26" s="104">
        <v>46076</v>
      </c>
      <c r="C26" s="105">
        <v>0</v>
      </c>
      <c r="D26" s="31">
        <v>0</v>
      </c>
      <c r="E26" s="31">
        <f>SUMIF(INFO.PROYECCIÓN!$C:$C,B26,INFO.PROYECCIÓN!$L:$L)</f>
        <v>15932000</v>
      </c>
      <c r="F26" s="31">
        <f>SUMIFS(INFO.RENTABILIDAD!$L$1:$L$15000,INFO.RENTABILIDAD!$C$1:$C$15000,B26,INFO.RENTABILIDAD!$W$1:$W$15000,"SI")</f>
        <v>0</v>
      </c>
      <c r="G26" s="31">
        <f>SUMIFS(INFO.RENTABILIDAD!$L$1:$L$999,INFO.RENTABILIDAD!$C$1:$C$999,B26,INFO.RENTABILIDAD!$W$1:$W$999,"NO")</f>
        <v>0</v>
      </c>
      <c r="H26" s="31">
        <f>SUMIFS(INFO.RENTABILIDAD!$L$1:$L$999,INFO.RENTABILIDAD!$C$1:$C$999,B26,INFO.RENTABILIDAD!$W$1:$W$999,"SIN PAGO")</f>
        <v>0</v>
      </c>
      <c r="I26" s="31">
        <f>SUMIF(INFO.RENTABILIDAD!C:C,B26,INFO.RENTABILIDAD!L:L)</f>
        <v>0</v>
      </c>
      <c r="J26" s="103" t="s">
        <v>50</v>
      </c>
      <c r="K26" s="27"/>
      <c r="L26" s="58" t="str">
        <f>'BALANCE PPTO'!D17</f>
        <v>FECHA</v>
      </c>
      <c r="M26" s="89">
        <f>'BALANCE PPTO'!E17</f>
        <v>46072</v>
      </c>
      <c r="N26" s="28"/>
      <c r="O26" s="28"/>
      <c r="P26" s="28"/>
      <c r="Q26" s="28"/>
      <c r="R26" s="28"/>
    </row>
    <row r="27" spans="2:23" ht="13.5" customHeight="1">
      <c r="B27" s="104">
        <v>46077</v>
      </c>
      <c r="C27" s="105">
        <v>0</v>
      </c>
      <c r="D27" s="31">
        <v>0</v>
      </c>
      <c r="E27" s="31">
        <f>SUMIF(INFO.PROYECCIÓN!$C:$C,B27,INFO.PROYECCIÓN!$L:$L)</f>
        <v>6766000</v>
      </c>
      <c r="F27" s="31">
        <f>SUMIFS(INFO.RENTABILIDAD!$L$1:$L$15000,INFO.RENTABILIDAD!$C$1:$C$15000,B27,INFO.RENTABILIDAD!$W$1:$W$15000,"SI")</f>
        <v>0</v>
      </c>
      <c r="G27" s="31">
        <f>SUMIFS(INFO.RENTABILIDAD!$L$1:$L$999,INFO.RENTABILIDAD!$C$1:$C$999,B27,INFO.RENTABILIDAD!$W$1:$W$999,"NO")</f>
        <v>0</v>
      </c>
      <c r="H27" s="31">
        <f>SUMIFS(INFO.RENTABILIDAD!$L$1:$L$999,INFO.RENTABILIDAD!$C$1:$C$999,B27,INFO.RENTABILIDAD!$W$1:$W$999,"SIN PAGO")</f>
        <v>0</v>
      </c>
      <c r="I27" s="31">
        <f>SUMIF(INFO.RENTABILIDAD!C:C,B27,INFO.RENTABILIDAD!L:L)</f>
        <v>0</v>
      </c>
      <c r="J27" s="103" t="s">
        <v>50</v>
      </c>
      <c r="K27" s="27"/>
      <c r="L27" s="58" t="str">
        <f>'BALANCE PPTO'!D18</f>
        <v>META ENERO</v>
      </c>
      <c r="M27" s="90">
        <f>'BALANCE PPTO'!E18</f>
        <v>520000000</v>
      </c>
      <c r="N27" s="28"/>
      <c r="O27" s="28"/>
      <c r="P27" s="28"/>
      <c r="Q27" s="28"/>
      <c r="R27" s="28"/>
    </row>
    <row r="28" spans="2:23" ht="13.5" customHeight="1">
      <c r="B28" s="104">
        <v>46078</v>
      </c>
      <c r="C28" s="105">
        <v>0</v>
      </c>
      <c r="D28" s="31">
        <v>0</v>
      </c>
      <c r="E28" s="31">
        <f>SUMIF(INFO.PROYECCIÓN!$C:$C,B28,INFO.PROYECCIÓN!$L:$L)</f>
        <v>9876000</v>
      </c>
      <c r="F28" s="31">
        <f>SUMIFS(INFO.RENTABILIDAD!$L$1:$L$15000,INFO.RENTABILIDAD!$C$1:$C$15000,B28,INFO.RENTABILIDAD!$W$1:$W$15000,"SI")</f>
        <v>0</v>
      </c>
      <c r="G28" s="31">
        <f>SUMIFS(INFO.RENTABILIDAD!$L$1:$L$999,INFO.RENTABILIDAD!$C$1:$C$999,B28,INFO.RENTABILIDAD!$W$1:$W$999,"NO")</f>
        <v>0</v>
      </c>
      <c r="H28" s="31">
        <f>SUMIFS(INFO.RENTABILIDAD!$L$1:$L$999,INFO.RENTABILIDAD!$C$1:$C$999,B28,INFO.RENTABILIDAD!$W$1:$W$999,"SIN PAGO")</f>
        <v>0</v>
      </c>
      <c r="I28" s="31">
        <f>SUMIF(INFO.RENTABILIDAD!C:C,B28,INFO.RENTABILIDAD!L:L)</f>
        <v>0</v>
      </c>
      <c r="J28" s="103" t="s">
        <v>50</v>
      </c>
      <c r="K28" s="27"/>
      <c r="L28" s="58" t="str">
        <f>'BALANCE PPTO'!D19</f>
        <v>VENTA ESPERADA FEB</v>
      </c>
      <c r="M28" s="63">
        <f>'BALANCE PPTO'!E19</f>
        <v>346666666.66666669</v>
      </c>
      <c r="N28" s="28"/>
      <c r="O28" s="28"/>
      <c r="P28" s="28"/>
      <c r="Q28" s="28"/>
      <c r="R28" s="28"/>
    </row>
    <row r="29" spans="2:23" ht="13.5" customHeight="1">
      <c r="B29" s="104">
        <v>46079</v>
      </c>
      <c r="C29" s="105">
        <v>0</v>
      </c>
      <c r="D29" s="31">
        <v>0</v>
      </c>
      <c r="E29" s="31">
        <f>SUMIF(INFO.PROYECCIÓN!$C:$C,B29,INFO.PROYECCIÓN!$L:$L)</f>
        <v>8390000</v>
      </c>
      <c r="F29" s="31">
        <f>SUMIFS(INFO.RENTABILIDAD!$L$1:$L$15000,INFO.RENTABILIDAD!$C$1:$C$15000,B29,INFO.RENTABILIDAD!$W$1:$W$15000,"SI")</f>
        <v>0</v>
      </c>
      <c r="G29" s="31">
        <f>SUMIFS(INFO.RENTABILIDAD!$L$1:$L$999,INFO.RENTABILIDAD!$C$1:$C$999,B29,INFO.RENTABILIDAD!$W$1:$W$999,"NO")</f>
        <v>0</v>
      </c>
      <c r="H29" s="31">
        <f>SUMIFS(INFO.RENTABILIDAD!$L$1:$L$999,INFO.RENTABILIDAD!$C$1:$C$999,B29,INFO.RENTABILIDAD!$W$1:$W$999,"SIN PAGO")</f>
        <v>0</v>
      </c>
      <c r="I29" s="31">
        <f>SUMIF(INFO.RENTABILIDAD!C:C,B29,INFO.RENTABILIDAD!L:L)</f>
        <v>0</v>
      </c>
      <c r="J29" s="103" t="s">
        <v>50</v>
      </c>
      <c r="K29" s="27"/>
      <c r="L29" s="58" t="str">
        <f>'BALANCE PPTO'!D20</f>
        <v>FACTURADO FEB</v>
      </c>
      <c r="M29" s="63">
        <f>'BALANCE PPTO'!E20</f>
        <v>306697000</v>
      </c>
      <c r="N29" s="28"/>
      <c r="O29" s="28"/>
      <c r="P29" s="28"/>
      <c r="Q29" s="28"/>
      <c r="R29" s="28"/>
    </row>
    <row r="30" spans="2:23" ht="13.5" customHeight="1">
      <c r="B30" s="104">
        <v>46080</v>
      </c>
      <c r="C30" s="105">
        <v>0</v>
      </c>
      <c r="D30" s="31">
        <v>0</v>
      </c>
      <c r="E30" s="31">
        <f>SUMIF(INFO.PROYECCIÓN!$C:$C,B30,INFO.PROYECCIÓN!$L:$L)</f>
        <v>15430000</v>
      </c>
      <c r="F30" s="31">
        <f>SUMIFS(INFO.RENTABILIDAD!$L$1:$L$15000,INFO.RENTABILIDAD!$C$1:$C$15000,B30,INFO.RENTABILIDAD!$W$1:$W$15000,"SI")</f>
        <v>0</v>
      </c>
      <c r="G30" s="31">
        <f>SUMIFS(INFO.RENTABILIDAD!$L$1:$L$999,INFO.RENTABILIDAD!$C$1:$C$999,B30,INFO.RENTABILIDAD!$W$1:$W$999,"NO")</f>
        <v>0</v>
      </c>
      <c r="H30" s="31">
        <f>SUMIFS(INFO.RENTABILIDAD!$L$1:$L$999,INFO.RENTABILIDAD!$C$1:$C$999,B30,INFO.RENTABILIDAD!$W$1:$W$999,"SIN PAGO")</f>
        <v>0</v>
      </c>
      <c r="I30" s="31">
        <f>SUMIF(INFO.RENTABILIDAD!C:C,B30,INFO.RENTABILIDAD!L:L)</f>
        <v>0</v>
      </c>
      <c r="J30" s="103" t="s">
        <v>50</v>
      </c>
      <c r="K30" s="27"/>
      <c r="L30" s="58" t="str">
        <f>'BALANCE PPTO'!D21</f>
        <v>PROYECCIÓN FEB</v>
      </c>
      <c r="M30" s="63">
        <f>'BALANCE PPTO'!E21</f>
        <v>105032500</v>
      </c>
      <c r="N30" s="28"/>
      <c r="O30" s="28"/>
      <c r="P30" s="28"/>
      <c r="Q30" s="28"/>
      <c r="R30" s="28"/>
    </row>
    <row r="31" spans="2:23" ht="13.5" customHeight="1">
      <c r="B31" s="104">
        <v>46081</v>
      </c>
      <c r="C31" s="105">
        <v>0</v>
      </c>
      <c r="D31" s="31">
        <v>0</v>
      </c>
      <c r="E31" s="31">
        <f>SUMIF(INFO.PROYECCIÓN!$C:$C,B31,INFO.PROYECCIÓN!$L:$L)</f>
        <v>3690000</v>
      </c>
      <c r="F31" s="31">
        <f>SUMIFS(INFO.RENTABILIDAD!$L$1:$L$15000,INFO.RENTABILIDAD!$C$1:$C$15000,B31,INFO.RENTABILIDAD!$W$1:$W$15000,"SI")</f>
        <v>0</v>
      </c>
      <c r="G31" s="31">
        <f>SUMIFS(INFO.RENTABILIDAD!$L$1:$L$999,INFO.RENTABILIDAD!$C$1:$C$999,B31,INFO.RENTABILIDAD!$W$1:$W$999,"NO")</f>
        <v>0</v>
      </c>
      <c r="H31" s="31">
        <f>SUMIFS(INFO.RENTABILIDAD!$L$1:$L$999,INFO.RENTABILIDAD!$C$1:$C$999,B31,INFO.RENTABILIDAD!$W$1:$W$999,"SIN PAGO")</f>
        <v>0</v>
      </c>
      <c r="I31" s="31">
        <f>SUMIF(INFO.RENTABILIDAD!C:C,B31,INFO.RENTABILIDAD!L:L)</f>
        <v>0</v>
      </c>
      <c r="J31" s="103" t="s">
        <v>50</v>
      </c>
      <c r="K31" s="27"/>
      <c r="L31" s="58" t="str">
        <f>'BALANCE PPTO'!D22</f>
        <v>FALTA X CUMPLIR</v>
      </c>
      <c r="M31" s="63">
        <f>'BALANCE PPTO'!E22</f>
        <v>108270500</v>
      </c>
      <c r="P31" s="28"/>
      <c r="Q31" s="28"/>
      <c r="R31" s="28"/>
      <c r="S31" s="28"/>
      <c r="T31" s="28"/>
      <c r="U31" s="28"/>
      <c r="V31" s="28"/>
      <c r="W31" s="28"/>
    </row>
    <row r="32" spans="2:23" ht="13.5" customHeight="1">
      <c r="B32" s="104">
        <v>0</v>
      </c>
      <c r="C32" s="31">
        <v>0</v>
      </c>
      <c r="D32" s="31">
        <v>0</v>
      </c>
      <c r="E32" s="31">
        <f>SUMIF(INFO.PROYECCIÓN!$C:$C,B32,INFO.PROYECCIÓN!$L:$L)</f>
        <v>0</v>
      </c>
      <c r="F32" s="31">
        <f>SUMIFS(INFO.RENTABILIDAD!$L$1:$L$15000,INFO.RENTABILIDAD!$C$1:$C$15000,B32,INFO.RENTABILIDAD!$W$1:$W$15000,"SI")</f>
        <v>0</v>
      </c>
      <c r="G32" s="31">
        <f>SUMIFS(INFO.RENTABILIDAD!$L$1:$L$999,INFO.RENTABILIDAD!$C$1:$C$999,B32,INFO.RENTABILIDAD!$W$1:$W$999,"NO")</f>
        <v>0</v>
      </c>
      <c r="H32" s="31">
        <f>SUMIFS(INFO.RENTABILIDAD!$L$1:$L$999,INFO.RENTABILIDAD!$C$1:$C$999,B32,INFO.RENTABILIDAD!$W$1:$W$999,"SIN PAGO")</f>
        <v>0</v>
      </c>
      <c r="I32" s="31">
        <f>SUMIF(INFO.RENTABILIDAD!C:C,B32,INFO.RENTABILIDAD!L:L)</f>
        <v>0</v>
      </c>
      <c r="J32" s="103" t="s">
        <v>50</v>
      </c>
      <c r="K32" s="27"/>
      <c r="L32" s="58" t="str">
        <f>'BALANCE PPTO'!D23</f>
        <v>RESULTADO ESP</v>
      </c>
      <c r="M32" s="63">
        <f>'BALANCE PPTO'!E23</f>
        <v>411729500</v>
      </c>
      <c r="Q32" s="28"/>
      <c r="R32" s="28"/>
      <c r="S32" s="28"/>
      <c r="T32" s="28"/>
      <c r="U32" s="28"/>
      <c r="V32" s="28"/>
      <c r="W32" s="28"/>
    </row>
    <row r="33" spans="2:23" ht="13.5" customHeight="1">
      <c r="B33" s="104">
        <v>0</v>
      </c>
      <c r="C33" s="31">
        <v>0</v>
      </c>
      <c r="D33" s="31">
        <v>0</v>
      </c>
      <c r="E33" s="31">
        <f>SUMIF(INFO.PROYECCIÓN!$C:$C,B33,INFO.PROYECCIÓN!$L:$L)</f>
        <v>0</v>
      </c>
      <c r="F33" s="31">
        <f>SUMIFS(INFO.RENTABILIDAD!$L$1:$L$15000,INFO.RENTABILIDAD!$C$1:$C$15000,B33,INFO.RENTABILIDAD!$W$1:$W$15000,"SI")</f>
        <v>0</v>
      </c>
      <c r="G33" s="31">
        <f>SUMIFS(INFO.RENTABILIDAD!$L$1:$L$999,INFO.RENTABILIDAD!$C$1:$C$999,B33,INFO.RENTABILIDAD!$W$1:$W$999,"NO")</f>
        <v>0</v>
      </c>
      <c r="H33" s="31">
        <f>SUMIFS(INFO.RENTABILIDAD!$L$1:$L$999,INFO.RENTABILIDAD!$C$1:$C$999,B33,INFO.RENTABILIDAD!$W$1:$W$999,"SIN PAGO")</f>
        <v>0</v>
      </c>
      <c r="I33" s="31">
        <f>SUMIF(INFO.RENTABILIDAD!C:C,B33,INFO.RENTABILIDAD!L:L)</f>
        <v>0</v>
      </c>
      <c r="J33" s="103" t="s">
        <v>50</v>
      </c>
      <c r="K33" s="27"/>
      <c r="L33" s="58" t="str">
        <f>'BALANCE PPTO'!D24</f>
        <v>% RESULTADO ESP</v>
      </c>
      <c r="M33" s="91">
        <f>'BALANCE PPTO'!E24</f>
        <v>0.79178749999999998</v>
      </c>
      <c r="Q33" s="28"/>
      <c r="R33" s="28"/>
      <c r="S33" s="28"/>
      <c r="T33" s="28"/>
      <c r="U33" s="28"/>
      <c r="V33" s="28"/>
      <c r="W33" s="28"/>
    </row>
    <row r="34" spans="2:23" ht="13.5" customHeight="1" thickBot="1">
      <c r="B34" s="104">
        <v>0</v>
      </c>
      <c r="C34" s="31">
        <v>0</v>
      </c>
      <c r="D34" s="31">
        <v>0</v>
      </c>
      <c r="E34" s="31">
        <f>SUMIF(INFO.PROYECCIÓN!$C:$C,B34,INFO.PROYECCIÓN!$L:$L)</f>
        <v>0</v>
      </c>
      <c r="F34" s="31">
        <f>SUMIFS(INFO.RENTABILIDAD!$L$1:$L$15000,INFO.RENTABILIDAD!$C$1:$C$15000,B34,INFO.RENTABILIDAD!$W$1:$W$15000,"SI")</f>
        <v>0</v>
      </c>
      <c r="G34" s="31">
        <f>SUMIFS(INFO.RENTABILIDAD!$L$1:$L$999,INFO.RENTABILIDAD!$C$1:$C$999,B34,INFO.RENTABILIDAD!$W$1:$W$999,"NO")</f>
        <v>0</v>
      </c>
      <c r="H34" s="31">
        <f>SUMIFS(INFO.RENTABILIDAD!$L$1:$L$999,INFO.RENTABILIDAD!$C$1:$C$999,B34,INFO.RENTABILIDAD!$W$1:$W$999,"SIN PAGO")</f>
        <v>0</v>
      </c>
      <c r="I34" s="31">
        <f>SUMIF(INFO.RENTABILIDAD!C:C,B34,INFO.RENTABILIDAD!L:L)</f>
        <v>0</v>
      </c>
      <c r="J34" s="103" t="s">
        <v>50</v>
      </c>
      <c r="K34" s="27"/>
      <c r="L34" s="60" t="s">
        <v>45</v>
      </c>
      <c r="M34" s="92">
        <f>M27/M24</f>
        <v>21666666.666666668</v>
      </c>
      <c r="Q34" s="28"/>
      <c r="R34" s="28"/>
      <c r="S34" s="28"/>
      <c r="T34" s="28"/>
      <c r="U34" s="28"/>
      <c r="V34" s="28"/>
      <c r="W34" s="28"/>
    </row>
    <row r="35" spans="2:23" s="19" customFormat="1" ht="13.5" customHeight="1" thickBot="1">
      <c r="B35" s="21"/>
      <c r="C35" s="100">
        <f t="shared" ref="C35:I35" si="0">SUM(C4:C34)</f>
        <v>0</v>
      </c>
      <c r="D35" s="100">
        <f t="shared" si="0"/>
        <v>0</v>
      </c>
      <c r="E35" s="100">
        <f t="shared" si="0"/>
        <v>105032500</v>
      </c>
      <c r="F35" s="100">
        <f t="shared" si="0"/>
        <v>306697000</v>
      </c>
      <c r="G35" s="100">
        <f t="shared" si="0"/>
        <v>6687000</v>
      </c>
      <c r="H35" s="100">
        <f t="shared" si="0"/>
        <v>0</v>
      </c>
      <c r="I35" s="101">
        <f t="shared" si="0"/>
        <v>313384000</v>
      </c>
      <c r="J35" s="102" t="s">
        <v>50</v>
      </c>
      <c r="K35" s="21"/>
      <c r="P35" s="21"/>
    </row>
  </sheetData>
  <mergeCells count="5">
    <mergeCell ref="L23:M23"/>
    <mergeCell ref="L11:M11"/>
    <mergeCell ref="L13:M13"/>
    <mergeCell ref="L14:M14"/>
    <mergeCell ref="L4:P4"/>
  </mergeCells>
  <phoneticPr fontId="28" type="noConversion"/>
  <dataValidations count="3">
    <dataValidation type="list" allowBlank="1" showInputMessage="1" showErrorMessage="1" sqref="M3" xr:uid="{3DBEBBA3-ADC8-415C-ABD0-292E1F73F0F9}">
      <formula1>$E$4:$E$34</formula1>
    </dataValidation>
    <dataValidation type="list" allowBlank="1" showInputMessage="1" showErrorMessage="1" sqref="O3" xr:uid="{57BECC3C-76C3-43EF-9748-1123F1CE87C2}">
      <formula1>$F$4:$F$34</formula1>
    </dataValidation>
    <dataValidation type="list" allowBlank="1" showInputMessage="1" showErrorMessage="1" sqref="N3" xr:uid="{41894034-EDCE-45D5-8D6B-DC1EB6ABB63B}">
      <formula1>$B$4:$B$34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ACF836-6DF6-481A-94CE-D010D4457E70}">
          <x14:formula1>
            <xm:f>'REPORTE X DÍAS'!$K$25:$K$26</xm:f>
          </x14:formula1>
          <xm:sqref>L3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FA61-D2E2-44BD-8CFD-C0FF5B9A775B}">
  <dimension ref="B1:AD1005"/>
  <sheetViews>
    <sheetView showGridLines="0" zoomScale="80" zoomScaleNormal="80" workbookViewId="0">
      <selection activeCell="L24" sqref="L24"/>
    </sheetView>
  </sheetViews>
  <sheetFormatPr baseColWidth="10" defaultColWidth="11.3984375" defaultRowHeight="26.25" customHeight="1"/>
  <cols>
    <col min="1" max="1" width="4.09765625" style="11" customWidth="1"/>
    <col min="2" max="2" width="12.296875" style="11" customWidth="1"/>
    <col min="3" max="4" width="15.296875" style="11" customWidth="1"/>
    <col min="5" max="5" width="11.59765625" style="11" hidden="1" customWidth="1"/>
    <col min="6" max="6" width="12.296875" style="14" customWidth="1"/>
    <col min="7" max="7" width="11.3984375" style="14" hidden="1" customWidth="1"/>
    <col min="8" max="8" width="7.3984375" style="11" customWidth="1"/>
    <col min="9" max="9" width="5" style="11" customWidth="1"/>
    <col min="10" max="10" width="27.8984375" style="11" customWidth="1"/>
    <col min="11" max="11" width="19" style="11" customWidth="1"/>
    <col min="12" max="12" width="3.3984375" style="11" customWidth="1"/>
    <col min="13" max="13" width="21.8984375" style="11" customWidth="1"/>
    <col min="14" max="14" width="18.69921875" style="11" customWidth="1"/>
    <col min="15" max="16384" width="11.3984375" style="11"/>
  </cols>
  <sheetData>
    <row r="1" spans="2:30" ht="38.4" customHeight="1" thickBot="1">
      <c r="G1" s="11"/>
    </row>
    <row r="2" spans="2:30" ht="28.5" customHeight="1" thickBot="1">
      <c r="B2" s="397" t="s">
        <v>120</v>
      </c>
      <c r="C2" s="398"/>
      <c r="D2" s="398"/>
      <c r="E2" s="398"/>
      <c r="F2" s="398"/>
      <c r="G2" s="398"/>
      <c r="H2" s="399"/>
      <c r="I2" s="13"/>
      <c r="J2" s="400" t="s">
        <v>51</v>
      </c>
      <c r="K2" s="401"/>
      <c r="L2" s="13"/>
      <c r="M2" s="393" t="s">
        <v>81</v>
      </c>
      <c r="N2" s="394"/>
      <c r="O2" s="41"/>
      <c r="P2" s="41"/>
      <c r="Q2" s="4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2:30" ht="15.75" customHeight="1" thickBot="1">
      <c r="B3" s="42" t="s">
        <v>42</v>
      </c>
      <c r="C3" s="42" t="s">
        <v>52</v>
      </c>
      <c r="D3" s="42" t="s">
        <v>43</v>
      </c>
      <c r="E3" s="42" t="s">
        <v>59</v>
      </c>
      <c r="F3" s="42" t="s">
        <v>37</v>
      </c>
      <c r="G3" s="42" t="s">
        <v>62</v>
      </c>
      <c r="H3" s="42" t="s">
        <v>47</v>
      </c>
      <c r="I3" s="13"/>
      <c r="J3" s="402">
        <f>'TABLERO Y AGENDA'!N3</f>
        <v>46072</v>
      </c>
      <c r="K3" s="403"/>
      <c r="L3" s="13"/>
      <c r="M3" s="395">
        <f>J3</f>
        <v>46072</v>
      </c>
      <c r="N3" s="396"/>
      <c r="O3" s="41"/>
      <c r="P3" s="41"/>
      <c r="Q3" s="4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0" ht="21.75" customHeight="1" thickBot="1">
      <c r="B4" s="163">
        <f>'TABLERO Y AGENDA'!B4</f>
        <v>46054</v>
      </c>
      <c r="C4" s="22">
        <v>14853333</v>
      </c>
      <c r="D4" s="22">
        <f>'TABLERO Y AGENDA'!E4</f>
        <v>0</v>
      </c>
      <c r="E4" s="61">
        <f>-(C4-D4)</f>
        <v>-14853333</v>
      </c>
      <c r="F4" s="22">
        <f>'TABLERO Y AGENDA'!F4</f>
        <v>133000</v>
      </c>
      <c r="G4" s="22">
        <f>'TABLERO Y AGENDA'!G4</f>
        <v>0</v>
      </c>
      <c r="H4" s="96">
        <v>0</v>
      </c>
      <c r="I4" s="13"/>
      <c r="J4" s="144" t="s">
        <v>76</v>
      </c>
      <c r="K4" s="145">
        <f>'TABLERO Y AGENDA'!M3</f>
        <v>3190000</v>
      </c>
      <c r="L4" s="13"/>
      <c r="M4" s="147" t="s">
        <v>76</v>
      </c>
      <c r="N4" s="148">
        <f>K4</f>
        <v>3190000</v>
      </c>
      <c r="O4" s="41"/>
      <c r="P4" s="41"/>
      <c r="Q4" s="4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2:30" ht="16.5" customHeight="1">
      <c r="B5" s="163">
        <f>'TABLERO Y AGENDA'!B5</f>
        <v>46055</v>
      </c>
      <c r="C5" s="22">
        <v>14853333</v>
      </c>
      <c r="D5" s="22">
        <f>'TABLERO Y AGENDA'!E5</f>
        <v>0</v>
      </c>
      <c r="E5" s="61">
        <f>-(C5-D5)</f>
        <v>-14853333</v>
      </c>
      <c r="F5" s="22">
        <f>'TABLERO Y AGENDA'!F5</f>
        <v>23167000</v>
      </c>
      <c r="G5" s="22">
        <f>'TABLERO Y AGENDA'!G5</f>
        <v>200000</v>
      </c>
      <c r="H5" s="96">
        <f t="shared" ref="H5:H34" si="0">(F5/C5)</f>
        <v>1.5597172701911417</v>
      </c>
      <c r="I5" s="13"/>
      <c r="J5" s="149" t="s">
        <v>101</v>
      </c>
      <c r="K5" s="150">
        <f>'TABLERO Y AGENDA'!L3</f>
        <v>19347826.086956523</v>
      </c>
      <c r="L5" s="13"/>
      <c r="M5" s="143" t="str">
        <f>J5</f>
        <v>Objetivo Venta Día</v>
      </c>
      <c r="N5" s="146">
        <f>K5</f>
        <v>19347826.086956523</v>
      </c>
      <c r="O5" s="41"/>
      <c r="P5" s="41"/>
      <c r="Q5" s="4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2:30" ht="16.5" customHeight="1">
      <c r="B6" s="163">
        <f>'TABLERO Y AGENDA'!B6</f>
        <v>46056</v>
      </c>
      <c r="C6" s="22">
        <v>14853333</v>
      </c>
      <c r="D6" s="22">
        <f>'TABLERO Y AGENDA'!E6</f>
        <v>0</v>
      </c>
      <c r="E6" s="61">
        <f t="shared" ref="E6:E33" si="1">-(C6-D6)</f>
        <v>-14853333</v>
      </c>
      <c r="F6" s="22">
        <f>'TABLERO Y AGENDA'!F6</f>
        <v>14266000</v>
      </c>
      <c r="G6" s="22">
        <f>'TABLERO Y AGENDA'!G6</f>
        <v>1350000</v>
      </c>
      <c r="H6" s="96">
        <f t="shared" si="0"/>
        <v>0.96045783124905371</v>
      </c>
      <c r="I6" s="13"/>
      <c r="J6" s="151" t="s">
        <v>91</v>
      </c>
      <c r="K6" s="152">
        <f>-K5+K4</f>
        <v>-16157826.086956523</v>
      </c>
      <c r="L6" s="49"/>
      <c r="M6" s="40" t="s">
        <v>83</v>
      </c>
      <c r="N6" s="68">
        <f>'TABLERO Y AGENDA'!O3</f>
        <v>24284000</v>
      </c>
      <c r="O6" s="41"/>
      <c r="P6" s="41"/>
      <c r="Q6" s="4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spans="2:30" ht="16.5" customHeight="1" thickBot="1">
      <c r="B7" s="163">
        <f>'TABLERO Y AGENDA'!B7</f>
        <v>46057</v>
      </c>
      <c r="C7" s="22">
        <v>14853333</v>
      </c>
      <c r="D7" s="22">
        <f>'TABLERO Y AGENDA'!E7</f>
        <v>0</v>
      </c>
      <c r="E7" s="61">
        <f t="shared" si="1"/>
        <v>-14853333</v>
      </c>
      <c r="F7" s="22">
        <f>'TABLERO Y AGENDA'!F7</f>
        <v>6521000</v>
      </c>
      <c r="G7" s="22">
        <f>'TABLERO Y AGENDA'!G7</f>
        <v>381000</v>
      </c>
      <c r="H7" s="96">
        <f t="shared" si="0"/>
        <v>0.43902604216844798</v>
      </c>
      <c r="I7" s="13"/>
      <c r="J7" s="142" t="s">
        <v>123</v>
      </c>
      <c r="K7" s="121">
        <f>N8</f>
        <v>-7.68647435897436E-2</v>
      </c>
      <c r="L7" s="13"/>
      <c r="M7" s="123" t="s">
        <v>119</v>
      </c>
      <c r="N7" s="62">
        <f>N6/N5</f>
        <v>1.2551280898876402</v>
      </c>
      <c r="O7" s="41"/>
      <c r="P7" s="41"/>
      <c r="Q7" s="4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2:30" ht="16.5" customHeight="1" thickBot="1">
      <c r="B8" s="163">
        <f>'TABLERO Y AGENDA'!B8</f>
        <v>46058</v>
      </c>
      <c r="C8" s="22">
        <v>14853333</v>
      </c>
      <c r="D8" s="22">
        <f>'TABLERO Y AGENDA'!E8</f>
        <v>0</v>
      </c>
      <c r="E8" s="61">
        <f t="shared" si="1"/>
        <v>-14853333</v>
      </c>
      <c r="F8" s="22">
        <f>'TABLERO Y AGENDA'!F8</f>
        <v>13902000</v>
      </c>
      <c r="G8" s="22">
        <f>'TABLERO Y AGENDA'!G8</f>
        <v>1502500</v>
      </c>
      <c r="H8" s="96">
        <f t="shared" si="0"/>
        <v>0.93595154703661465</v>
      </c>
      <c r="I8" s="13"/>
      <c r="J8" s="51"/>
      <c r="L8" s="13"/>
      <c r="M8" s="122" t="s">
        <v>118</v>
      </c>
      <c r="N8" s="121">
        <f>'BALANCE PPTO'!E32</f>
        <v>-7.68647435897436E-2</v>
      </c>
      <c r="O8" s="41"/>
      <c r="P8" s="41"/>
      <c r="Q8" s="4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2:30" ht="16.5" customHeight="1">
      <c r="B9" s="163">
        <f>'TABLERO Y AGENDA'!B9</f>
        <v>46059</v>
      </c>
      <c r="C9" s="22">
        <v>14853333</v>
      </c>
      <c r="D9" s="22">
        <f>'TABLERO Y AGENDA'!E9</f>
        <v>0</v>
      </c>
      <c r="E9" s="61">
        <f t="shared" si="1"/>
        <v>-14853333</v>
      </c>
      <c r="F9" s="22">
        <f>'TABLERO Y AGENDA'!F9</f>
        <v>24645000</v>
      </c>
      <c r="G9" s="22">
        <f>'TABLERO Y AGENDA'!G9</f>
        <v>123500</v>
      </c>
      <c r="H9" s="96">
        <f t="shared" si="0"/>
        <v>1.6592235560867046</v>
      </c>
      <c r="I9" s="13"/>
      <c r="L9" s="13"/>
      <c r="M9" s="41"/>
      <c r="N9" s="41"/>
      <c r="O9" s="41"/>
      <c r="P9" s="41"/>
      <c r="Q9" s="4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2:30" ht="16.5" customHeight="1">
      <c r="B10" s="163">
        <f>'TABLERO Y AGENDA'!B10</f>
        <v>46060</v>
      </c>
      <c r="C10" s="22">
        <v>14853333</v>
      </c>
      <c r="D10" s="22">
        <f>'TABLERO Y AGENDA'!E10</f>
        <v>0</v>
      </c>
      <c r="E10" s="61">
        <f t="shared" si="1"/>
        <v>-14853333</v>
      </c>
      <c r="F10" s="22">
        <f>'TABLERO Y AGENDA'!F10</f>
        <v>11220000</v>
      </c>
      <c r="G10" s="22">
        <f>'TABLERO Y AGENDA'!G10</f>
        <v>940000</v>
      </c>
      <c r="H10" s="96">
        <f t="shared" si="0"/>
        <v>0.75538601336144551</v>
      </c>
      <c r="I10" s="13"/>
      <c r="J10" s="404"/>
      <c r="K10" s="404"/>
      <c r="L10" s="13"/>
      <c r="M10" s="41"/>
      <c r="N10" s="41"/>
      <c r="O10" s="41"/>
      <c r="P10" s="41"/>
      <c r="Q10" s="4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2:30" ht="16.5" customHeight="1">
      <c r="B11" s="163">
        <f>'TABLERO Y AGENDA'!B11</f>
        <v>46061</v>
      </c>
      <c r="C11" s="22">
        <v>14853333</v>
      </c>
      <c r="D11" s="22">
        <f>'TABLERO Y AGENDA'!E11</f>
        <v>0</v>
      </c>
      <c r="E11" s="61">
        <f t="shared" si="1"/>
        <v>-14853333</v>
      </c>
      <c r="F11" s="22">
        <f>'TABLERO Y AGENDA'!F11</f>
        <v>610000</v>
      </c>
      <c r="G11" s="22">
        <f>'TABLERO Y AGENDA'!G11</f>
        <v>0</v>
      </c>
      <c r="H11" s="96">
        <f t="shared" si="0"/>
        <v>4.106822354282369E-2</v>
      </c>
      <c r="I11" s="13"/>
      <c r="J11" s="140"/>
      <c r="K11" s="141"/>
      <c r="L11" s="13"/>
      <c r="O11" s="41"/>
      <c r="P11" s="41"/>
      <c r="Q11" s="4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2:30" ht="16.5" customHeight="1">
      <c r="B12" s="163">
        <f>'TABLERO Y AGENDA'!B12</f>
        <v>46062</v>
      </c>
      <c r="C12" s="22">
        <v>14853333</v>
      </c>
      <c r="D12" s="22">
        <f>'TABLERO Y AGENDA'!E12</f>
        <v>0</v>
      </c>
      <c r="E12" s="61">
        <f t="shared" si="1"/>
        <v>-14853333</v>
      </c>
      <c r="F12" s="22">
        <f>'TABLERO Y AGENDA'!F12</f>
        <v>18849500</v>
      </c>
      <c r="G12" s="22">
        <f>'TABLERO Y AGENDA'!G12</f>
        <v>0</v>
      </c>
      <c r="H12" s="96">
        <f t="shared" si="0"/>
        <v>1.2690417699515657</v>
      </c>
      <c r="I12" s="13"/>
      <c r="J12" s="405" t="s">
        <v>73</v>
      </c>
      <c r="K12" s="405"/>
      <c r="L12" s="13"/>
      <c r="O12" s="41"/>
      <c r="P12" s="41"/>
      <c r="Q12" s="4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spans="2:30" ht="16.5" customHeight="1">
      <c r="B13" s="163">
        <f>'TABLERO Y AGENDA'!B13</f>
        <v>46063</v>
      </c>
      <c r="C13" s="22">
        <v>14853333</v>
      </c>
      <c r="D13" s="22">
        <f>'TABLERO Y AGENDA'!E13</f>
        <v>0</v>
      </c>
      <c r="E13" s="61">
        <f t="shared" si="1"/>
        <v>-14853333</v>
      </c>
      <c r="F13" s="22">
        <f>'TABLERO Y AGENDA'!F13</f>
        <v>26790000</v>
      </c>
      <c r="G13" s="22">
        <f>'TABLERO Y AGENDA'!G13</f>
        <v>332500</v>
      </c>
      <c r="H13" s="96">
        <f t="shared" si="0"/>
        <v>1.8036355880528634</v>
      </c>
      <c r="I13" s="13"/>
      <c r="J13" s="392" t="s">
        <v>99</v>
      </c>
      <c r="K13" s="392"/>
      <c r="L13" s="79"/>
      <c r="M13" s="81"/>
      <c r="N13" s="41"/>
      <c r="O13" s="41"/>
      <c r="P13" s="41"/>
      <c r="Q13" s="4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2:30" ht="16.5" customHeight="1">
      <c r="B14" s="163">
        <f>'TABLERO Y AGENDA'!B14</f>
        <v>46064</v>
      </c>
      <c r="C14" s="22">
        <v>14853333</v>
      </c>
      <c r="D14" s="22">
        <f>'TABLERO Y AGENDA'!E14</f>
        <v>0</v>
      </c>
      <c r="E14" s="61">
        <f t="shared" si="1"/>
        <v>-14853333</v>
      </c>
      <c r="F14" s="22">
        <f>'TABLERO Y AGENDA'!F14</f>
        <v>14830000</v>
      </c>
      <c r="G14" s="22">
        <f>'TABLERO Y AGENDA'!G14</f>
        <v>0</v>
      </c>
      <c r="H14" s="96">
        <f t="shared" si="0"/>
        <v>0.99842910678700869</v>
      </c>
      <c r="I14" s="13"/>
      <c r="J14" s="81" t="s">
        <v>66</v>
      </c>
      <c r="K14" s="80">
        <f>'BALANCE PPTO'!E18</f>
        <v>520000000</v>
      </c>
      <c r="L14" s="79"/>
      <c r="M14" s="79"/>
      <c r="N14" s="41"/>
      <c r="O14" s="41"/>
      <c r="P14" s="41"/>
      <c r="Q14" s="4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2:30" ht="16.5" customHeight="1">
      <c r="B15" s="163">
        <f>'TABLERO Y AGENDA'!B15</f>
        <v>46065</v>
      </c>
      <c r="C15" s="22">
        <v>14853333</v>
      </c>
      <c r="D15" s="22">
        <f>'TABLERO Y AGENDA'!E15</f>
        <v>0</v>
      </c>
      <c r="E15" s="61">
        <f t="shared" si="1"/>
        <v>-14853333</v>
      </c>
      <c r="F15" s="22">
        <f>'TABLERO Y AGENDA'!F15</f>
        <v>15850000</v>
      </c>
      <c r="G15" s="22">
        <f>'TABLERO Y AGENDA'!G15</f>
        <v>0</v>
      </c>
      <c r="H15" s="96">
        <f t="shared" si="0"/>
        <v>1.0671005625471401</v>
      </c>
      <c r="I15" s="13"/>
      <c r="J15" s="81" t="s">
        <v>68</v>
      </c>
      <c r="K15" s="80">
        <v>0</v>
      </c>
      <c r="L15" s="79"/>
      <c r="M15" s="79"/>
      <c r="N15" s="41"/>
      <c r="O15" s="41"/>
      <c r="P15" s="41"/>
      <c r="Q15" s="4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2:30" ht="16.5" customHeight="1">
      <c r="B16" s="163">
        <f>'TABLERO Y AGENDA'!B16</f>
        <v>46066</v>
      </c>
      <c r="C16" s="22">
        <v>14853333</v>
      </c>
      <c r="D16" s="22">
        <f>'TABLERO Y AGENDA'!E16</f>
        <v>0</v>
      </c>
      <c r="E16" s="61">
        <f t="shared" si="1"/>
        <v>-14853333</v>
      </c>
      <c r="F16" s="22">
        <f>'TABLERO Y AGENDA'!F16</f>
        <v>24510000</v>
      </c>
      <c r="G16" s="22">
        <f>'TABLERO Y AGENDA'!G16</f>
        <v>0</v>
      </c>
      <c r="H16" s="96">
        <f t="shared" si="0"/>
        <v>1.6501346869419813</v>
      </c>
      <c r="I16" s="13"/>
      <c r="J16" s="81" t="s">
        <v>92</v>
      </c>
      <c r="K16" s="80">
        <f>SUM('REPORTE X DÍAS'!F4:F34)</f>
        <v>306697000</v>
      </c>
      <c r="L16" s="79"/>
      <c r="M16" s="79"/>
      <c r="N16" s="41"/>
      <c r="O16" s="41"/>
      <c r="P16" s="41"/>
      <c r="Q16" s="4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2:30" ht="16.5" customHeight="1">
      <c r="B17" s="163">
        <f>'TABLERO Y AGENDA'!B17</f>
        <v>46067</v>
      </c>
      <c r="C17" s="22">
        <v>14853333</v>
      </c>
      <c r="D17" s="22">
        <f>'TABLERO Y AGENDA'!E17</f>
        <v>0</v>
      </c>
      <c r="E17" s="61">
        <f t="shared" si="1"/>
        <v>-14853333</v>
      </c>
      <c r="F17" s="22">
        <f>'TABLERO Y AGENDA'!F17</f>
        <v>14265000</v>
      </c>
      <c r="G17" s="22">
        <f>'TABLERO Y AGENDA'!G17</f>
        <v>1240000</v>
      </c>
      <c r="H17" s="96">
        <f t="shared" si="0"/>
        <v>0.96039050629242606</v>
      </c>
      <c r="I17" s="13"/>
      <c r="J17" s="81" t="s">
        <v>100</v>
      </c>
      <c r="K17" s="80">
        <f>'TABLERO Y AGENDA'!E35</f>
        <v>105032500</v>
      </c>
      <c r="L17" s="79"/>
      <c r="M17" s="79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2:30" ht="16.5" customHeight="1">
      <c r="B18" s="163">
        <f>'TABLERO Y AGENDA'!B18</f>
        <v>46068</v>
      </c>
      <c r="C18" s="22">
        <v>14853333</v>
      </c>
      <c r="D18" s="22">
        <f>'TABLERO Y AGENDA'!E18</f>
        <v>0</v>
      </c>
      <c r="E18" s="61">
        <f t="shared" si="1"/>
        <v>-14853333</v>
      </c>
      <c r="F18" s="22">
        <f>'TABLERO Y AGENDA'!F18</f>
        <v>2130000</v>
      </c>
      <c r="G18" s="22">
        <f>'TABLERO Y AGENDA'!G18</f>
        <v>0</v>
      </c>
      <c r="H18" s="96">
        <f t="shared" si="0"/>
        <v>0.14340215761674502</v>
      </c>
      <c r="I18" s="13"/>
      <c r="J18" s="81" t="s">
        <v>75</v>
      </c>
      <c r="K18" s="80">
        <f>'TABLERO Y AGENDA'!H35</f>
        <v>0</v>
      </c>
      <c r="L18" s="79"/>
      <c r="M18" s="79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2:30" ht="16.5" customHeight="1">
      <c r="B19" s="163">
        <f>'TABLERO Y AGENDA'!B19</f>
        <v>46069</v>
      </c>
      <c r="C19" s="22">
        <v>14853333</v>
      </c>
      <c r="D19" s="22">
        <f>'TABLERO Y AGENDA'!E19</f>
        <v>0</v>
      </c>
      <c r="E19" s="61">
        <f t="shared" si="1"/>
        <v>-14853333</v>
      </c>
      <c r="F19" s="22">
        <f>'TABLERO Y AGENDA'!F19</f>
        <v>26208000</v>
      </c>
      <c r="G19" s="22">
        <f>'TABLERO Y AGENDA'!G19</f>
        <v>0</v>
      </c>
      <c r="H19" s="96">
        <f t="shared" si="0"/>
        <v>1.7644524632956118</v>
      </c>
      <c r="I19" s="48"/>
      <c r="J19" s="81" t="s">
        <v>67</v>
      </c>
      <c r="K19" s="80">
        <f>'TABLERO Y AGENDA'!G35</f>
        <v>6687000</v>
      </c>
      <c r="L19" s="79"/>
      <c r="M19" s="79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2:30" ht="16.5" customHeight="1">
      <c r="B20" s="163">
        <f>'TABLERO Y AGENDA'!B20</f>
        <v>46070</v>
      </c>
      <c r="C20" s="22">
        <v>14853333</v>
      </c>
      <c r="D20" s="22">
        <f>'TABLERO Y AGENDA'!E20</f>
        <v>0</v>
      </c>
      <c r="E20" s="61">
        <f t="shared" si="1"/>
        <v>-14853333</v>
      </c>
      <c r="F20" s="22">
        <f>'TABLERO Y AGENDA'!F20</f>
        <v>24768500</v>
      </c>
      <c r="G20" s="22">
        <f>'TABLERO Y AGENDA'!G20</f>
        <v>0</v>
      </c>
      <c r="H20" s="96">
        <f t="shared" si="0"/>
        <v>1.6675381882302107</v>
      </c>
      <c r="I20" s="13"/>
      <c r="J20" s="81" t="s">
        <v>89</v>
      </c>
      <c r="K20" s="80">
        <f>K14-K16-K17</f>
        <v>108270500</v>
      </c>
      <c r="L20" s="79"/>
      <c r="M20" s="79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2:30" ht="16.5" customHeight="1">
      <c r="B21" s="163">
        <f>'TABLERO Y AGENDA'!B21</f>
        <v>46071</v>
      </c>
      <c r="C21" s="22">
        <v>14853333</v>
      </c>
      <c r="D21" s="22">
        <f>'TABLERO Y AGENDA'!E21</f>
        <v>0</v>
      </c>
      <c r="E21" s="61">
        <f t="shared" si="1"/>
        <v>-14853333</v>
      </c>
      <c r="F21" s="22">
        <f>'TABLERO Y AGENDA'!F21</f>
        <v>26372000</v>
      </c>
      <c r="G21" s="22">
        <f>'TABLERO Y AGENDA'!G21</f>
        <v>0</v>
      </c>
      <c r="H21" s="96">
        <f t="shared" si="0"/>
        <v>1.775493756182535</v>
      </c>
      <c r="I21" s="13"/>
      <c r="J21" s="81" t="s">
        <v>73</v>
      </c>
      <c r="K21" s="82">
        <f>'TABLERO Y AGENDA'!P3</f>
        <v>16</v>
      </c>
      <c r="L21" s="79"/>
      <c r="M21" s="79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2:30" ht="16.5" customHeight="1">
      <c r="B22" s="163">
        <f>'TABLERO Y AGENDA'!B22</f>
        <v>46072</v>
      </c>
      <c r="C22" s="22">
        <v>14853333</v>
      </c>
      <c r="D22" s="22">
        <f>'TABLERO Y AGENDA'!E22</f>
        <v>0</v>
      </c>
      <c r="E22" s="61">
        <f t="shared" si="1"/>
        <v>-14853333</v>
      </c>
      <c r="F22" s="22">
        <f>'TABLERO Y AGENDA'!F22</f>
        <v>17660000</v>
      </c>
      <c r="G22" s="22">
        <f>'TABLERO Y AGENDA'!G22</f>
        <v>617500</v>
      </c>
      <c r="H22" s="96">
        <f t="shared" si="0"/>
        <v>1.1889587340430596</v>
      </c>
      <c r="I22" s="13"/>
      <c r="J22" s="81" t="s">
        <v>69</v>
      </c>
      <c r="K22" s="83">
        <f>(K16+K17)/K14</f>
        <v>0.79178749999999998</v>
      </c>
      <c r="L22" s="79"/>
      <c r="M22" s="79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2:30" ht="16.5" customHeight="1">
      <c r="B23" s="163">
        <f>'TABLERO Y AGENDA'!B23</f>
        <v>46073</v>
      </c>
      <c r="C23" s="22">
        <v>14853333</v>
      </c>
      <c r="D23" s="22">
        <f>'TABLERO Y AGENDA'!E23</f>
        <v>14678500</v>
      </c>
      <c r="E23" s="61">
        <f t="shared" si="1"/>
        <v>-174833</v>
      </c>
      <c r="F23" s="22">
        <f>'TABLERO Y AGENDA'!F23</f>
        <v>0</v>
      </c>
      <c r="G23" s="22">
        <f>'TABLERO Y AGENDA'!G23</f>
        <v>0</v>
      </c>
      <c r="H23" s="96">
        <f t="shared" si="0"/>
        <v>0</v>
      </c>
      <c r="I23" s="13"/>
      <c r="J23" s="81" t="s">
        <v>77</v>
      </c>
      <c r="K23" s="83">
        <f>'BALANCE PPTO'!E30</f>
        <v>0.66666666666666663</v>
      </c>
      <c r="L23" s="79"/>
      <c r="M23" s="79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2:30" ht="16.5" customHeight="1">
      <c r="B24" s="163">
        <f>'TABLERO Y AGENDA'!B24</f>
        <v>46074</v>
      </c>
      <c r="C24" s="22">
        <v>14853333</v>
      </c>
      <c r="D24" s="22">
        <f>'TABLERO Y AGENDA'!E24</f>
        <v>29430000</v>
      </c>
      <c r="E24" s="61">
        <f t="shared" si="1"/>
        <v>14576667</v>
      </c>
      <c r="F24" s="22">
        <f>'TABLERO Y AGENDA'!F24</f>
        <v>0</v>
      </c>
      <c r="G24" s="22">
        <f>'TABLERO Y AGENDA'!G24</f>
        <v>0</v>
      </c>
      <c r="H24" s="96">
        <f t="shared" si="0"/>
        <v>0</v>
      </c>
      <c r="I24" s="13"/>
      <c r="J24" s="81" t="s">
        <v>78</v>
      </c>
      <c r="K24" s="83">
        <f>'BALANCE PPTO'!E31</f>
        <v>0.58980192307692303</v>
      </c>
      <c r="L24" s="79"/>
      <c r="M24" s="79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2:30" ht="16.5" customHeight="1">
      <c r="B25" s="163">
        <f>'TABLERO Y AGENDA'!B25</f>
        <v>46075</v>
      </c>
      <c r="C25" s="22">
        <v>14853333</v>
      </c>
      <c r="D25" s="22">
        <f>'TABLERO Y AGENDA'!E25</f>
        <v>840000</v>
      </c>
      <c r="E25" s="61">
        <f t="shared" si="1"/>
        <v>-14013333</v>
      </c>
      <c r="F25" s="22">
        <f>'TABLERO Y AGENDA'!F25</f>
        <v>0</v>
      </c>
      <c r="G25" s="22">
        <f>'TABLERO Y AGENDA'!G25</f>
        <v>0</v>
      </c>
      <c r="H25" s="96">
        <f t="shared" si="0"/>
        <v>0</v>
      </c>
      <c r="I25" s="13"/>
      <c r="J25" s="79" t="s">
        <v>95</v>
      </c>
      <c r="K25" s="80">
        <f>'BALANCE PPTO'!E33</f>
        <v>21666666.666666668</v>
      </c>
      <c r="L25" s="79"/>
      <c r="M25" s="79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2:30" ht="16.5" customHeight="1">
      <c r="B26" s="163">
        <f>'TABLERO Y AGENDA'!B26</f>
        <v>46076</v>
      </c>
      <c r="C26" s="22">
        <v>14853333</v>
      </c>
      <c r="D26" s="22">
        <f>'TABLERO Y AGENDA'!E26</f>
        <v>15932000</v>
      </c>
      <c r="E26" s="61">
        <f t="shared" si="1"/>
        <v>1078667</v>
      </c>
      <c r="F26" s="22">
        <f>'TABLERO Y AGENDA'!F26</f>
        <v>0</v>
      </c>
      <c r="G26" s="22">
        <f>'TABLERO Y AGENDA'!G26</f>
        <v>0</v>
      </c>
      <c r="H26" s="96">
        <f t="shared" si="0"/>
        <v>0</v>
      </c>
      <c r="I26" s="13"/>
      <c r="J26" s="79" t="s">
        <v>96</v>
      </c>
      <c r="K26" s="80">
        <v>1000000</v>
      </c>
      <c r="L26" s="79"/>
      <c r="M26" s="79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2:30" ht="16.5" customHeight="1">
      <c r="B27" s="163">
        <f>'TABLERO Y AGENDA'!B27</f>
        <v>46077</v>
      </c>
      <c r="C27" s="22">
        <v>14853333</v>
      </c>
      <c r="D27" s="22">
        <f>'TABLERO Y AGENDA'!E27</f>
        <v>6766000</v>
      </c>
      <c r="E27" s="61">
        <f t="shared" si="1"/>
        <v>-8087333</v>
      </c>
      <c r="F27" s="22">
        <f>'TABLERO Y AGENDA'!F27</f>
        <v>0</v>
      </c>
      <c r="G27" s="22">
        <f>'TABLERO Y AGENDA'!G27</f>
        <v>0</v>
      </c>
      <c r="H27" s="96">
        <f t="shared" si="0"/>
        <v>0</v>
      </c>
      <c r="I27" s="13"/>
      <c r="J27" s="79"/>
      <c r="K27" s="79"/>
      <c r="L27" s="79"/>
      <c r="M27" s="79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2:30" ht="16.5" customHeight="1">
      <c r="B28" s="163">
        <f>'TABLERO Y AGENDA'!B28</f>
        <v>46078</v>
      </c>
      <c r="C28" s="22">
        <v>14853333</v>
      </c>
      <c r="D28" s="22">
        <f>'TABLERO Y AGENDA'!E28</f>
        <v>9876000</v>
      </c>
      <c r="E28" s="61">
        <f t="shared" si="1"/>
        <v>-4977333</v>
      </c>
      <c r="F28" s="22">
        <f>'TABLERO Y AGENDA'!F28</f>
        <v>0</v>
      </c>
      <c r="G28" s="22">
        <f>'TABLERO Y AGENDA'!G28</f>
        <v>0</v>
      </c>
      <c r="H28" s="96">
        <f t="shared" si="0"/>
        <v>0</v>
      </c>
      <c r="I28" s="13"/>
      <c r="J28" s="79"/>
      <c r="K28" s="79"/>
      <c r="L28" s="79"/>
      <c r="M28" s="79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2:30" ht="16.5" customHeight="1">
      <c r="B29" s="163">
        <f>'TABLERO Y AGENDA'!B29</f>
        <v>46079</v>
      </c>
      <c r="C29" s="22">
        <v>14853333</v>
      </c>
      <c r="D29" s="22">
        <f>'TABLERO Y AGENDA'!E29</f>
        <v>8390000</v>
      </c>
      <c r="E29" s="61">
        <f t="shared" si="1"/>
        <v>-6463333</v>
      </c>
      <c r="F29" s="22">
        <f>'TABLERO Y AGENDA'!F29</f>
        <v>0</v>
      </c>
      <c r="G29" s="22">
        <f>'TABLERO Y AGENDA'!G29</f>
        <v>0</v>
      </c>
      <c r="H29" s="96">
        <f t="shared" si="0"/>
        <v>0</v>
      </c>
      <c r="I29" s="13"/>
      <c r="J29" s="79"/>
      <c r="K29" s="79"/>
      <c r="L29" s="79"/>
      <c r="M29" s="79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2:30" ht="16.5" customHeight="1">
      <c r="B30" s="163">
        <f>'TABLERO Y AGENDA'!B30</f>
        <v>46080</v>
      </c>
      <c r="C30" s="22">
        <v>14853333</v>
      </c>
      <c r="D30" s="22">
        <f>'TABLERO Y AGENDA'!E30</f>
        <v>15430000</v>
      </c>
      <c r="E30" s="61">
        <f t="shared" si="1"/>
        <v>576667</v>
      </c>
      <c r="F30" s="22">
        <f>'TABLERO Y AGENDA'!F30</f>
        <v>0</v>
      </c>
      <c r="G30" s="22">
        <f>'TABLERO Y AGENDA'!G30</f>
        <v>0</v>
      </c>
      <c r="H30" s="96">
        <f t="shared" si="0"/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2:30" ht="16.5" customHeight="1">
      <c r="B31" s="163">
        <f>'TABLERO Y AGENDA'!B31</f>
        <v>46081</v>
      </c>
      <c r="C31" s="22">
        <v>14853333</v>
      </c>
      <c r="D31" s="22">
        <f>'TABLERO Y AGENDA'!E31</f>
        <v>3690000</v>
      </c>
      <c r="E31" s="61">
        <f t="shared" si="1"/>
        <v>-11163333</v>
      </c>
      <c r="F31" s="22">
        <f>'TABLERO Y AGENDA'!F31</f>
        <v>0</v>
      </c>
      <c r="G31" s="22">
        <f>'TABLERO Y AGENDA'!G31</f>
        <v>0</v>
      </c>
      <c r="H31" s="96">
        <f t="shared" si="0"/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2:30" ht="16.5" customHeight="1">
      <c r="B32" s="163">
        <f>'TABLERO Y AGENDA'!B32</f>
        <v>0</v>
      </c>
      <c r="C32" s="22">
        <v>14853333</v>
      </c>
      <c r="D32" s="22">
        <f>'TABLERO Y AGENDA'!E32</f>
        <v>0</v>
      </c>
      <c r="E32" s="61">
        <f t="shared" si="1"/>
        <v>-14853333</v>
      </c>
      <c r="F32" s="22">
        <f>'TABLERO Y AGENDA'!F32</f>
        <v>0</v>
      </c>
      <c r="G32" s="22">
        <f>'TABLERO Y AGENDA'!G32</f>
        <v>0</v>
      </c>
      <c r="H32" s="96">
        <f t="shared" si="0"/>
        <v>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2:30" ht="16.5" customHeight="1">
      <c r="B33" s="163">
        <f>'TABLERO Y AGENDA'!B33</f>
        <v>0</v>
      </c>
      <c r="C33" s="22">
        <v>14853333</v>
      </c>
      <c r="D33" s="22">
        <f>'TABLERO Y AGENDA'!E33</f>
        <v>0</v>
      </c>
      <c r="E33" s="61">
        <f t="shared" si="1"/>
        <v>-14853333</v>
      </c>
      <c r="F33" s="22">
        <f>'TABLERO Y AGENDA'!F33</f>
        <v>0</v>
      </c>
      <c r="G33" s="22">
        <f>'TABLERO Y AGENDA'!G33</f>
        <v>0</v>
      </c>
      <c r="H33" s="96">
        <f t="shared" si="0"/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2:30" ht="21" customHeight="1">
      <c r="B34" s="108">
        <f>'TABLERO Y AGENDA'!B34</f>
        <v>0</v>
      </c>
      <c r="C34" s="22">
        <v>14853333</v>
      </c>
      <c r="D34" s="22">
        <f>'TABLERO Y AGENDA'!E34</f>
        <v>0</v>
      </c>
      <c r="E34" s="61">
        <f>-(C34-D34)</f>
        <v>-14853333</v>
      </c>
      <c r="F34" s="22">
        <f>'TABLERO Y AGENDA'!F34</f>
        <v>0</v>
      </c>
      <c r="G34" s="22">
        <f>'TABLERO Y AGENDA'!G34</f>
        <v>0</v>
      </c>
      <c r="H34" s="96">
        <f t="shared" si="0"/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2:30" ht="26.25" customHeight="1">
      <c r="B35" s="13"/>
      <c r="C35" s="13"/>
      <c r="D35" s="13"/>
      <c r="E35" s="13"/>
      <c r="F35" s="15"/>
      <c r="G35" s="15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spans="2:30" ht="26.25" customHeight="1">
      <c r="B36" s="13"/>
      <c r="C36" s="13"/>
      <c r="D36" s="13"/>
      <c r="E36" s="13"/>
      <c r="F36" s="15"/>
      <c r="G36" s="15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spans="2:30" ht="26.25" customHeight="1">
      <c r="B37" s="13"/>
      <c r="C37" s="13"/>
      <c r="D37" s="13"/>
      <c r="E37" s="13"/>
      <c r="F37" s="15"/>
      <c r="G37" s="15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2:30" ht="26.25" customHeight="1">
      <c r="B38" s="13"/>
      <c r="C38" s="13"/>
      <c r="D38" s="13"/>
      <c r="E38" s="13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2:30" ht="26.25" customHeight="1">
      <c r="B39" s="13"/>
      <c r="C39" s="13"/>
      <c r="D39" s="13"/>
      <c r="E39" s="13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2:30" ht="26.25" customHeight="1">
      <c r="B40" s="13"/>
      <c r="C40" s="13"/>
      <c r="D40" s="13"/>
      <c r="E40" s="13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2:30" ht="26.25" customHeight="1">
      <c r="B41" s="13"/>
      <c r="C41" s="13"/>
      <c r="D41" s="13"/>
      <c r="E41" s="13"/>
      <c r="F41" s="15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2:30" ht="26.25" customHeight="1">
      <c r="B42" s="13"/>
      <c r="C42" s="13"/>
      <c r="D42" s="13"/>
      <c r="E42" s="13"/>
      <c r="F42" s="15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2:30" ht="26.25" customHeight="1">
      <c r="B43" s="13"/>
      <c r="C43" s="13"/>
      <c r="D43" s="13"/>
      <c r="E43" s="13"/>
      <c r="F43" s="15"/>
      <c r="G43" s="15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2:30" ht="26.25" customHeight="1">
      <c r="B44" s="13"/>
      <c r="C44" s="13"/>
      <c r="D44" s="13"/>
      <c r="E44" s="13"/>
      <c r="F44" s="15"/>
      <c r="G44" s="15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2:30" ht="26.25" customHeight="1">
      <c r="B45" s="13"/>
      <c r="C45" s="13"/>
      <c r="D45" s="13"/>
      <c r="E45" s="13"/>
      <c r="F45" s="15"/>
      <c r="G45" s="15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2:30" ht="26.25" customHeight="1">
      <c r="B46" s="13"/>
      <c r="C46" s="13"/>
      <c r="D46" s="13"/>
      <c r="E46" s="13"/>
      <c r="F46" s="15"/>
      <c r="G46" s="15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2:30" ht="26.25" customHeight="1">
      <c r="B47" s="13"/>
      <c r="C47" s="13"/>
      <c r="D47" s="13"/>
      <c r="E47" s="13"/>
      <c r="F47" s="15"/>
      <c r="G47" s="15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2:30" ht="26.25" customHeight="1">
      <c r="B48" s="13"/>
      <c r="C48" s="13"/>
      <c r="D48" s="13"/>
      <c r="E48" s="13"/>
      <c r="F48" s="15"/>
      <c r="G48" s="15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2:30" ht="26.25" customHeight="1">
      <c r="B49" s="13"/>
      <c r="C49" s="13"/>
      <c r="D49" s="13"/>
      <c r="E49" s="13"/>
      <c r="F49" s="15"/>
      <c r="G49" s="15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2:30" ht="26.25" customHeight="1">
      <c r="B50" s="13"/>
      <c r="C50" s="13"/>
      <c r="D50" s="13"/>
      <c r="E50" s="13"/>
      <c r="F50" s="15"/>
      <c r="G50" s="15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2:30" ht="26.25" customHeight="1">
      <c r="B51" s="13"/>
      <c r="C51" s="13"/>
      <c r="D51" s="13"/>
      <c r="E51" s="13"/>
      <c r="F51" s="15"/>
      <c r="G51" s="15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2:30" ht="26.25" customHeight="1">
      <c r="B52" s="13"/>
      <c r="C52" s="13"/>
      <c r="D52" s="13"/>
      <c r="E52" s="13"/>
      <c r="F52" s="15"/>
      <c r="G52" s="15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2:30" ht="26.25" customHeight="1">
      <c r="B53" s="13"/>
      <c r="C53" s="13"/>
      <c r="D53" s="13"/>
      <c r="E53" s="13"/>
      <c r="F53" s="15"/>
      <c r="G53" s="15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2:30" ht="26.25" customHeight="1">
      <c r="B54" s="13"/>
      <c r="C54" s="13"/>
      <c r="D54" s="13"/>
      <c r="E54" s="13"/>
      <c r="F54" s="15"/>
      <c r="G54" s="15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2:30" ht="26.25" customHeight="1">
      <c r="B55" s="13"/>
      <c r="C55" s="13"/>
      <c r="D55" s="13"/>
      <c r="E55" s="13"/>
      <c r="F55" s="15"/>
      <c r="G55" s="15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spans="2:30" ht="26.25" customHeight="1">
      <c r="B56" s="13"/>
      <c r="C56" s="13"/>
      <c r="D56" s="13"/>
      <c r="E56" s="13"/>
      <c r="F56" s="15"/>
      <c r="G56" s="15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spans="2:30" ht="26.25" customHeight="1">
      <c r="B57" s="13"/>
      <c r="C57" s="13"/>
      <c r="D57" s="13"/>
      <c r="E57" s="13"/>
      <c r="F57" s="15"/>
      <c r="G57" s="15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spans="2:30" ht="26.25" customHeight="1">
      <c r="B58" s="13"/>
      <c r="C58" s="13"/>
      <c r="D58" s="13"/>
      <c r="E58" s="13"/>
      <c r="F58" s="15"/>
      <c r="G58" s="15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2:30" ht="26.25" customHeight="1">
      <c r="B59" s="13"/>
      <c r="C59" s="13"/>
      <c r="D59" s="13"/>
      <c r="E59" s="13"/>
      <c r="F59" s="15"/>
      <c r="G59" s="15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spans="2:30" ht="26.25" customHeight="1">
      <c r="B60" s="13"/>
      <c r="C60" s="13"/>
      <c r="D60" s="13"/>
      <c r="E60" s="13"/>
      <c r="F60" s="15"/>
      <c r="G60" s="15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2:30" ht="26.25" customHeight="1">
      <c r="B61" s="13"/>
      <c r="C61" s="13"/>
      <c r="D61" s="13"/>
      <c r="E61" s="13"/>
      <c r="F61" s="15"/>
      <c r="G61" s="15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2:30" ht="26.25" customHeight="1">
      <c r="B62" s="13"/>
      <c r="C62" s="13"/>
      <c r="D62" s="13"/>
      <c r="E62" s="13"/>
      <c r="F62" s="15"/>
      <c r="G62" s="15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spans="2:30" ht="26.25" customHeight="1">
      <c r="B63" s="13"/>
      <c r="C63" s="13"/>
      <c r="D63" s="13"/>
      <c r="E63" s="13"/>
      <c r="F63" s="15"/>
      <c r="G63" s="15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2:30" ht="26.25" customHeight="1">
      <c r="B64" s="13"/>
      <c r="C64" s="13"/>
      <c r="D64" s="13"/>
      <c r="E64" s="13"/>
      <c r="F64" s="15"/>
      <c r="G64" s="15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spans="2:30" ht="26.25" customHeight="1">
      <c r="B65" s="13"/>
      <c r="C65" s="13"/>
      <c r="D65" s="13"/>
      <c r="E65" s="13"/>
      <c r="F65" s="15"/>
      <c r="G65" s="15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2:30" ht="26.25" customHeight="1">
      <c r="B66" s="13"/>
      <c r="C66" s="13"/>
      <c r="D66" s="13"/>
      <c r="E66" s="13"/>
      <c r="F66" s="15"/>
      <c r="G66" s="15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spans="2:30" ht="26.25" customHeight="1">
      <c r="B67" s="13"/>
      <c r="C67" s="13"/>
      <c r="D67" s="13"/>
      <c r="E67" s="13"/>
      <c r="F67" s="15"/>
      <c r="G67" s="15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spans="2:30" ht="26.25" customHeight="1">
      <c r="B68" s="13"/>
      <c r="C68" s="13"/>
      <c r="D68" s="13"/>
      <c r="E68" s="13"/>
      <c r="F68" s="15"/>
      <c r="G68" s="15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2:30" ht="26.25" customHeight="1">
      <c r="B69" s="13"/>
      <c r="C69" s="13"/>
      <c r="D69" s="13"/>
      <c r="E69" s="13"/>
      <c r="F69" s="15"/>
      <c r="G69" s="15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2:30" ht="26.25" customHeight="1">
      <c r="B70" s="13"/>
      <c r="C70" s="13"/>
      <c r="D70" s="13"/>
      <c r="E70" s="13"/>
      <c r="F70" s="15"/>
      <c r="G70" s="15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2:30" ht="26.25" customHeight="1">
      <c r="B71" s="13"/>
      <c r="C71" s="13"/>
      <c r="D71" s="13"/>
      <c r="E71" s="13"/>
      <c r="F71" s="15"/>
      <c r="G71" s="15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2:30" ht="26.25" customHeight="1">
      <c r="B72" s="13"/>
      <c r="C72" s="13"/>
      <c r="D72" s="13"/>
      <c r="E72" s="13"/>
      <c r="F72" s="15"/>
      <c r="G72" s="15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2:30" ht="26.25" customHeight="1">
      <c r="B73" s="13"/>
      <c r="C73" s="13"/>
      <c r="D73" s="13"/>
      <c r="E73" s="13"/>
      <c r="F73" s="15"/>
      <c r="G73" s="15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spans="2:30" ht="26.25" customHeight="1">
      <c r="B74" s="13"/>
      <c r="C74" s="13"/>
      <c r="D74" s="13"/>
      <c r="E74" s="13"/>
      <c r="F74" s="15"/>
      <c r="G74" s="15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2:30" ht="26.25" customHeight="1">
      <c r="B75" s="13"/>
      <c r="C75" s="13"/>
      <c r="D75" s="13"/>
      <c r="E75" s="13"/>
      <c r="F75" s="15"/>
      <c r="G75" s="15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2:30" ht="26.25" customHeight="1">
      <c r="B76" s="13"/>
      <c r="C76" s="13"/>
      <c r="D76" s="13"/>
      <c r="E76" s="13"/>
      <c r="F76" s="15"/>
      <c r="G76" s="15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2:30" ht="26.25" customHeight="1">
      <c r="B77" s="13"/>
      <c r="C77" s="13"/>
      <c r="D77" s="13"/>
      <c r="E77" s="13"/>
      <c r="F77" s="15"/>
      <c r="G77" s="15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2:30" ht="26.25" customHeight="1">
      <c r="B78" s="13"/>
      <c r="C78" s="13"/>
      <c r="D78" s="13"/>
      <c r="E78" s="13"/>
      <c r="F78" s="15"/>
      <c r="G78" s="15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2:30" ht="26.25" customHeight="1">
      <c r="B79" s="13"/>
      <c r="C79" s="13"/>
      <c r="D79" s="13"/>
      <c r="E79" s="13"/>
      <c r="F79" s="15"/>
      <c r="G79" s="15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spans="2:30" ht="26.25" customHeight="1">
      <c r="B80" s="13"/>
      <c r="C80" s="13"/>
      <c r="D80" s="13"/>
      <c r="E80" s="13"/>
      <c r="F80" s="15"/>
      <c r="G80" s="15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2:30" ht="26.25" customHeight="1">
      <c r="B81" s="13"/>
      <c r="C81" s="13"/>
      <c r="D81" s="13"/>
      <c r="E81" s="13"/>
      <c r="F81" s="15"/>
      <c r="G81" s="15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spans="2:30" ht="26.25" customHeight="1">
      <c r="B82" s="13"/>
      <c r="C82" s="13"/>
      <c r="D82" s="13"/>
      <c r="E82" s="13"/>
      <c r="F82" s="15"/>
      <c r="G82" s="15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spans="2:30" ht="26.25" customHeight="1">
      <c r="B83" s="13"/>
      <c r="C83" s="13"/>
      <c r="D83" s="13"/>
      <c r="E83" s="13"/>
      <c r="F83" s="15"/>
      <c r="G83" s="15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spans="2:30" ht="26.25" customHeight="1">
      <c r="B84" s="13"/>
      <c r="C84" s="13"/>
      <c r="D84" s="13"/>
      <c r="E84" s="13"/>
      <c r="F84" s="15"/>
      <c r="G84" s="15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spans="2:30" ht="26.25" customHeight="1">
      <c r="B85" s="13"/>
      <c r="C85" s="13"/>
      <c r="D85" s="13"/>
      <c r="E85" s="13"/>
      <c r="F85" s="15"/>
      <c r="G85" s="15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2:30" ht="26.25" customHeight="1">
      <c r="B86" s="13"/>
      <c r="C86" s="13"/>
      <c r="D86" s="13"/>
      <c r="E86" s="13"/>
      <c r="F86" s="15"/>
      <c r="G86" s="15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spans="2:30" ht="26.25" customHeight="1">
      <c r="B87" s="13"/>
      <c r="C87" s="13"/>
      <c r="D87" s="13"/>
      <c r="E87" s="13"/>
      <c r="F87" s="15"/>
      <c r="G87" s="15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spans="2:30" ht="26.25" customHeight="1">
      <c r="B88" s="13"/>
      <c r="C88" s="13"/>
      <c r="D88" s="13"/>
      <c r="E88" s="13"/>
      <c r="F88" s="15"/>
      <c r="G88" s="15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spans="2:30" ht="26.25" customHeight="1">
      <c r="B89" s="13"/>
      <c r="C89" s="13"/>
      <c r="D89" s="13"/>
      <c r="E89" s="13"/>
      <c r="F89" s="15"/>
      <c r="G89" s="15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spans="2:30" ht="26.25" customHeight="1">
      <c r="B90" s="13"/>
      <c r="C90" s="13"/>
      <c r="D90" s="13"/>
      <c r="E90" s="13"/>
      <c r="F90" s="15"/>
      <c r="G90" s="15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spans="2:30" ht="26.25" customHeight="1">
      <c r="B91" s="13"/>
      <c r="C91" s="13"/>
      <c r="D91" s="13"/>
      <c r="E91" s="13"/>
      <c r="F91" s="15"/>
      <c r="G91" s="15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spans="2:30" ht="26.25" customHeight="1">
      <c r="B92" s="13"/>
      <c r="C92" s="13"/>
      <c r="D92" s="13"/>
      <c r="E92" s="13"/>
      <c r="F92" s="15"/>
      <c r="G92" s="15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spans="2:30" ht="26.25" customHeight="1">
      <c r="B93" s="13"/>
      <c r="C93" s="13"/>
      <c r="D93" s="13"/>
      <c r="E93" s="13"/>
      <c r="F93" s="15"/>
      <c r="G93" s="15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spans="2:30" ht="26.25" customHeight="1">
      <c r="B94" s="13"/>
      <c r="C94" s="13"/>
      <c r="D94" s="13"/>
      <c r="E94" s="13"/>
      <c r="F94" s="15"/>
      <c r="G94" s="15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spans="2:30" ht="26.25" customHeight="1">
      <c r="B95" s="13"/>
      <c r="C95" s="13"/>
      <c r="D95" s="13"/>
      <c r="E95" s="13"/>
      <c r="F95" s="15"/>
      <c r="G95" s="15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spans="2:30" ht="26.25" customHeight="1">
      <c r="B96" s="13"/>
      <c r="C96" s="13"/>
      <c r="D96" s="13"/>
      <c r="E96" s="13"/>
      <c r="F96" s="15"/>
      <c r="G96" s="15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spans="2:30" ht="26.25" customHeight="1">
      <c r="B97" s="13"/>
      <c r="C97" s="13"/>
      <c r="D97" s="13"/>
      <c r="E97" s="13"/>
      <c r="F97" s="15"/>
      <c r="G97" s="15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spans="2:30" ht="26.25" customHeight="1">
      <c r="B98" s="13"/>
      <c r="C98" s="13"/>
      <c r="D98" s="13"/>
      <c r="E98" s="13"/>
      <c r="F98" s="15"/>
      <c r="G98" s="15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spans="2:30" ht="26.25" customHeight="1">
      <c r="B99" s="13"/>
      <c r="C99" s="13"/>
      <c r="D99" s="13"/>
      <c r="E99" s="13"/>
      <c r="F99" s="15"/>
      <c r="G99" s="15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spans="2:30" ht="26.25" customHeight="1">
      <c r="B100" s="13"/>
      <c r="C100" s="13"/>
      <c r="D100" s="13"/>
      <c r="E100" s="13"/>
      <c r="F100" s="15"/>
      <c r="G100" s="15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spans="2:30" ht="26.25" customHeight="1">
      <c r="B101" s="13"/>
      <c r="C101" s="13"/>
      <c r="D101" s="13"/>
      <c r="E101" s="13"/>
      <c r="F101" s="15"/>
      <c r="G101" s="15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spans="2:30" ht="26.25" customHeight="1">
      <c r="B102" s="13"/>
      <c r="C102" s="13"/>
      <c r="D102" s="13"/>
      <c r="E102" s="13"/>
      <c r="F102" s="15"/>
      <c r="G102" s="15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spans="2:30" ht="26.25" customHeight="1">
      <c r="B103" s="13"/>
      <c r="C103" s="13"/>
      <c r="D103" s="13"/>
      <c r="E103" s="13"/>
      <c r="F103" s="15"/>
      <c r="G103" s="15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spans="2:30" ht="26.25" customHeight="1">
      <c r="B104" s="13"/>
      <c r="C104" s="13"/>
      <c r="D104" s="13"/>
      <c r="E104" s="13"/>
      <c r="F104" s="15"/>
      <c r="G104" s="15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spans="2:30" ht="26.25" customHeight="1">
      <c r="B105" s="13"/>
      <c r="C105" s="13"/>
      <c r="D105" s="13"/>
      <c r="E105" s="13"/>
      <c r="F105" s="15"/>
      <c r="G105" s="15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spans="2:30" ht="26.25" customHeight="1">
      <c r="B106" s="13"/>
      <c r="C106" s="13"/>
      <c r="D106" s="13"/>
      <c r="E106" s="13"/>
      <c r="F106" s="15"/>
      <c r="G106" s="15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spans="2:30" ht="26.25" customHeight="1">
      <c r="B107" s="13"/>
      <c r="C107" s="13"/>
      <c r="D107" s="13"/>
      <c r="E107" s="13"/>
      <c r="F107" s="15"/>
      <c r="G107" s="15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spans="2:30" ht="26.25" customHeight="1">
      <c r="B108" s="13"/>
      <c r="C108" s="13"/>
      <c r="D108" s="13"/>
      <c r="E108" s="13"/>
      <c r="F108" s="15"/>
      <c r="G108" s="15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spans="2:30" ht="26.25" customHeight="1">
      <c r="B109" s="13"/>
      <c r="C109" s="13"/>
      <c r="D109" s="13"/>
      <c r="E109" s="13"/>
      <c r="F109" s="15"/>
      <c r="G109" s="15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spans="2:30" ht="26.25" customHeight="1">
      <c r="B110" s="13"/>
      <c r="C110" s="13"/>
      <c r="D110" s="13"/>
      <c r="E110" s="13"/>
      <c r="F110" s="15"/>
      <c r="G110" s="15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spans="2:30" ht="26.25" customHeight="1">
      <c r="B111" s="13"/>
      <c r="C111" s="13"/>
      <c r="D111" s="13"/>
      <c r="E111" s="13"/>
      <c r="F111" s="15"/>
      <c r="G111" s="15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spans="2:30" ht="26.25" customHeight="1">
      <c r="B112" s="13"/>
      <c r="C112" s="13"/>
      <c r="D112" s="13"/>
      <c r="E112" s="13"/>
      <c r="F112" s="15"/>
      <c r="G112" s="15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spans="2:30" ht="26.25" customHeight="1">
      <c r="B113" s="13"/>
      <c r="C113" s="13"/>
      <c r="D113" s="13"/>
      <c r="E113" s="13"/>
      <c r="F113" s="15"/>
      <c r="G113" s="15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spans="2:30" ht="26.25" customHeight="1">
      <c r="B114" s="13"/>
      <c r="C114" s="13"/>
      <c r="D114" s="13"/>
      <c r="E114" s="13"/>
      <c r="F114" s="15"/>
      <c r="G114" s="15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spans="2:30" ht="26.25" customHeight="1">
      <c r="B115" s="13"/>
      <c r="C115" s="13"/>
      <c r="D115" s="13"/>
      <c r="E115" s="13"/>
      <c r="F115" s="15"/>
      <c r="G115" s="15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spans="2:30" ht="26.25" customHeight="1">
      <c r="B116" s="13"/>
      <c r="C116" s="13"/>
      <c r="D116" s="13"/>
      <c r="E116" s="13"/>
      <c r="F116" s="15"/>
      <c r="G116" s="15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spans="2:30" ht="26.25" customHeight="1">
      <c r="B117" s="13"/>
      <c r="C117" s="13"/>
      <c r="D117" s="13"/>
      <c r="E117" s="13"/>
      <c r="F117" s="15"/>
      <c r="G117" s="15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spans="2:30" ht="26.25" customHeight="1">
      <c r="B118" s="13"/>
      <c r="C118" s="13"/>
      <c r="D118" s="13"/>
      <c r="E118" s="13"/>
      <c r="F118" s="15"/>
      <c r="G118" s="15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spans="2:30" ht="26.25" customHeight="1">
      <c r="B119" s="13"/>
      <c r="C119" s="13"/>
      <c r="D119" s="13"/>
      <c r="E119" s="13"/>
      <c r="F119" s="15"/>
      <c r="G119" s="15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spans="2:30" ht="26.25" customHeight="1">
      <c r="B120" s="13"/>
      <c r="C120" s="13"/>
      <c r="D120" s="13"/>
      <c r="E120" s="13"/>
      <c r="F120" s="15"/>
      <c r="G120" s="15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spans="2:30" ht="26.25" customHeight="1">
      <c r="B121" s="13"/>
      <c r="C121" s="13"/>
      <c r="D121" s="13"/>
      <c r="E121" s="13"/>
      <c r="F121" s="15"/>
      <c r="G121" s="15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spans="2:30" ht="26.25" customHeight="1">
      <c r="B122" s="13"/>
      <c r="C122" s="13"/>
      <c r="D122" s="13"/>
      <c r="E122" s="13"/>
      <c r="F122" s="15"/>
      <c r="G122" s="15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spans="2:30" ht="26.25" customHeight="1">
      <c r="B123" s="13"/>
      <c r="C123" s="13"/>
      <c r="D123" s="13"/>
      <c r="E123" s="13"/>
      <c r="F123" s="15"/>
      <c r="G123" s="15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spans="2:30" ht="26.25" customHeight="1">
      <c r="B124" s="13"/>
      <c r="C124" s="13"/>
      <c r="D124" s="13"/>
      <c r="E124" s="13"/>
      <c r="F124" s="15"/>
      <c r="G124" s="15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spans="2:30" ht="26.25" customHeight="1">
      <c r="B125" s="13"/>
      <c r="C125" s="13"/>
      <c r="D125" s="13"/>
      <c r="E125" s="13"/>
      <c r="F125" s="15"/>
      <c r="G125" s="15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spans="2:30" ht="26.25" customHeight="1">
      <c r="B126" s="13"/>
      <c r="C126" s="13"/>
      <c r="D126" s="13"/>
      <c r="E126" s="13"/>
      <c r="F126" s="15"/>
      <c r="G126" s="15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spans="2:30" ht="26.25" customHeight="1">
      <c r="B127" s="13"/>
      <c r="C127" s="13"/>
      <c r="D127" s="13"/>
      <c r="E127" s="13"/>
      <c r="F127" s="15"/>
      <c r="G127" s="15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spans="2:30" ht="26.25" customHeight="1">
      <c r="B128" s="13"/>
      <c r="C128" s="13"/>
      <c r="D128" s="13"/>
      <c r="E128" s="13"/>
      <c r="F128" s="15"/>
      <c r="G128" s="15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spans="2:30" ht="26.25" customHeight="1">
      <c r="B129" s="13"/>
      <c r="C129" s="13"/>
      <c r="D129" s="13"/>
      <c r="E129" s="13"/>
      <c r="F129" s="15"/>
      <c r="G129" s="15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spans="2:30" ht="26.25" customHeight="1">
      <c r="B130" s="13"/>
      <c r="C130" s="13"/>
      <c r="D130" s="13"/>
      <c r="E130" s="13"/>
      <c r="F130" s="15"/>
      <c r="G130" s="15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spans="2:30" ht="26.25" customHeight="1">
      <c r="B131" s="13"/>
      <c r="C131" s="13"/>
      <c r="D131" s="13"/>
      <c r="E131" s="13"/>
      <c r="F131" s="15"/>
      <c r="G131" s="15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spans="2:30" ht="26.25" customHeight="1">
      <c r="B132" s="13"/>
      <c r="C132" s="13"/>
      <c r="D132" s="13"/>
      <c r="E132" s="13"/>
      <c r="F132" s="15"/>
      <c r="G132" s="15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spans="2:30" ht="26.25" customHeight="1">
      <c r="B133" s="13"/>
      <c r="C133" s="13"/>
      <c r="D133" s="13"/>
      <c r="E133" s="13"/>
      <c r="F133" s="15"/>
      <c r="G133" s="15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spans="2:30" ht="26.25" customHeight="1">
      <c r="B134" s="13"/>
      <c r="C134" s="13"/>
      <c r="D134" s="13"/>
      <c r="E134" s="13"/>
      <c r="F134" s="15"/>
      <c r="G134" s="15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spans="2:30" ht="26.25" customHeight="1">
      <c r="B135" s="13"/>
      <c r="C135" s="13"/>
      <c r="D135" s="13"/>
      <c r="E135" s="13"/>
      <c r="F135" s="15"/>
      <c r="G135" s="15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spans="2:30" ht="26.25" customHeight="1">
      <c r="B136" s="13"/>
      <c r="C136" s="13"/>
      <c r="D136" s="13"/>
      <c r="E136" s="13"/>
      <c r="F136" s="15"/>
      <c r="G136" s="15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spans="2:30" ht="26.25" customHeight="1">
      <c r="B137" s="13"/>
      <c r="C137" s="13"/>
      <c r="D137" s="13"/>
      <c r="E137" s="13"/>
      <c r="F137" s="15"/>
      <c r="G137" s="15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2:30" ht="26.25" customHeight="1">
      <c r="B138" s="13"/>
      <c r="C138" s="13"/>
      <c r="D138" s="13"/>
      <c r="E138" s="13"/>
      <c r="F138" s="15"/>
      <c r="G138" s="15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spans="2:30" ht="26.25" customHeight="1">
      <c r="B139" s="13"/>
      <c r="C139" s="13"/>
      <c r="D139" s="13"/>
      <c r="E139" s="13"/>
      <c r="F139" s="15"/>
      <c r="G139" s="15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spans="2:30" ht="26.25" customHeight="1">
      <c r="B140" s="13"/>
      <c r="C140" s="13"/>
      <c r="D140" s="13"/>
      <c r="E140" s="13"/>
      <c r="F140" s="15"/>
      <c r="G140" s="15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spans="2:30" ht="26.25" customHeight="1">
      <c r="B141" s="13"/>
      <c r="C141" s="13"/>
      <c r="D141" s="13"/>
      <c r="E141" s="13"/>
      <c r="F141" s="15"/>
      <c r="G141" s="15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spans="2:30" ht="26.25" customHeight="1">
      <c r="B142" s="13"/>
      <c r="C142" s="13"/>
      <c r="D142" s="13"/>
      <c r="E142" s="13"/>
      <c r="F142" s="15"/>
      <c r="G142" s="15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spans="2:30" ht="26.25" customHeight="1">
      <c r="B143" s="13"/>
      <c r="C143" s="13"/>
      <c r="D143" s="13"/>
      <c r="E143" s="13"/>
      <c r="F143" s="15"/>
      <c r="G143" s="15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2:30" ht="26.25" customHeight="1">
      <c r="B144" s="13"/>
      <c r="C144" s="13"/>
      <c r="D144" s="13"/>
      <c r="E144" s="13"/>
      <c r="F144" s="15"/>
      <c r="G144" s="15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spans="2:30" ht="26.25" customHeight="1">
      <c r="B145" s="13"/>
      <c r="C145" s="13"/>
      <c r="D145" s="13"/>
      <c r="E145" s="13"/>
      <c r="F145" s="15"/>
      <c r="G145" s="15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spans="2:30" ht="26.25" customHeight="1">
      <c r="B146" s="13"/>
      <c r="C146" s="13"/>
      <c r="D146" s="13"/>
      <c r="E146" s="13"/>
      <c r="F146" s="15"/>
      <c r="G146" s="15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spans="2:30" ht="26.25" customHeight="1">
      <c r="B147" s="13"/>
      <c r="C147" s="13"/>
      <c r="D147" s="13"/>
      <c r="E147" s="13"/>
      <c r="F147" s="15"/>
      <c r="G147" s="15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spans="2:30" ht="26.25" customHeight="1">
      <c r="B148" s="13"/>
      <c r="C148" s="13"/>
      <c r="D148" s="13"/>
      <c r="E148" s="13"/>
      <c r="F148" s="15"/>
      <c r="G148" s="15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spans="2:30" ht="26.25" customHeight="1">
      <c r="B149" s="13"/>
      <c r="C149" s="13"/>
      <c r="D149" s="13"/>
      <c r="E149" s="13"/>
      <c r="F149" s="15"/>
      <c r="G149" s="15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spans="2:30" ht="26.25" customHeight="1">
      <c r="B150" s="13"/>
      <c r="C150" s="13"/>
      <c r="D150" s="13"/>
      <c r="E150" s="13"/>
      <c r="F150" s="15"/>
      <c r="G150" s="15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spans="2:30" ht="26.25" customHeight="1">
      <c r="B151" s="13"/>
      <c r="C151" s="13"/>
      <c r="D151" s="13"/>
      <c r="E151" s="13"/>
      <c r="F151" s="15"/>
      <c r="G151" s="15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spans="2:30" ht="26.25" customHeight="1">
      <c r="B152" s="13"/>
      <c r="C152" s="13"/>
      <c r="D152" s="13"/>
      <c r="E152" s="13"/>
      <c r="F152" s="15"/>
      <c r="G152" s="15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spans="2:30" ht="26.25" customHeight="1">
      <c r="B153" s="13"/>
      <c r="C153" s="13"/>
      <c r="D153" s="13"/>
      <c r="E153" s="13"/>
      <c r="F153" s="15"/>
      <c r="G153" s="15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spans="2:30" ht="26.25" customHeight="1">
      <c r="B154" s="13"/>
      <c r="C154" s="13"/>
      <c r="D154" s="13"/>
      <c r="E154" s="13"/>
      <c r="F154" s="15"/>
      <c r="G154" s="15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spans="2:30" ht="26.25" customHeight="1">
      <c r="B155" s="13"/>
      <c r="C155" s="13"/>
      <c r="D155" s="13"/>
      <c r="E155" s="13"/>
      <c r="F155" s="15"/>
      <c r="G155" s="15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spans="2:30" ht="26.25" customHeight="1">
      <c r="B156" s="13"/>
      <c r="C156" s="13"/>
      <c r="D156" s="13"/>
      <c r="E156" s="13"/>
      <c r="F156" s="15"/>
      <c r="G156" s="15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spans="2:30" ht="26.25" customHeight="1">
      <c r="B157" s="13"/>
      <c r="C157" s="13"/>
      <c r="D157" s="13"/>
      <c r="E157" s="13"/>
      <c r="F157" s="15"/>
      <c r="G157" s="15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spans="2:30" ht="26.25" customHeight="1">
      <c r="B158" s="13"/>
      <c r="C158" s="13"/>
      <c r="D158" s="13"/>
      <c r="E158" s="13"/>
      <c r="F158" s="15"/>
      <c r="G158" s="15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spans="2:30" ht="26.25" customHeight="1">
      <c r="B159" s="13"/>
      <c r="C159" s="13"/>
      <c r="D159" s="13"/>
      <c r="E159" s="13"/>
      <c r="F159" s="15"/>
      <c r="G159" s="15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spans="2:30" ht="26.25" customHeight="1">
      <c r="B160" s="13"/>
      <c r="C160" s="13"/>
      <c r="D160" s="13"/>
      <c r="E160" s="13"/>
      <c r="F160" s="15"/>
      <c r="G160" s="15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spans="2:30" ht="26.25" customHeight="1">
      <c r="B161" s="13"/>
      <c r="C161" s="13"/>
      <c r="D161" s="13"/>
      <c r="E161" s="13"/>
      <c r="F161" s="15"/>
      <c r="G161" s="15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2:30" ht="26.25" customHeight="1">
      <c r="B162" s="13"/>
      <c r="C162" s="13"/>
      <c r="D162" s="13"/>
      <c r="E162" s="13"/>
      <c r="F162" s="15"/>
      <c r="G162" s="15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spans="2:30" ht="26.25" customHeight="1">
      <c r="B163" s="13"/>
      <c r="C163" s="13"/>
      <c r="D163" s="13"/>
      <c r="E163" s="13"/>
      <c r="F163" s="15"/>
      <c r="G163" s="15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spans="2:30" ht="26.25" customHeight="1">
      <c r="B164" s="13"/>
      <c r="C164" s="13"/>
      <c r="D164" s="13"/>
      <c r="E164" s="13"/>
      <c r="F164" s="15"/>
      <c r="G164" s="15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spans="2:30" ht="26.25" customHeight="1">
      <c r="B165" s="13"/>
      <c r="C165" s="13"/>
      <c r="D165" s="13"/>
      <c r="E165" s="13"/>
      <c r="F165" s="15"/>
      <c r="G165" s="15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spans="2:30" ht="26.25" customHeight="1">
      <c r="B166" s="13"/>
      <c r="C166" s="13"/>
      <c r="D166" s="13"/>
      <c r="E166" s="13"/>
      <c r="F166" s="15"/>
      <c r="G166" s="15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spans="2:30" ht="26.25" customHeight="1">
      <c r="B167" s="13"/>
      <c r="C167" s="13"/>
      <c r="D167" s="13"/>
      <c r="E167" s="13"/>
      <c r="F167" s="15"/>
      <c r="G167" s="15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spans="2:30" ht="26.25" customHeight="1">
      <c r="B168" s="13"/>
      <c r="C168" s="13"/>
      <c r="D168" s="13"/>
      <c r="E168" s="13"/>
      <c r="F168" s="15"/>
      <c r="G168" s="15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spans="2:30" ht="26.25" customHeight="1">
      <c r="B169" s="13"/>
      <c r="C169" s="13"/>
      <c r="D169" s="13"/>
      <c r="E169" s="13"/>
      <c r="F169" s="15"/>
      <c r="G169" s="15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2:30" ht="26.25" customHeight="1">
      <c r="B170" s="13"/>
      <c r="C170" s="13"/>
      <c r="D170" s="13"/>
      <c r="E170" s="13"/>
      <c r="F170" s="15"/>
      <c r="G170" s="15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spans="2:30" ht="26.25" customHeight="1">
      <c r="B171" s="13"/>
      <c r="C171" s="13"/>
      <c r="D171" s="13"/>
      <c r="E171" s="13"/>
      <c r="F171" s="15"/>
      <c r="G171" s="15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spans="2:30" ht="26.25" customHeight="1">
      <c r="B172" s="13"/>
      <c r="C172" s="13"/>
      <c r="D172" s="13"/>
      <c r="E172" s="13"/>
      <c r="F172" s="15"/>
      <c r="G172" s="15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spans="2:30" ht="26.25" customHeight="1">
      <c r="B173" s="13"/>
      <c r="C173" s="13"/>
      <c r="D173" s="13"/>
      <c r="E173" s="13"/>
      <c r="F173" s="15"/>
      <c r="G173" s="15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spans="2:30" ht="26.25" customHeight="1">
      <c r="B174" s="13"/>
      <c r="C174" s="13"/>
      <c r="D174" s="13"/>
      <c r="E174" s="13"/>
      <c r="F174" s="15"/>
      <c r="G174" s="15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spans="2:30" ht="26.25" customHeight="1">
      <c r="B175" s="13"/>
      <c r="C175" s="13"/>
      <c r="D175" s="13"/>
      <c r="E175" s="13"/>
      <c r="F175" s="15"/>
      <c r="G175" s="15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spans="2:30" ht="26.25" customHeight="1">
      <c r="B176" s="13"/>
      <c r="C176" s="13"/>
      <c r="D176" s="13"/>
      <c r="E176" s="13"/>
      <c r="F176" s="15"/>
      <c r="G176" s="15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spans="2:30" ht="26.25" customHeight="1">
      <c r="B177" s="13"/>
      <c r="C177" s="13"/>
      <c r="D177" s="13"/>
      <c r="E177" s="13"/>
      <c r="F177" s="15"/>
      <c r="G177" s="15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spans="2:30" ht="26.25" customHeight="1">
      <c r="B178" s="13"/>
      <c r="C178" s="13"/>
      <c r="D178" s="13"/>
      <c r="E178" s="13"/>
      <c r="F178" s="15"/>
      <c r="G178" s="15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spans="2:30" ht="26.25" customHeight="1">
      <c r="B179" s="13"/>
      <c r="C179" s="13"/>
      <c r="D179" s="13"/>
      <c r="E179" s="13"/>
      <c r="F179" s="15"/>
      <c r="G179" s="15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spans="2:30" ht="26.25" customHeight="1">
      <c r="B180" s="13"/>
      <c r="C180" s="13"/>
      <c r="D180" s="13"/>
      <c r="E180" s="13"/>
      <c r="F180" s="15"/>
      <c r="G180" s="15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spans="2:30" ht="26.25" customHeight="1">
      <c r="B181" s="13"/>
      <c r="C181" s="13"/>
      <c r="D181" s="13"/>
      <c r="E181" s="13"/>
      <c r="F181" s="15"/>
      <c r="G181" s="15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spans="2:30" ht="26.25" customHeight="1">
      <c r="B182" s="13"/>
      <c r="C182" s="13"/>
      <c r="D182" s="13"/>
      <c r="E182" s="13"/>
      <c r="F182" s="15"/>
      <c r="G182" s="15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spans="2:30" ht="26.25" customHeight="1">
      <c r="B183" s="13"/>
      <c r="C183" s="13"/>
      <c r="D183" s="13"/>
      <c r="E183" s="13"/>
      <c r="F183" s="15"/>
      <c r="G183" s="15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spans="2:30" ht="26.25" customHeight="1">
      <c r="B184" s="13"/>
      <c r="C184" s="13"/>
      <c r="D184" s="13"/>
      <c r="E184" s="13"/>
      <c r="F184" s="15"/>
      <c r="G184" s="15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spans="2:30" ht="26.25" customHeight="1">
      <c r="B185" s="13"/>
      <c r="C185" s="13"/>
      <c r="D185" s="13"/>
      <c r="E185" s="13"/>
      <c r="F185" s="15"/>
      <c r="G185" s="15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spans="2:30" ht="26.25" customHeight="1">
      <c r="B186" s="13"/>
      <c r="C186" s="13"/>
      <c r="D186" s="13"/>
      <c r="E186" s="13"/>
      <c r="F186" s="15"/>
      <c r="G186" s="15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spans="2:30" ht="26.25" customHeight="1">
      <c r="B187" s="13"/>
      <c r="C187" s="13"/>
      <c r="D187" s="13"/>
      <c r="E187" s="13"/>
      <c r="F187" s="15"/>
      <c r="G187" s="15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spans="2:30" ht="26.25" customHeight="1">
      <c r="B188" s="13"/>
      <c r="C188" s="13"/>
      <c r="D188" s="13"/>
      <c r="E188" s="13"/>
      <c r="F188" s="15"/>
      <c r="G188" s="15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spans="2:30" ht="26.25" customHeight="1">
      <c r="B189" s="13"/>
      <c r="C189" s="13"/>
      <c r="D189" s="13"/>
      <c r="E189" s="13"/>
      <c r="F189" s="15"/>
      <c r="G189" s="15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spans="2:30" ht="26.25" customHeight="1">
      <c r="B190" s="13"/>
      <c r="C190" s="13"/>
      <c r="D190" s="13"/>
      <c r="E190" s="13"/>
      <c r="F190" s="15"/>
      <c r="G190" s="15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spans="2:30" ht="26.25" customHeight="1">
      <c r="B191" s="13"/>
      <c r="C191" s="13"/>
      <c r="D191" s="13"/>
      <c r="E191" s="13"/>
      <c r="F191" s="15"/>
      <c r="G191" s="15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spans="2:30" ht="26.25" customHeight="1">
      <c r="B192" s="13"/>
      <c r="C192" s="13"/>
      <c r="D192" s="13"/>
      <c r="E192" s="13"/>
      <c r="F192" s="15"/>
      <c r="G192" s="15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spans="2:30" ht="26.25" customHeight="1">
      <c r="B193" s="13"/>
      <c r="C193" s="13"/>
      <c r="D193" s="13"/>
      <c r="E193" s="13"/>
      <c r="F193" s="15"/>
      <c r="G193" s="15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spans="2:30" ht="26.25" customHeight="1">
      <c r="B194" s="13"/>
      <c r="C194" s="13"/>
      <c r="D194" s="13"/>
      <c r="E194" s="13"/>
      <c r="F194" s="15"/>
      <c r="G194" s="15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spans="2:30" ht="26.25" customHeight="1">
      <c r="B195" s="13"/>
      <c r="C195" s="13"/>
      <c r="D195" s="13"/>
      <c r="E195" s="13"/>
      <c r="F195" s="15"/>
      <c r="G195" s="15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spans="2:30" ht="26.25" customHeight="1">
      <c r="B196" s="13"/>
      <c r="C196" s="13"/>
      <c r="D196" s="13"/>
      <c r="E196" s="13"/>
      <c r="F196" s="15"/>
      <c r="G196" s="15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spans="2:30" ht="26.25" customHeight="1">
      <c r="B197" s="13"/>
      <c r="C197" s="13"/>
      <c r="D197" s="13"/>
      <c r="E197" s="13"/>
      <c r="F197" s="15"/>
      <c r="G197" s="15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spans="2:30" ht="26.25" customHeight="1">
      <c r="B198" s="13"/>
      <c r="C198" s="13"/>
      <c r="D198" s="13"/>
      <c r="E198" s="13"/>
      <c r="F198" s="15"/>
      <c r="G198" s="15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spans="2:30" ht="26.25" customHeight="1">
      <c r="B199" s="13"/>
      <c r="C199" s="13"/>
      <c r="D199" s="13"/>
      <c r="E199" s="13"/>
      <c r="F199" s="15"/>
      <c r="G199" s="15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spans="2:30" ht="26.25" customHeight="1">
      <c r="B200" s="13"/>
      <c r="C200" s="13"/>
      <c r="D200" s="13"/>
      <c r="E200" s="13"/>
      <c r="F200" s="15"/>
      <c r="G200" s="15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spans="2:30" ht="26.25" customHeight="1">
      <c r="B201" s="13"/>
      <c r="C201" s="13"/>
      <c r="D201" s="13"/>
      <c r="E201" s="13"/>
      <c r="F201" s="15"/>
      <c r="G201" s="15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spans="2:30" ht="26.25" customHeight="1">
      <c r="B202" s="13"/>
      <c r="C202" s="13"/>
      <c r="D202" s="13"/>
      <c r="E202" s="13"/>
      <c r="F202" s="15"/>
      <c r="G202" s="15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2:30" ht="26.25" customHeight="1">
      <c r="B203" s="13"/>
      <c r="C203" s="13"/>
      <c r="D203" s="13"/>
      <c r="E203" s="13"/>
      <c r="F203" s="15"/>
      <c r="G203" s="15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2:30" ht="26.25" customHeight="1">
      <c r="B204" s="13"/>
      <c r="C204" s="13"/>
      <c r="D204" s="13"/>
      <c r="E204" s="13"/>
      <c r="F204" s="15"/>
      <c r="G204" s="15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2:30" ht="26.25" customHeight="1">
      <c r="B205" s="13"/>
      <c r="C205" s="13"/>
      <c r="D205" s="13"/>
      <c r="E205" s="13"/>
      <c r="F205" s="15"/>
      <c r="G205" s="15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2:30" ht="26.25" customHeight="1">
      <c r="B206" s="13"/>
      <c r="C206" s="13"/>
      <c r="D206" s="13"/>
      <c r="E206" s="13"/>
      <c r="F206" s="15"/>
      <c r="G206" s="15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2:30" ht="26.25" customHeight="1">
      <c r="B207" s="13"/>
      <c r="C207" s="13"/>
      <c r="D207" s="13"/>
      <c r="E207" s="13"/>
      <c r="F207" s="15"/>
      <c r="G207" s="15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2:30" ht="26.25" customHeight="1">
      <c r="B208" s="13"/>
      <c r="C208" s="13"/>
      <c r="D208" s="13"/>
      <c r="E208" s="13"/>
      <c r="F208" s="15"/>
      <c r="G208" s="15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2:30" ht="26.25" customHeight="1">
      <c r="B209" s="13"/>
      <c r="C209" s="13"/>
      <c r="D209" s="13"/>
      <c r="E209" s="13"/>
      <c r="F209" s="15"/>
      <c r="G209" s="15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2:30" ht="26.25" customHeight="1">
      <c r="B210" s="13"/>
      <c r="C210" s="13"/>
      <c r="D210" s="13"/>
      <c r="E210" s="13"/>
      <c r="F210" s="15"/>
      <c r="G210" s="15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spans="2:30" ht="26.25" customHeight="1">
      <c r="B211" s="13"/>
      <c r="C211" s="13"/>
      <c r="D211" s="13"/>
      <c r="E211" s="13"/>
      <c r="F211" s="15"/>
      <c r="G211" s="15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spans="2:30" ht="26.25" customHeight="1">
      <c r="B212" s="13"/>
      <c r="C212" s="13"/>
      <c r="D212" s="13"/>
      <c r="E212" s="13"/>
      <c r="F212" s="15"/>
      <c r="G212" s="15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spans="2:30" ht="26.25" customHeight="1">
      <c r="B213" s="13"/>
      <c r="C213" s="13"/>
      <c r="D213" s="13"/>
      <c r="E213" s="13"/>
      <c r="F213" s="15"/>
      <c r="G213" s="15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spans="2:30" ht="26.25" customHeight="1">
      <c r="B214" s="13"/>
      <c r="C214" s="13"/>
      <c r="D214" s="13"/>
      <c r="E214" s="13"/>
      <c r="F214" s="15"/>
      <c r="G214" s="15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spans="2:30" ht="26.25" customHeight="1">
      <c r="B215" s="13"/>
      <c r="C215" s="13"/>
      <c r="D215" s="13"/>
      <c r="E215" s="13"/>
      <c r="F215" s="15"/>
      <c r="G215" s="15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spans="2:30" ht="26.25" customHeight="1">
      <c r="B216" s="13"/>
      <c r="C216" s="13"/>
      <c r="D216" s="13"/>
      <c r="E216" s="13"/>
      <c r="F216" s="15"/>
      <c r="G216" s="15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spans="2:30" ht="26.25" customHeight="1">
      <c r="B217" s="13"/>
      <c r="C217" s="13"/>
      <c r="D217" s="13"/>
      <c r="E217" s="13"/>
      <c r="F217" s="15"/>
      <c r="G217" s="15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spans="2:30" ht="26.25" customHeight="1">
      <c r="B218" s="13"/>
      <c r="C218" s="13"/>
      <c r="D218" s="13"/>
      <c r="E218" s="13"/>
      <c r="F218" s="15"/>
      <c r="G218" s="15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spans="2:30" ht="26.25" customHeight="1">
      <c r="B219" s="13"/>
      <c r="C219" s="13"/>
      <c r="D219" s="13"/>
      <c r="E219" s="13"/>
      <c r="F219" s="15"/>
      <c r="G219" s="15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spans="2:30" ht="26.25" customHeight="1">
      <c r="B220" s="13"/>
      <c r="C220" s="13"/>
      <c r="D220" s="13"/>
      <c r="E220" s="13"/>
      <c r="F220" s="15"/>
      <c r="G220" s="15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spans="2:30" ht="26.25" customHeight="1">
      <c r="B221" s="13"/>
      <c r="C221" s="13"/>
      <c r="D221" s="13"/>
      <c r="E221" s="13"/>
      <c r="F221" s="15"/>
      <c r="G221" s="15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spans="2:30" ht="26.25" customHeight="1">
      <c r="B222" s="13"/>
      <c r="C222" s="13"/>
      <c r="D222" s="13"/>
      <c r="E222" s="13"/>
      <c r="F222" s="15"/>
      <c r="G222" s="15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spans="2:30" ht="26.25" customHeight="1">
      <c r="B223" s="13"/>
      <c r="C223" s="13"/>
      <c r="D223" s="13"/>
      <c r="E223" s="13"/>
      <c r="F223" s="15"/>
      <c r="G223" s="15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spans="2:30" ht="26.25" customHeight="1">
      <c r="B224" s="13"/>
      <c r="C224" s="13"/>
      <c r="D224" s="13"/>
      <c r="E224" s="13"/>
      <c r="F224" s="15"/>
      <c r="G224" s="15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spans="2:30" ht="26.25" customHeight="1">
      <c r="B225" s="13"/>
      <c r="C225" s="13"/>
      <c r="D225" s="13"/>
      <c r="E225" s="13"/>
      <c r="F225" s="15"/>
      <c r="G225" s="15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spans="2:30" ht="26.25" customHeight="1">
      <c r="B226" s="13"/>
      <c r="C226" s="13"/>
      <c r="D226" s="13"/>
      <c r="E226" s="13"/>
      <c r="F226" s="15"/>
      <c r="G226" s="15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spans="2:30" ht="26.25" customHeight="1">
      <c r="B227" s="13"/>
      <c r="C227" s="13"/>
      <c r="D227" s="13"/>
      <c r="E227" s="13"/>
      <c r="F227" s="15"/>
      <c r="G227" s="15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spans="2:30" ht="26.25" customHeight="1">
      <c r="B228" s="13"/>
      <c r="C228" s="13"/>
      <c r="D228" s="13"/>
      <c r="E228" s="13"/>
      <c r="F228" s="15"/>
      <c r="G228" s="15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spans="2:30" ht="26.25" customHeight="1">
      <c r="B229" s="13"/>
      <c r="C229" s="13"/>
      <c r="D229" s="13"/>
      <c r="E229" s="13"/>
      <c r="F229" s="15"/>
      <c r="G229" s="15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spans="2:30" ht="26.25" customHeight="1">
      <c r="B230" s="13"/>
      <c r="C230" s="13"/>
      <c r="D230" s="13"/>
      <c r="E230" s="13"/>
      <c r="F230" s="15"/>
      <c r="G230" s="15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spans="2:30" ht="26.25" customHeight="1">
      <c r="B231" s="13"/>
      <c r="C231" s="13"/>
      <c r="D231" s="13"/>
      <c r="E231" s="13"/>
      <c r="F231" s="15"/>
      <c r="G231" s="15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spans="2:30" ht="26.25" customHeight="1">
      <c r="B232" s="13"/>
      <c r="C232" s="13"/>
      <c r="D232" s="13"/>
      <c r="E232" s="13"/>
      <c r="F232" s="15"/>
      <c r="G232" s="15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spans="2:30" ht="26.25" customHeight="1">
      <c r="B233" s="13"/>
      <c r="C233" s="13"/>
      <c r="D233" s="13"/>
      <c r="E233" s="13"/>
      <c r="F233" s="15"/>
      <c r="G233" s="15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spans="2:30" ht="26.25" customHeight="1">
      <c r="B234" s="13"/>
      <c r="C234" s="13"/>
      <c r="D234" s="13"/>
      <c r="E234" s="13"/>
      <c r="F234" s="15"/>
      <c r="G234" s="15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spans="2:30" ht="26.25" customHeight="1">
      <c r="B235" s="13"/>
      <c r="C235" s="13"/>
      <c r="D235" s="13"/>
      <c r="E235" s="13"/>
      <c r="F235" s="15"/>
      <c r="G235" s="15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spans="2:30" ht="26.25" customHeight="1">
      <c r="B236" s="13"/>
      <c r="C236" s="13"/>
      <c r="D236" s="13"/>
      <c r="E236" s="13"/>
      <c r="F236" s="15"/>
      <c r="G236" s="15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spans="2:30" ht="26.25" customHeight="1">
      <c r="B237" s="13"/>
      <c r="C237" s="13"/>
      <c r="D237" s="13"/>
      <c r="E237" s="13"/>
      <c r="F237" s="15"/>
      <c r="G237" s="15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spans="2:30" ht="26.25" customHeight="1">
      <c r="B238" s="13"/>
      <c r="C238" s="13"/>
      <c r="D238" s="13"/>
      <c r="E238" s="13"/>
      <c r="F238" s="15"/>
      <c r="G238" s="15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spans="2:30" ht="26.25" customHeight="1">
      <c r="B239" s="13"/>
      <c r="C239" s="13"/>
      <c r="D239" s="13"/>
      <c r="E239" s="13"/>
      <c r="F239" s="15"/>
      <c r="G239" s="15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spans="2:30" ht="26.25" customHeight="1">
      <c r="B240" s="13"/>
      <c r="C240" s="13"/>
      <c r="D240" s="13"/>
      <c r="E240" s="13"/>
      <c r="F240" s="15"/>
      <c r="G240" s="15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spans="2:30" ht="26.25" customHeight="1">
      <c r="B241" s="13"/>
      <c r="C241" s="13"/>
      <c r="D241" s="13"/>
      <c r="E241" s="13"/>
      <c r="F241" s="15"/>
      <c r="G241" s="15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spans="2:30" ht="26.25" customHeight="1">
      <c r="B242" s="13"/>
      <c r="C242" s="13"/>
      <c r="D242" s="13"/>
      <c r="E242" s="13"/>
      <c r="F242" s="15"/>
      <c r="G242" s="15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spans="2:30" ht="26.25" customHeight="1">
      <c r="B243" s="13"/>
      <c r="C243" s="13"/>
      <c r="D243" s="13"/>
      <c r="E243" s="13"/>
      <c r="F243" s="15"/>
      <c r="G243" s="15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spans="2:30" ht="26.25" customHeight="1">
      <c r="B244" s="13"/>
      <c r="C244" s="13"/>
      <c r="D244" s="13"/>
      <c r="E244" s="13"/>
      <c r="F244" s="15"/>
      <c r="G244" s="15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spans="2:30" ht="26.25" customHeight="1">
      <c r="B245" s="13"/>
      <c r="C245" s="13"/>
      <c r="D245" s="13"/>
      <c r="E245" s="13"/>
      <c r="F245" s="15"/>
      <c r="G245" s="15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spans="2:30" ht="26.25" customHeight="1">
      <c r="B246" s="13"/>
      <c r="C246" s="13"/>
      <c r="D246" s="13"/>
      <c r="E246" s="13"/>
      <c r="F246" s="15"/>
      <c r="G246" s="15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spans="2:30" ht="26.25" customHeight="1">
      <c r="B247" s="13"/>
      <c r="C247" s="13"/>
      <c r="D247" s="13"/>
      <c r="E247" s="13"/>
      <c r="F247" s="15"/>
      <c r="G247" s="15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spans="2:30" ht="26.25" customHeight="1">
      <c r="B248" s="13"/>
      <c r="C248" s="13"/>
      <c r="D248" s="13"/>
      <c r="E248" s="13"/>
      <c r="F248" s="15"/>
      <c r="G248" s="15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spans="2:30" ht="26.25" customHeight="1">
      <c r="B249" s="13"/>
      <c r="C249" s="13"/>
      <c r="D249" s="13"/>
      <c r="E249" s="13"/>
      <c r="F249" s="15"/>
      <c r="G249" s="15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spans="2:30" ht="26.25" customHeight="1">
      <c r="B250" s="13"/>
      <c r="C250" s="13"/>
      <c r="D250" s="13"/>
      <c r="E250" s="13"/>
      <c r="F250" s="15"/>
      <c r="G250" s="15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spans="2:30" ht="26.25" customHeight="1">
      <c r="B251" s="13"/>
      <c r="C251" s="13"/>
      <c r="D251" s="13"/>
      <c r="E251" s="13"/>
      <c r="F251" s="15"/>
      <c r="G251" s="15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spans="2:30" ht="26.25" customHeight="1">
      <c r="B252" s="13"/>
      <c r="C252" s="13"/>
      <c r="D252" s="13"/>
      <c r="E252" s="13"/>
      <c r="F252" s="15"/>
      <c r="G252" s="15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spans="2:30" ht="26.25" customHeight="1">
      <c r="B253" s="13"/>
      <c r="C253" s="13"/>
      <c r="D253" s="13"/>
      <c r="E253" s="13"/>
      <c r="F253" s="15"/>
      <c r="G253" s="15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spans="2:30" ht="26.25" customHeight="1">
      <c r="B254" s="13"/>
      <c r="C254" s="13"/>
      <c r="D254" s="13"/>
      <c r="E254" s="13"/>
      <c r="F254" s="15"/>
      <c r="G254" s="15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spans="2:30" ht="26.25" customHeight="1">
      <c r="B255" s="13"/>
      <c r="C255" s="13"/>
      <c r="D255" s="13"/>
      <c r="E255" s="13"/>
      <c r="F255" s="15"/>
      <c r="G255" s="15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spans="2:30" ht="26.25" customHeight="1">
      <c r="B256" s="13"/>
      <c r="C256" s="13"/>
      <c r="D256" s="13"/>
      <c r="E256" s="13"/>
      <c r="F256" s="15"/>
      <c r="G256" s="15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spans="2:30" ht="26.25" customHeight="1">
      <c r="B257" s="13"/>
      <c r="C257" s="13"/>
      <c r="D257" s="13"/>
      <c r="E257" s="13"/>
      <c r="F257" s="15"/>
      <c r="G257" s="15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spans="2:30" ht="26.25" customHeight="1">
      <c r="B258" s="13"/>
      <c r="C258" s="13"/>
      <c r="D258" s="13"/>
      <c r="E258" s="13"/>
      <c r="F258" s="15"/>
      <c r="G258" s="15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spans="2:30" ht="26.25" customHeight="1">
      <c r="B259" s="13"/>
      <c r="C259" s="13"/>
      <c r="D259" s="13"/>
      <c r="E259" s="13"/>
      <c r="F259" s="15"/>
      <c r="G259" s="15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spans="2:30" ht="26.25" customHeight="1">
      <c r="B260" s="13"/>
      <c r="C260" s="13"/>
      <c r="D260" s="13"/>
      <c r="E260" s="13"/>
      <c r="F260" s="15"/>
      <c r="G260" s="15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spans="2:30" ht="26.25" customHeight="1">
      <c r="B261" s="13"/>
      <c r="C261" s="13"/>
      <c r="D261" s="13"/>
      <c r="E261" s="13"/>
      <c r="F261" s="15"/>
      <c r="G261" s="15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spans="2:30" ht="26.25" customHeight="1">
      <c r="B262" s="13"/>
      <c r="C262" s="13"/>
      <c r="D262" s="13"/>
      <c r="E262" s="13"/>
      <c r="F262" s="15"/>
      <c r="G262" s="15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spans="2:30" ht="26.25" customHeight="1">
      <c r="B263" s="13"/>
      <c r="C263" s="13"/>
      <c r="D263" s="13"/>
      <c r="E263" s="13"/>
      <c r="F263" s="15"/>
      <c r="G263" s="15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spans="2:30" ht="26.25" customHeight="1">
      <c r="B264" s="13"/>
      <c r="C264" s="13"/>
      <c r="D264" s="13"/>
      <c r="E264" s="13"/>
      <c r="F264" s="15"/>
      <c r="G264" s="15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spans="2:30" ht="26.25" customHeight="1">
      <c r="B265" s="13"/>
      <c r="C265" s="13"/>
      <c r="D265" s="13"/>
      <c r="E265" s="13"/>
      <c r="F265" s="15"/>
      <c r="G265" s="15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spans="2:30" ht="26.25" customHeight="1">
      <c r="B266" s="13"/>
      <c r="C266" s="13"/>
      <c r="D266" s="13"/>
      <c r="E266" s="13"/>
      <c r="F266" s="15"/>
      <c r="G266" s="15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spans="2:30" ht="26.25" customHeight="1">
      <c r="B267" s="13"/>
      <c r="C267" s="13"/>
      <c r="D267" s="13"/>
      <c r="E267" s="13"/>
      <c r="F267" s="15"/>
      <c r="G267" s="15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spans="2:30" ht="26.25" customHeight="1">
      <c r="B268" s="13"/>
      <c r="C268" s="13"/>
      <c r="D268" s="13"/>
      <c r="E268" s="13"/>
      <c r="F268" s="15"/>
      <c r="G268" s="15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spans="2:30" ht="26.25" customHeight="1">
      <c r="B269" s="13"/>
      <c r="C269" s="13"/>
      <c r="D269" s="13"/>
      <c r="E269" s="13"/>
      <c r="F269" s="15"/>
      <c r="G269" s="15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spans="2:30" ht="26.25" customHeight="1">
      <c r="B270" s="13"/>
      <c r="C270" s="13"/>
      <c r="D270" s="13"/>
      <c r="E270" s="13"/>
      <c r="F270" s="15"/>
      <c r="G270" s="15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spans="2:30" ht="26.25" customHeight="1">
      <c r="B271" s="13"/>
      <c r="C271" s="13"/>
      <c r="D271" s="13"/>
      <c r="E271" s="13"/>
      <c r="F271" s="15"/>
      <c r="G271" s="15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spans="2:30" ht="26.25" customHeight="1">
      <c r="B272" s="13"/>
      <c r="C272" s="13"/>
      <c r="D272" s="13"/>
      <c r="E272" s="13"/>
      <c r="F272" s="15"/>
      <c r="G272" s="15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spans="2:30" ht="26.25" customHeight="1">
      <c r="B273" s="13"/>
      <c r="C273" s="13"/>
      <c r="D273" s="13"/>
      <c r="E273" s="13"/>
      <c r="F273" s="15"/>
      <c r="G273" s="15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spans="2:30" ht="26.25" customHeight="1">
      <c r="B274" s="13"/>
      <c r="C274" s="13"/>
      <c r="D274" s="13"/>
      <c r="E274" s="13"/>
      <c r="F274" s="15"/>
      <c r="G274" s="15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spans="2:30" ht="26.25" customHeight="1">
      <c r="B275" s="13"/>
      <c r="C275" s="13"/>
      <c r="D275" s="13"/>
      <c r="E275" s="13"/>
      <c r="F275" s="15"/>
      <c r="G275" s="15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spans="2:30" ht="26.25" customHeight="1">
      <c r="B276" s="13"/>
      <c r="C276" s="13"/>
      <c r="D276" s="13"/>
      <c r="E276" s="13"/>
      <c r="F276" s="15"/>
      <c r="G276" s="15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spans="2:30" ht="26.25" customHeight="1">
      <c r="B277" s="13"/>
      <c r="C277" s="13"/>
      <c r="D277" s="13"/>
      <c r="E277" s="13"/>
      <c r="F277" s="15"/>
      <c r="G277" s="15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spans="2:30" ht="26.25" customHeight="1">
      <c r="B278" s="13"/>
      <c r="C278" s="13"/>
      <c r="D278" s="13"/>
      <c r="E278" s="13"/>
      <c r="F278" s="15"/>
      <c r="G278" s="15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spans="2:30" ht="26.25" customHeight="1">
      <c r="B279" s="13"/>
      <c r="C279" s="13"/>
      <c r="D279" s="13"/>
      <c r="E279" s="13"/>
      <c r="F279" s="15"/>
      <c r="G279" s="15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spans="2:30" ht="26.25" customHeight="1">
      <c r="B280" s="13"/>
      <c r="C280" s="13"/>
      <c r="D280" s="13"/>
      <c r="E280" s="13"/>
      <c r="F280" s="15"/>
      <c r="G280" s="15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spans="2:30" ht="26.25" customHeight="1">
      <c r="B281" s="13"/>
      <c r="C281" s="13"/>
      <c r="D281" s="13"/>
      <c r="E281" s="13"/>
      <c r="F281" s="15"/>
      <c r="G281" s="15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spans="2:30" ht="26.25" customHeight="1">
      <c r="B282" s="13"/>
      <c r="C282" s="13"/>
      <c r="D282" s="13"/>
      <c r="E282" s="13"/>
      <c r="F282" s="15"/>
      <c r="G282" s="15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spans="2:30" ht="26.25" customHeight="1">
      <c r="B283" s="13"/>
      <c r="C283" s="13"/>
      <c r="D283" s="13"/>
      <c r="E283" s="13"/>
      <c r="F283" s="15"/>
      <c r="G283" s="15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spans="2:30" ht="26.25" customHeight="1">
      <c r="B284" s="13"/>
      <c r="C284" s="13"/>
      <c r="D284" s="13"/>
      <c r="E284" s="13"/>
      <c r="F284" s="15"/>
      <c r="G284" s="15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spans="2:30" ht="26.25" customHeight="1">
      <c r="B285" s="13"/>
      <c r="C285" s="13"/>
      <c r="D285" s="13"/>
      <c r="E285" s="13"/>
      <c r="F285" s="15"/>
      <c r="G285" s="15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spans="2:30" ht="26.25" customHeight="1">
      <c r="B286" s="13"/>
      <c r="C286" s="13"/>
      <c r="D286" s="13"/>
      <c r="E286" s="13"/>
      <c r="F286" s="15"/>
      <c r="G286" s="15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spans="2:30" ht="26.25" customHeight="1">
      <c r="B287" s="13"/>
      <c r="C287" s="13"/>
      <c r="D287" s="13"/>
      <c r="E287" s="13"/>
      <c r="F287" s="15"/>
      <c r="G287" s="15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spans="2:30" ht="26.25" customHeight="1">
      <c r="B288" s="13"/>
      <c r="C288" s="13"/>
      <c r="D288" s="13"/>
      <c r="E288" s="13"/>
      <c r="F288" s="15"/>
      <c r="G288" s="15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spans="2:30" ht="26.25" customHeight="1">
      <c r="B289" s="13"/>
      <c r="C289" s="13"/>
      <c r="D289" s="13"/>
      <c r="E289" s="13"/>
      <c r="F289" s="15"/>
      <c r="G289" s="15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spans="2:30" ht="26.25" customHeight="1">
      <c r="B290" s="13"/>
      <c r="C290" s="13"/>
      <c r="D290" s="13"/>
      <c r="E290" s="13"/>
      <c r="F290" s="15"/>
      <c r="G290" s="15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spans="2:30" ht="26.25" customHeight="1">
      <c r="B291" s="13"/>
      <c r="C291" s="13"/>
      <c r="D291" s="13"/>
      <c r="E291" s="13"/>
      <c r="F291" s="15"/>
      <c r="G291" s="15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spans="2:30" ht="26.25" customHeight="1">
      <c r="B292" s="13"/>
      <c r="C292" s="13"/>
      <c r="D292" s="13"/>
      <c r="E292" s="13"/>
      <c r="F292" s="15"/>
      <c r="G292" s="15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spans="2:30" ht="26.25" customHeight="1">
      <c r="B293" s="13"/>
      <c r="C293" s="13"/>
      <c r="D293" s="13"/>
      <c r="E293" s="13"/>
      <c r="F293" s="15"/>
      <c r="G293" s="15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spans="2:30" ht="26.25" customHeight="1">
      <c r="B294" s="13"/>
      <c r="C294" s="13"/>
      <c r="D294" s="13"/>
      <c r="E294" s="13"/>
      <c r="F294" s="15"/>
      <c r="G294" s="15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spans="2:30" ht="26.25" customHeight="1">
      <c r="B295" s="13"/>
      <c r="C295" s="13"/>
      <c r="D295" s="13"/>
      <c r="E295" s="13"/>
      <c r="F295" s="15"/>
      <c r="G295" s="15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spans="2:30" ht="26.25" customHeight="1">
      <c r="B296" s="13"/>
      <c r="C296" s="13"/>
      <c r="D296" s="13"/>
      <c r="E296" s="13"/>
      <c r="F296" s="15"/>
      <c r="G296" s="15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spans="2:30" ht="26.25" customHeight="1">
      <c r="B297" s="13"/>
      <c r="C297" s="13"/>
      <c r="D297" s="13"/>
      <c r="E297" s="13"/>
      <c r="F297" s="15"/>
      <c r="G297" s="15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spans="2:30" ht="26.25" customHeight="1">
      <c r="B298" s="13"/>
      <c r="C298" s="13"/>
      <c r="D298" s="13"/>
      <c r="E298" s="13"/>
      <c r="F298" s="15"/>
      <c r="G298" s="15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spans="2:30" ht="26.25" customHeight="1">
      <c r="B299" s="13"/>
      <c r="C299" s="13"/>
      <c r="D299" s="13"/>
      <c r="E299" s="13"/>
      <c r="F299" s="15"/>
      <c r="G299" s="15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spans="2:30" ht="26.25" customHeight="1">
      <c r="B300" s="13"/>
      <c r="C300" s="13"/>
      <c r="D300" s="13"/>
      <c r="E300" s="13"/>
      <c r="F300" s="15"/>
      <c r="G300" s="15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spans="2:30" ht="26.25" customHeight="1">
      <c r="B301" s="13"/>
      <c r="C301" s="13"/>
      <c r="D301" s="13"/>
      <c r="E301" s="13"/>
      <c r="F301" s="15"/>
      <c r="G301" s="15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spans="2:30" ht="26.25" customHeight="1">
      <c r="B302" s="13"/>
      <c r="C302" s="13"/>
      <c r="D302" s="13"/>
      <c r="E302" s="13"/>
      <c r="F302" s="15"/>
      <c r="G302" s="15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spans="2:30" ht="26.25" customHeight="1">
      <c r="B303" s="13"/>
      <c r="C303" s="13"/>
      <c r="D303" s="13"/>
      <c r="E303" s="13"/>
      <c r="F303" s="15"/>
      <c r="G303" s="15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spans="2:30" ht="26.25" customHeight="1">
      <c r="B304" s="13"/>
      <c r="C304" s="13"/>
      <c r="D304" s="13"/>
      <c r="E304" s="13"/>
      <c r="F304" s="15"/>
      <c r="G304" s="15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spans="2:30" ht="26.25" customHeight="1">
      <c r="B305" s="13"/>
      <c r="C305" s="13"/>
      <c r="D305" s="13"/>
      <c r="E305" s="13"/>
      <c r="F305" s="15"/>
      <c r="G305" s="15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spans="2:30" ht="26.25" customHeight="1">
      <c r="B306" s="13"/>
      <c r="C306" s="13"/>
      <c r="D306" s="13"/>
      <c r="E306" s="13"/>
      <c r="F306" s="15"/>
      <c r="G306" s="15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spans="2:30" ht="26.25" customHeight="1">
      <c r="B307" s="13"/>
      <c r="C307" s="13"/>
      <c r="D307" s="13"/>
      <c r="E307" s="13"/>
      <c r="F307" s="15"/>
      <c r="G307" s="15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spans="2:30" ht="26.25" customHeight="1">
      <c r="B308" s="13"/>
      <c r="C308" s="13"/>
      <c r="D308" s="13"/>
      <c r="E308" s="13"/>
      <c r="F308" s="15"/>
      <c r="G308" s="15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spans="2:30" ht="26.25" customHeight="1">
      <c r="B309" s="13"/>
      <c r="C309" s="13"/>
      <c r="D309" s="13"/>
      <c r="E309" s="13"/>
      <c r="F309" s="15"/>
      <c r="G309" s="15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spans="2:30" ht="26.25" customHeight="1">
      <c r="B310" s="13"/>
      <c r="C310" s="13"/>
      <c r="D310" s="13"/>
      <c r="E310" s="13"/>
      <c r="F310" s="15"/>
      <c r="G310" s="15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spans="2:30" ht="26.25" customHeight="1">
      <c r="B311" s="13"/>
      <c r="C311" s="13"/>
      <c r="D311" s="13"/>
      <c r="E311" s="13"/>
      <c r="F311" s="15"/>
      <c r="G311" s="15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spans="2:30" ht="26.25" customHeight="1">
      <c r="B312" s="13"/>
      <c r="C312" s="13"/>
      <c r="D312" s="13"/>
      <c r="E312" s="13"/>
      <c r="F312" s="15"/>
      <c r="G312" s="15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spans="2:30" ht="26.25" customHeight="1">
      <c r="B313" s="13"/>
      <c r="C313" s="13"/>
      <c r="D313" s="13"/>
      <c r="E313" s="13"/>
      <c r="F313" s="15"/>
      <c r="G313" s="15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spans="2:30" ht="26.25" customHeight="1">
      <c r="B314" s="13"/>
      <c r="C314" s="13"/>
      <c r="D314" s="13"/>
      <c r="E314" s="13"/>
      <c r="F314" s="15"/>
      <c r="G314" s="15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spans="2:30" ht="26.25" customHeight="1">
      <c r="B315" s="13"/>
      <c r="C315" s="13"/>
      <c r="D315" s="13"/>
      <c r="E315" s="13"/>
      <c r="F315" s="15"/>
      <c r="G315" s="15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spans="2:30" ht="26.25" customHeight="1">
      <c r="B316" s="13"/>
      <c r="C316" s="13"/>
      <c r="D316" s="13"/>
      <c r="E316" s="13"/>
      <c r="F316" s="15"/>
      <c r="G316" s="15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spans="2:30" ht="26.25" customHeight="1">
      <c r="B317" s="13"/>
      <c r="C317" s="13"/>
      <c r="D317" s="13"/>
      <c r="E317" s="13"/>
      <c r="F317" s="15"/>
      <c r="G317" s="15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spans="2:30" ht="26.25" customHeight="1">
      <c r="B318" s="13"/>
      <c r="C318" s="13"/>
      <c r="D318" s="13"/>
      <c r="E318" s="13"/>
      <c r="F318" s="15"/>
      <c r="G318" s="15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spans="2:30" ht="26.25" customHeight="1">
      <c r="B319" s="13"/>
      <c r="C319" s="13"/>
      <c r="D319" s="13"/>
      <c r="E319" s="13"/>
      <c r="F319" s="15"/>
      <c r="G319" s="15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spans="2:30" ht="26.25" customHeight="1">
      <c r="B320" s="13"/>
      <c r="C320" s="13"/>
      <c r="D320" s="13"/>
      <c r="E320" s="13"/>
      <c r="F320" s="15"/>
      <c r="G320" s="15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spans="2:30" ht="26.25" customHeight="1">
      <c r="B321" s="13"/>
      <c r="C321" s="13"/>
      <c r="D321" s="13"/>
      <c r="E321" s="13"/>
      <c r="F321" s="15"/>
      <c r="G321" s="15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spans="2:30" ht="26.25" customHeight="1">
      <c r="B322" s="13"/>
      <c r="C322" s="13"/>
      <c r="D322" s="13"/>
      <c r="E322" s="13"/>
      <c r="F322" s="15"/>
      <c r="G322" s="15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spans="2:30" ht="26.25" customHeight="1">
      <c r="B323" s="13"/>
      <c r="C323" s="13"/>
      <c r="D323" s="13"/>
      <c r="E323" s="13"/>
      <c r="F323" s="15"/>
      <c r="G323" s="15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spans="2:30" ht="26.25" customHeight="1">
      <c r="B324" s="13"/>
      <c r="C324" s="13"/>
      <c r="D324" s="13"/>
      <c r="E324" s="13"/>
      <c r="F324" s="15"/>
      <c r="G324" s="15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spans="2:30" ht="26.25" customHeight="1">
      <c r="B325" s="13"/>
      <c r="C325" s="13"/>
      <c r="D325" s="13"/>
      <c r="E325" s="13"/>
      <c r="F325" s="15"/>
      <c r="G325" s="15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spans="2:30" ht="26.25" customHeight="1">
      <c r="B326" s="13"/>
      <c r="C326" s="13"/>
      <c r="D326" s="13"/>
      <c r="E326" s="13"/>
      <c r="F326" s="15"/>
      <c r="G326" s="15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spans="2:30" ht="26.25" customHeight="1">
      <c r="B327" s="13"/>
      <c r="C327" s="13"/>
      <c r="D327" s="13"/>
      <c r="E327" s="13"/>
      <c r="F327" s="15"/>
      <c r="G327" s="15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spans="2:30" ht="26.25" customHeight="1">
      <c r="B328" s="13"/>
      <c r="C328" s="13"/>
      <c r="D328" s="13"/>
      <c r="E328" s="13"/>
      <c r="F328" s="15"/>
      <c r="G328" s="15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spans="2:30" ht="26.25" customHeight="1">
      <c r="B329" s="13"/>
      <c r="C329" s="13"/>
      <c r="D329" s="13"/>
      <c r="E329" s="13"/>
      <c r="F329" s="15"/>
      <c r="G329" s="15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spans="2:30" ht="26.25" customHeight="1">
      <c r="B330" s="13"/>
      <c r="C330" s="13"/>
      <c r="D330" s="13"/>
      <c r="E330" s="13"/>
      <c r="F330" s="15"/>
      <c r="G330" s="15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spans="2:30" ht="26.25" customHeight="1">
      <c r="B331" s="13"/>
      <c r="C331" s="13"/>
      <c r="D331" s="13"/>
      <c r="E331" s="13"/>
      <c r="F331" s="15"/>
      <c r="G331" s="15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spans="2:30" ht="26.25" customHeight="1">
      <c r="B332" s="13"/>
      <c r="C332" s="13"/>
      <c r="D332" s="13"/>
      <c r="E332" s="13"/>
      <c r="F332" s="15"/>
      <c r="G332" s="15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spans="2:30" ht="26.25" customHeight="1">
      <c r="B333" s="13"/>
      <c r="C333" s="13"/>
      <c r="D333" s="13"/>
      <c r="E333" s="13"/>
      <c r="F333" s="15"/>
      <c r="G333" s="15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spans="2:30" ht="26.25" customHeight="1">
      <c r="B334" s="13"/>
      <c r="C334" s="13"/>
      <c r="D334" s="13"/>
      <c r="E334" s="13"/>
      <c r="F334" s="15"/>
      <c r="G334" s="15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spans="2:30" ht="26.25" customHeight="1">
      <c r="B335" s="13"/>
      <c r="C335" s="13"/>
      <c r="D335" s="13"/>
      <c r="E335" s="13"/>
      <c r="F335" s="15"/>
      <c r="G335" s="15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spans="2:30" ht="26.25" customHeight="1">
      <c r="B336" s="13"/>
      <c r="C336" s="13"/>
      <c r="D336" s="13"/>
      <c r="E336" s="13"/>
      <c r="F336" s="15"/>
      <c r="G336" s="15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spans="2:30" ht="26.25" customHeight="1">
      <c r="B337" s="13"/>
      <c r="C337" s="13"/>
      <c r="D337" s="13"/>
      <c r="E337" s="13"/>
      <c r="F337" s="15"/>
      <c r="G337" s="15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spans="2:30" ht="26.25" customHeight="1">
      <c r="B338" s="13"/>
      <c r="C338" s="13"/>
      <c r="D338" s="13"/>
      <c r="E338" s="13"/>
      <c r="F338" s="15"/>
      <c r="G338" s="15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spans="2:30" ht="26.25" customHeight="1">
      <c r="B339" s="13"/>
      <c r="C339" s="13"/>
      <c r="D339" s="13"/>
      <c r="E339" s="13"/>
      <c r="F339" s="15"/>
      <c r="G339" s="15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spans="2:30" ht="26.25" customHeight="1">
      <c r="B340" s="13"/>
      <c r="C340" s="13"/>
      <c r="D340" s="13"/>
      <c r="E340" s="13"/>
      <c r="F340" s="15"/>
      <c r="G340" s="15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spans="2:30" ht="26.25" customHeight="1">
      <c r="B341" s="13"/>
      <c r="C341" s="13"/>
      <c r="D341" s="13"/>
      <c r="E341" s="13"/>
      <c r="F341" s="15"/>
      <c r="G341" s="15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spans="2:30" ht="26.25" customHeight="1">
      <c r="B342" s="13"/>
      <c r="C342" s="13"/>
      <c r="D342" s="13"/>
      <c r="E342" s="13"/>
      <c r="F342" s="15"/>
      <c r="G342" s="15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spans="2:30" ht="26.25" customHeight="1">
      <c r="B343" s="13"/>
      <c r="C343" s="13"/>
      <c r="D343" s="13"/>
      <c r="E343" s="13"/>
      <c r="F343" s="15"/>
      <c r="G343" s="15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spans="2:30" ht="26.25" customHeight="1">
      <c r="B344" s="13"/>
      <c r="C344" s="13"/>
      <c r="D344" s="13"/>
      <c r="E344" s="13"/>
      <c r="F344" s="15"/>
      <c r="G344" s="15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spans="2:30" ht="26.25" customHeight="1">
      <c r="B345" s="13"/>
      <c r="C345" s="13"/>
      <c r="D345" s="13"/>
      <c r="E345" s="13"/>
      <c r="F345" s="15"/>
      <c r="G345" s="15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spans="2:30" ht="26.25" customHeight="1">
      <c r="B346" s="13"/>
      <c r="C346" s="13"/>
      <c r="D346" s="13"/>
      <c r="E346" s="13"/>
      <c r="F346" s="15"/>
      <c r="G346" s="15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spans="2:30" ht="26.25" customHeight="1">
      <c r="B347" s="13"/>
      <c r="C347" s="13"/>
      <c r="D347" s="13"/>
      <c r="E347" s="13"/>
      <c r="F347" s="15"/>
      <c r="G347" s="15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spans="2:30" ht="26.25" customHeight="1">
      <c r="B348" s="13"/>
      <c r="C348" s="13"/>
      <c r="D348" s="13"/>
      <c r="E348" s="13"/>
      <c r="F348" s="15"/>
      <c r="G348" s="15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spans="2:30" ht="26.25" customHeight="1">
      <c r="B349" s="13"/>
      <c r="C349" s="13"/>
      <c r="D349" s="13"/>
      <c r="E349" s="13"/>
      <c r="F349" s="15"/>
      <c r="G349" s="15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spans="2:30" ht="26.25" customHeight="1">
      <c r="B350" s="13"/>
      <c r="C350" s="13"/>
      <c r="D350" s="13"/>
      <c r="E350" s="13"/>
      <c r="F350" s="15"/>
      <c r="G350" s="15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spans="2:30" ht="26.25" customHeight="1">
      <c r="B351" s="13"/>
      <c r="C351" s="13"/>
      <c r="D351" s="13"/>
      <c r="E351" s="13"/>
      <c r="F351" s="15"/>
      <c r="G351" s="15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spans="2:30" ht="26.25" customHeight="1">
      <c r="B352" s="13"/>
      <c r="C352" s="13"/>
      <c r="D352" s="13"/>
      <c r="E352" s="13"/>
      <c r="F352" s="15"/>
      <c r="G352" s="15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spans="2:30" ht="26.25" customHeight="1">
      <c r="B353" s="13"/>
      <c r="C353" s="13"/>
      <c r="D353" s="13"/>
      <c r="E353" s="13"/>
      <c r="F353" s="15"/>
      <c r="G353" s="15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spans="2:30" ht="26.25" customHeight="1">
      <c r="B354" s="13"/>
      <c r="C354" s="13"/>
      <c r="D354" s="13"/>
      <c r="E354" s="13"/>
      <c r="F354" s="15"/>
      <c r="G354" s="15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spans="2:30" ht="26.25" customHeight="1">
      <c r="B355" s="13"/>
      <c r="C355" s="13"/>
      <c r="D355" s="13"/>
      <c r="E355" s="13"/>
      <c r="F355" s="15"/>
      <c r="G355" s="15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spans="2:30" ht="26.25" customHeight="1">
      <c r="B356" s="13"/>
      <c r="C356" s="13"/>
      <c r="D356" s="13"/>
      <c r="E356" s="13"/>
      <c r="F356" s="15"/>
      <c r="G356" s="15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spans="2:30" ht="26.25" customHeight="1">
      <c r="B357" s="13"/>
      <c r="C357" s="13"/>
      <c r="D357" s="13"/>
      <c r="E357" s="13"/>
      <c r="F357" s="15"/>
      <c r="G357" s="15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spans="2:30" ht="26.25" customHeight="1">
      <c r="B358" s="13"/>
      <c r="C358" s="13"/>
      <c r="D358" s="13"/>
      <c r="E358" s="13"/>
      <c r="F358" s="15"/>
      <c r="G358" s="15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spans="2:30" ht="26.25" customHeight="1">
      <c r="B359" s="13"/>
      <c r="C359" s="13"/>
      <c r="D359" s="13"/>
      <c r="E359" s="13"/>
      <c r="F359" s="15"/>
      <c r="G359" s="15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spans="2:30" ht="26.25" customHeight="1">
      <c r="B360" s="13"/>
      <c r="C360" s="13"/>
      <c r="D360" s="13"/>
      <c r="E360" s="13"/>
      <c r="F360" s="15"/>
      <c r="G360" s="15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spans="2:30" ht="26.25" customHeight="1">
      <c r="B361" s="13"/>
      <c r="C361" s="13"/>
      <c r="D361" s="13"/>
      <c r="E361" s="13"/>
      <c r="F361" s="15"/>
      <c r="G361" s="15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spans="2:30" ht="26.25" customHeight="1">
      <c r="B362" s="13"/>
      <c r="C362" s="13"/>
      <c r="D362" s="13"/>
      <c r="E362" s="13"/>
      <c r="F362" s="15"/>
      <c r="G362" s="15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spans="2:30" ht="26.25" customHeight="1">
      <c r="B363" s="13"/>
      <c r="C363" s="13"/>
      <c r="D363" s="13"/>
      <c r="E363" s="13"/>
      <c r="F363" s="15"/>
      <c r="G363" s="15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spans="2:30" ht="26.25" customHeight="1">
      <c r="B364" s="13"/>
      <c r="C364" s="13"/>
      <c r="D364" s="13"/>
      <c r="E364" s="13"/>
      <c r="F364" s="15"/>
      <c r="G364" s="15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spans="2:30" ht="26.25" customHeight="1">
      <c r="B365" s="13"/>
      <c r="C365" s="13"/>
      <c r="D365" s="13"/>
      <c r="E365" s="13"/>
      <c r="F365" s="15"/>
      <c r="G365" s="15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spans="2:30" ht="26.25" customHeight="1">
      <c r="B366" s="13"/>
      <c r="C366" s="13"/>
      <c r="D366" s="13"/>
      <c r="E366" s="13"/>
      <c r="F366" s="15"/>
      <c r="G366" s="15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spans="2:30" ht="26.25" customHeight="1">
      <c r="B367" s="13"/>
      <c r="C367" s="13"/>
      <c r="D367" s="13"/>
      <c r="E367" s="13"/>
      <c r="F367" s="15"/>
      <c r="G367" s="15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spans="2:30" ht="26.25" customHeight="1">
      <c r="B368" s="13"/>
      <c r="C368" s="13"/>
      <c r="D368" s="13"/>
      <c r="E368" s="13"/>
      <c r="F368" s="15"/>
      <c r="G368" s="15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spans="2:30" ht="26.25" customHeight="1">
      <c r="B369" s="13"/>
      <c r="C369" s="13"/>
      <c r="D369" s="13"/>
      <c r="E369" s="13"/>
      <c r="F369" s="15"/>
      <c r="G369" s="15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spans="2:30" ht="26.25" customHeight="1">
      <c r="B370" s="13"/>
      <c r="C370" s="13"/>
      <c r="D370" s="13"/>
      <c r="E370" s="13"/>
      <c r="F370" s="15"/>
      <c r="G370" s="15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spans="2:30" ht="26.25" customHeight="1">
      <c r="B371" s="13"/>
      <c r="C371" s="13"/>
      <c r="D371" s="13"/>
      <c r="E371" s="13"/>
      <c r="F371" s="15"/>
      <c r="G371" s="15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spans="2:30" ht="26.25" customHeight="1">
      <c r="B372" s="13"/>
      <c r="C372" s="13"/>
      <c r="D372" s="13"/>
      <c r="E372" s="13"/>
      <c r="F372" s="15"/>
      <c r="G372" s="15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spans="2:30" ht="26.25" customHeight="1">
      <c r="B373" s="13"/>
      <c r="C373" s="13"/>
      <c r="D373" s="13"/>
      <c r="E373" s="13"/>
      <c r="F373" s="15"/>
      <c r="G373" s="15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spans="2:30" ht="26.25" customHeight="1">
      <c r="B374" s="13"/>
      <c r="C374" s="13"/>
      <c r="D374" s="13"/>
      <c r="E374" s="13"/>
      <c r="F374" s="15"/>
      <c r="G374" s="15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spans="2:30" ht="26.25" customHeight="1">
      <c r="B375" s="13"/>
      <c r="C375" s="13"/>
      <c r="D375" s="13"/>
      <c r="E375" s="13"/>
      <c r="F375" s="15"/>
      <c r="G375" s="15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spans="2:30" ht="26.25" customHeight="1">
      <c r="B376" s="13"/>
      <c r="C376" s="13"/>
      <c r="D376" s="13"/>
      <c r="E376" s="13"/>
      <c r="F376" s="15"/>
      <c r="G376" s="15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spans="2:30" ht="26.25" customHeight="1">
      <c r="B377" s="13"/>
      <c r="C377" s="13"/>
      <c r="D377" s="13"/>
      <c r="E377" s="13"/>
      <c r="F377" s="15"/>
      <c r="G377" s="15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spans="2:30" ht="26.25" customHeight="1">
      <c r="B378" s="13"/>
      <c r="C378" s="13"/>
      <c r="D378" s="13"/>
      <c r="E378" s="13"/>
      <c r="F378" s="15"/>
      <c r="G378" s="15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spans="2:30" ht="26.25" customHeight="1">
      <c r="B379" s="13"/>
      <c r="C379" s="13"/>
      <c r="D379" s="13"/>
      <c r="E379" s="13"/>
      <c r="F379" s="15"/>
      <c r="G379" s="15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spans="2:30" ht="26.25" customHeight="1">
      <c r="B380" s="13"/>
      <c r="C380" s="13"/>
      <c r="D380" s="13"/>
      <c r="E380" s="13"/>
      <c r="F380" s="15"/>
      <c r="G380" s="15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spans="2:30" ht="26.25" customHeight="1">
      <c r="B381" s="13"/>
      <c r="C381" s="13"/>
      <c r="D381" s="13"/>
      <c r="E381" s="13"/>
      <c r="F381" s="15"/>
      <c r="G381" s="15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spans="2:30" ht="26.25" customHeight="1">
      <c r="B382" s="13"/>
      <c r="C382" s="13"/>
      <c r="D382" s="13"/>
      <c r="E382" s="13"/>
      <c r="F382" s="15"/>
      <c r="G382" s="15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spans="2:30" ht="26.25" customHeight="1">
      <c r="B383" s="13"/>
      <c r="C383" s="13"/>
      <c r="D383" s="13"/>
      <c r="E383" s="13"/>
      <c r="F383" s="15"/>
      <c r="G383" s="15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spans="2:30" ht="26.25" customHeight="1">
      <c r="B384" s="13"/>
      <c r="C384" s="13"/>
      <c r="D384" s="13"/>
      <c r="E384" s="13"/>
      <c r="F384" s="15"/>
      <c r="G384" s="15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spans="2:30" ht="26.25" customHeight="1">
      <c r="B385" s="13"/>
      <c r="C385" s="13"/>
      <c r="D385" s="13"/>
      <c r="E385" s="13"/>
      <c r="F385" s="15"/>
      <c r="G385" s="15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spans="2:30" ht="26.25" customHeight="1">
      <c r="B386" s="13"/>
      <c r="C386" s="13"/>
      <c r="D386" s="13"/>
      <c r="E386" s="13"/>
      <c r="F386" s="15"/>
      <c r="G386" s="15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spans="2:30" ht="26.25" customHeight="1">
      <c r="B387" s="13"/>
      <c r="C387" s="13"/>
      <c r="D387" s="13"/>
      <c r="E387" s="13"/>
      <c r="F387" s="15"/>
      <c r="G387" s="15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spans="2:30" ht="26.25" customHeight="1">
      <c r="B388" s="13"/>
      <c r="C388" s="13"/>
      <c r="D388" s="13"/>
      <c r="E388" s="13"/>
      <c r="F388" s="15"/>
      <c r="G388" s="15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spans="2:30" ht="26.25" customHeight="1">
      <c r="B389" s="13"/>
      <c r="C389" s="13"/>
      <c r="D389" s="13"/>
      <c r="E389" s="13"/>
      <c r="F389" s="15"/>
      <c r="G389" s="15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spans="2:30" ht="26.25" customHeight="1">
      <c r="B390" s="13"/>
      <c r="C390" s="13"/>
      <c r="D390" s="13"/>
      <c r="E390" s="13"/>
      <c r="F390" s="15"/>
      <c r="G390" s="15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spans="2:30" ht="26.25" customHeight="1">
      <c r="B391" s="13"/>
      <c r="C391" s="13"/>
      <c r="D391" s="13"/>
      <c r="E391" s="13"/>
      <c r="F391" s="15"/>
      <c r="G391" s="15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spans="2:30" ht="26.25" customHeight="1">
      <c r="B392" s="13"/>
      <c r="C392" s="13"/>
      <c r="D392" s="13"/>
      <c r="E392" s="13"/>
      <c r="F392" s="15"/>
      <c r="G392" s="15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spans="2:30" ht="26.25" customHeight="1">
      <c r="B393" s="13"/>
      <c r="C393" s="13"/>
      <c r="D393" s="13"/>
      <c r="E393" s="13"/>
      <c r="F393" s="15"/>
      <c r="G393" s="15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spans="2:30" ht="26.25" customHeight="1">
      <c r="B394" s="13"/>
      <c r="C394" s="13"/>
      <c r="D394" s="13"/>
      <c r="E394" s="13"/>
      <c r="F394" s="15"/>
      <c r="G394" s="15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spans="2:30" ht="26.25" customHeight="1">
      <c r="B395" s="13"/>
      <c r="C395" s="13"/>
      <c r="D395" s="13"/>
      <c r="E395" s="13"/>
      <c r="F395" s="15"/>
      <c r="G395" s="15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spans="2:30" ht="26.25" customHeight="1">
      <c r="B396" s="13"/>
      <c r="C396" s="13"/>
      <c r="D396" s="13"/>
      <c r="E396" s="13"/>
      <c r="F396" s="15"/>
      <c r="G396" s="15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spans="2:30" ht="26.25" customHeight="1">
      <c r="B397" s="13"/>
      <c r="C397" s="13"/>
      <c r="D397" s="13"/>
      <c r="E397" s="13"/>
      <c r="F397" s="15"/>
      <c r="G397" s="15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spans="2:30" ht="26.25" customHeight="1">
      <c r="B398" s="13"/>
      <c r="C398" s="13"/>
      <c r="D398" s="13"/>
      <c r="E398" s="13"/>
      <c r="F398" s="15"/>
      <c r="G398" s="15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spans="2:30" ht="26.25" customHeight="1">
      <c r="B399" s="13"/>
      <c r="C399" s="13"/>
      <c r="D399" s="13"/>
      <c r="E399" s="13"/>
      <c r="F399" s="15"/>
      <c r="G399" s="15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spans="2:30" ht="26.25" customHeight="1">
      <c r="B400" s="13"/>
      <c r="C400" s="13"/>
      <c r="D400" s="13"/>
      <c r="E400" s="13"/>
      <c r="F400" s="15"/>
      <c r="G400" s="15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spans="2:30" ht="26.25" customHeight="1">
      <c r="B401" s="13"/>
      <c r="C401" s="13"/>
      <c r="D401" s="13"/>
      <c r="E401" s="13"/>
      <c r="F401" s="15"/>
      <c r="G401" s="15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spans="2:30" ht="26.25" customHeight="1">
      <c r="B402" s="13"/>
      <c r="C402" s="13"/>
      <c r="D402" s="13"/>
      <c r="E402" s="13"/>
      <c r="F402" s="15"/>
      <c r="G402" s="15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spans="2:30" ht="26.25" customHeight="1">
      <c r="B403" s="13"/>
      <c r="C403" s="13"/>
      <c r="D403" s="13"/>
      <c r="E403" s="13"/>
      <c r="F403" s="15"/>
      <c r="G403" s="15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spans="2:30" ht="26.25" customHeight="1">
      <c r="B404" s="13"/>
      <c r="C404" s="13"/>
      <c r="D404" s="13"/>
      <c r="E404" s="13"/>
      <c r="F404" s="15"/>
      <c r="G404" s="15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spans="2:30" ht="26.25" customHeight="1">
      <c r="B405" s="13"/>
      <c r="C405" s="13"/>
      <c r="D405" s="13"/>
      <c r="E405" s="13"/>
      <c r="F405" s="15"/>
      <c r="G405" s="15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spans="2:30" ht="26.25" customHeight="1">
      <c r="B406" s="13"/>
      <c r="C406" s="13"/>
      <c r="D406" s="13"/>
      <c r="E406" s="13"/>
      <c r="F406" s="15"/>
      <c r="G406" s="15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spans="2:30" ht="26.25" customHeight="1">
      <c r="B407" s="13"/>
      <c r="C407" s="13"/>
      <c r="D407" s="13"/>
      <c r="E407" s="13"/>
      <c r="F407" s="15"/>
      <c r="G407" s="15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spans="2:30" ht="26.25" customHeight="1">
      <c r="B408" s="13"/>
      <c r="C408" s="13"/>
      <c r="D408" s="13"/>
      <c r="E408" s="13"/>
      <c r="F408" s="15"/>
      <c r="G408" s="15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spans="2:30" ht="26.25" customHeight="1">
      <c r="B409" s="13"/>
      <c r="C409" s="13"/>
      <c r="D409" s="13"/>
      <c r="E409" s="13"/>
      <c r="F409" s="15"/>
      <c r="G409" s="15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spans="2:30" ht="26.25" customHeight="1">
      <c r="B410" s="13"/>
      <c r="C410" s="13"/>
      <c r="D410" s="13"/>
      <c r="E410" s="13"/>
      <c r="F410" s="15"/>
      <c r="G410" s="15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spans="2:30" ht="26.25" customHeight="1">
      <c r="B411" s="13"/>
      <c r="C411" s="13"/>
      <c r="D411" s="13"/>
      <c r="E411" s="13"/>
      <c r="F411" s="15"/>
      <c r="G411" s="15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spans="2:30" ht="26.25" customHeight="1">
      <c r="B412" s="13"/>
      <c r="C412" s="13"/>
      <c r="D412" s="13"/>
      <c r="E412" s="13"/>
      <c r="F412" s="15"/>
      <c r="G412" s="15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spans="2:30" ht="26.25" customHeight="1">
      <c r="B413" s="13"/>
      <c r="C413" s="13"/>
      <c r="D413" s="13"/>
      <c r="E413" s="13"/>
      <c r="F413" s="15"/>
      <c r="G413" s="15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spans="2:30" ht="26.25" customHeight="1">
      <c r="B414" s="13"/>
      <c r="C414" s="13"/>
      <c r="D414" s="13"/>
      <c r="E414" s="13"/>
      <c r="F414" s="15"/>
      <c r="G414" s="15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spans="2:30" ht="26.25" customHeight="1">
      <c r="B415" s="13"/>
      <c r="C415" s="13"/>
      <c r="D415" s="13"/>
      <c r="E415" s="13"/>
      <c r="F415" s="15"/>
      <c r="G415" s="15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spans="2:30" ht="26.25" customHeight="1">
      <c r="B416" s="13"/>
      <c r="C416" s="13"/>
      <c r="D416" s="13"/>
      <c r="E416" s="13"/>
      <c r="F416" s="15"/>
      <c r="G416" s="15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spans="2:30" ht="26.25" customHeight="1">
      <c r="B417" s="13"/>
      <c r="C417" s="13"/>
      <c r="D417" s="13"/>
      <c r="E417" s="13"/>
      <c r="F417" s="15"/>
      <c r="G417" s="15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spans="2:30" ht="26.25" customHeight="1">
      <c r="B418" s="13"/>
      <c r="C418" s="13"/>
      <c r="D418" s="13"/>
      <c r="E418" s="13"/>
      <c r="F418" s="15"/>
      <c r="G418" s="15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spans="2:30" ht="26.25" customHeight="1">
      <c r="B419" s="13"/>
      <c r="C419" s="13"/>
      <c r="D419" s="13"/>
      <c r="E419" s="13"/>
      <c r="F419" s="15"/>
      <c r="G419" s="15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spans="2:30" ht="26.25" customHeight="1">
      <c r="B420" s="13"/>
      <c r="C420" s="13"/>
      <c r="D420" s="13"/>
      <c r="E420" s="13"/>
      <c r="F420" s="15"/>
      <c r="G420" s="15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spans="2:30" ht="26.25" customHeight="1">
      <c r="B421" s="13"/>
      <c r="C421" s="13"/>
      <c r="D421" s="13"/>
      <c r="E421" s="13"/>
      <c r="F421" s="15"/>
      <c r="G421" s="15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spans="2:30" ht="26.25" customHeight="1">
      <c r="B422" s="13"/>
      <c r="C422" s="13"/>
      <c r="D422" s="13"/>
      <c r="E422" s="13"/>
      <c r="F422" s="15"/>
      <c r="G422" s="15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spans="2:30" ht="26.25" customHeight="1">
      <c r="B423" s="13"/>
      <c r="C423" s="13"/>
      <c r="D423" s="13"/>
      <c r="E423" s="13"/>
      <c r="F423" s="15"/>
      <c r="G423" s="15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spans="2:30" ht="26.25" customHeight="1">
      <c r="B424" s="13"/>
      <c r="C424" s="13"/>
      <c r="D424" s="13"/>
      <c r="E424" s="13"/>
      <c r="F424" s="15"/>
      <c r="G424" s="15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spans="2:30" ht="26.25" customHeight="1">
      <c r="B425" s="13"/>
      <c r="C425" s="13"/>
      <c r="D425" s="13"/>
      <c r="E425" s="13"/>
      <c r="F425" s="15"/>
      <c r="G425" s="15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spans="2:30" ht="26.25" customHeight="1">
      <c r="B426" s="13"/>
      <c r="C426" s="13"/>
      <c r="D426" s="13"/>
      <c r="E426" s="13"/>
      <c r="F426" s="15"/>
      <c r="G426" s="15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spans="2:30" ht="26.25" customHeight="1">
      <c r="B427" s="13"/>
      <c r="C427" s="13"/>
      <c r="D427" s="13"/>
      <c r="E427" s="13"/>
      <c r="F427" s="15"/>
      <c r="G427" s="15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spans="2:30" ht="26.25" customHeight="1">
      <c r="B428" s="13"/>
      <c r="C428" s="13"/>
      <c r="D428" s="13"/>
      <c r="E428" s="13"/>
      <c r="F428" s="15"/>
      <c r="G428" s="15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spans="2:30" ht="26.25" customHeight="1">
      <c r="B429" s="13"/>
      <c r="C429" s="13"/>
      <c r="D429" s="13"/>
      <c r="E429" s="13"/>
      <c r="F429" s="15"/>
      <c r="G429" s="15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spans="2:30" ht="26.25" customHeight="1">
      <c r="B430" s="13"/>
      <c r="C430" s="13"/>
      <c r="D430" s="13"/>
      <c r="E430" s="13"/>
      <c r="F430" s="15"/>
      <c r="G430" s="15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spans="2:30" ht="26.25" customHeight="1">
      <c r="B431" s="13"/>
      <c r="C431" s="13"/>
      <c r="D431" s="13"/>
      <c r="E431" s="13"/>
      <c r="F431" s="15"/>
      <c r="G431" s="15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spans="2:30" ht="26.25" customHeight="1">
      <c r="B432" s="13"/>
      <c r="C432" s="13"/>
      <c r="D432" s="13"/>
      <c r="E432" s="13"/>
      <c r="F432" s="15"/>
      <c r="G432" s="15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spans="2:30" ht="26.25" customHeight="1">
      <c r="B433" s="13"/>
      <c r="C433" s="13"/>
      <c r="D433" s="13"/>
      <c r="E433" s="13"/>
      <c r="F433" s="15"/>
      <c r="G433" s="15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spans="2:30" ht="26.25" customHeight="1">
      <c r="B434" s="13"/>
      <c r="C434" s="13"/>
      <c r="D434" s="13"/>
      <c r="E434" s="13"/>
      <c r="F434" s="15"/>
      <c r="G434" s="15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spans="2:30" ht="26.25" customHeight="1">
      <c r="B435" s="13"/>
      <c r="C435" s="13"/>
      <c r="D435" s="13"/>
      <c r="E435" s="13"/>
      <c r="F435" s="15"/>
      <c r="G435" s="15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spans="2:30" ht="26.25" customHeight="1">
      <c r="B436" s="13"/>
      <c r="C436" s="13"/>
      <c r="D436" s="13"/>
      <c r="E436" s="13"/>
      <c r="F436" s="15"/>
      <c r="G436" s="15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spans="2:30" ht="26.25" customHeight="1">
      <c r="B437" s="13"/>
      <c r="C437" s="13"/>
      <c r="D437" s="13"/>
      <c r="E437" s="13"/>
      <c r="F437" s="15"/>
      <c r="G437" s="15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spans="2:30" ht="26.25" customHeight="1">
      <c r="B438" s="13"/>
      <c r="C438" s="13"/>
      <c r="D438" s="13"/>
      <c r="E438" s="13"/>
      <c r="F438" s="15"/>
      <c r="G438" s="15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spans="2:30" ht="26.25" customHeight="1">
      <c r="B439" s="13"/>
      <c r="C439" s="13"/>
      <c r="D439" s="13"/>
      <c r="E439" s="13"/>
      <c r="F439" s="15"/>
      <c r="G439" s="15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spans="2:30" ht="26.25" customHeight="1">
      <c r="B440" s="13"/>
      <c r="C440" s="13"/>
      <c r="D440" s="13"/>
      <c r="E440" s="13"/>
      <c r="F440" s="15"/>
      <c r="G440" s="15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spans="2:30" ht="26.25" customHeight="1">
      <c r="B441" s="13"/>
      <c r="C441" s="13"/>
      <c r="D441" s="13"/>
      <c r="E441" s="13"/>
      <c r="F441" s="15"/>
      <c r="G441" s="15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spans="2:30" ht="26.25" customHeight="1">
      <c r="B442" s="13"/>
      <c r="C442" s="13"/>
      <c r="D442" s="13"/>
      <c r="E442" s="13"/>
      <c r="F442" s="15"/>
      <c r="G442" s="15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spans="2:30" ht="26.25" customHeight="1">
      <c r="B443" s="13"/>
      <c r="C443" s="13"/>
      <c r="D443" s="13"/>
      <c r="E443" s="13"/>
      <c r="F443" s="15"/>
      <c r="G443" s="15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spans="2:30" ht="26.25" customHeight="1">
      <c r="B444" s="13"/>
      <c r="C444" s="13"/>
      <c r="D444" s="13"/>
      <c r="E444" s="13"/>
      <c r="F444" s="15"/>
      <c r="G444" s="15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spans="2:30" ht="26.25" customHeight="1">
      <c r="B445" s="13"/>
      <c r="C445" s="13"/>
      <c r="D445" s="13"/>
      <c r="E445" s="13"/>
      <c r="F445" s="15"/>
      <c r="G445" s="15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spans="2:30" ht="26.25" customHeight="1">
      <c r="B446" s="13"/>
      <c r="C446" s="13"/>
      <c r="D446" s="13"/>
      <c r="E446" s="13"/>
      <c r="F446" s="15"/>
      <c r="G446" s="15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spans="2:30" ht="26.25" customHeight="1">
      <c r="B447" s="13"/>
      <c r="C447" s="13"/>
      <c r="D447" s="13"/>
      <c r="E447" s="13"/>
      <c r="F447" s="15"/>
      <c r="G447" s="15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spans="2:30" ht="26.25" customHeight="1">
      <c r="B448" s="13"/>
      <c r="C448" s="13"/>
      <c r="D448" s="13"/>
      <c r="E448" s="13"/>
      <c r="F448" s="15"/>
      <c r="G448" s="15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spans="2:30" ht="26.25" customHeight="1">
      <c r="B449" s="13"/>
      <c r="C449" s="13"/>
      <c r="D449" s="13"/>
      <c r="E449" s="13"/>
      <c r="F449" s="15"/>
      <c r="G449" s="15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spans="2:30" ht="26.25" customHeight="1">
      <c r="B450" s="13"/>
      <c r="C450" s="13"/>
      <c r="D450" s="13"/>
      <c r="E450" s="13"/>
      <c r="F450" s="15"/>
      <c r="G450" s="15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spans="2:30" ht="26.25" customHeight="1">
      <c r="B451" s="13"/>
      <c r="C451" s="13"/>
      <c r="D451" s="13"/>
      <c r="E451" s="13"/>
      <c r="F451" s="15"/>
      <c r="G451" s="15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spans="2:30" ht="26.25" customHeight="1">
      <c r="B452" s="13"/>
      <c r="C452" s="13"/>
      <c r="D452" s="13"/>
      <c r="E452" s="13"/>
      <c r="F452" s="15"/>
      <c r="G452" s="15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spans="2:30" ht="26.25" customHeight="1">
      <c r="B453" s="13"/>
      <c r="C453" s="13"/>
      <c r="D453" s="13"/>
      <c r="E453" s="13"/>
      <c r="F453" s="15"/>
      <c r="G453" s="15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spans="2:30" ht="26.25" customHeight="1">
      <c r="B454" s="13"/>
      <c r="C454" s="13"/>
      <c r="D454" s="13"/>
      <c r="E454" s="13"/>
      <c r="F454" s="15"/>
      <c r="G454" s="15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spans="2:30" ht="26.25" customHeight="1">
      <c r="B455" s="13"/>
      <c r="C455" s="13"/>
      <c r="D455" s="13"/>
      <c r="E455" s="13"/>
      <c r="F455" s="15"/>
      <c r="G455" s="15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spans="2:30" ht="26.25" customHeight="1">
      <c r="B456" s="13"/>
      <c r="C456" s="13"/>
      <c r="D456" s="13"/>
      <c r="E456" s="13"/>
      <c r="F456" s="15"/>
      <c r="G456" s="15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spans="2:30" ht="26.25" customHeight="1">
      <c r="B457" s="13"/>
      <c r="C457" s="13"/>
      <c r="D457" s="13"/>
      <c r="E457" s="13"/>
      <c r="F457" s="15"/>
      <c r="G457" s="15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spans="2:30" ht="26.25" customHeight="1">
      <c r="B458" s="13"/>
      <c r="C458" s="13"/>
      <c r="D458" s="13"/>
      <c r="E458" s="13"/>
      <c r="F458" s="15"/>
      <c r="G458" s="15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spans="2:30" ht="26.25" customHeight="1">
      <c r="B459" s="13"/>
      <c r="C459" s="13"/>
      <c r="D459" s="13"/>
      <c r="E459" s="13"/>
      <c r="F459" s="15"/>
      <c r="G459" s="15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spans="2:30" ht="26.25" customHeight="1">
      <c r="B460" s="13"/>
      <c r="C460" s="13"/>
      <c r="D460" s="13"/>
      <c r="E460" s="13"/>
      <c r="F460" s="15"/>
      <c r="G460" s="15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spans="2:30" ht="26.25" customHeight="1">
      <c r="B461" s="13"/>
      <c r="C461" s="13"/>
      <c r="D461" s="13"/>
      <c r="E461" s="13"/>
      <c r="F461" s="15"/>
      <c r="G461" s="15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spans="2:30" ht="26.25" customHeight="1">
      <c r="B462" s="13"/>
      <c r="C462" s="13"/>
      <c r="D462" s="13"/>
      <c r="E462" s="13"/>
      <c r="F462" s="15"/>
      <c r="G462" s="15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spans="2:30" ht="26.25" customHeight="1">
      <c r="B463" s="13"/>
      <c r="C463" s="13"/>
      <c r="D463" s="13"/>
      <c r="E463" s="13"/>
      <c r="F463" s="15"/>
      <c r="G463" s="15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spans="2:30" ht="26.25" customHeight="1">
      <c r="B464" s="13"/>
      <c r="C464" s="13"/>
      <c r="D464" s="13"/>
      <c r="E464" s="13"/>
      <c r="F464" s="15"/>
      <c r="G464" s="15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spans="2:30" ht="26.25" customHeight="1">
      <c r="B465" s="13"/>
      <c r="C465" s="13"/>
      <c r="D465" s="13"/>
      <c r="E465" s="13"/>
      <c r="F465" s="15"/>
      <c r="G465" s="15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spans="2:30" ht="26.25" customHeight="1">
      <c r="B466" s="13"/>
      <c r="C466" s="13"/>
      <c r="D466" s="13"/>
      <c r="E466" s="13"/>
      <c r="F466" s="15"/>
      <c r="G466" s="15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spans="2:30" ht="26.25" customHeight="1">
      <c r="B467" s="13"/>
      <c r="C467" s="13"/>
      <c r="D467" s="13"/>
      <c r="E467" s="13"/>
      <c r="F467" s="15"/>
      <c r="G467" s="15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spans="2:30" ht="26.25" customHeight="1">
      <c r="B468" s="13"/>
      <c r="C468" s="13"/>
      <c r="D468" s="13"/>
      <c r="E468" s="13"/>
      <c r="F468" s="15"/>
      <c r="G468" s="15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spans="2:30" ht="26.25" customHeight="1">
      <c r="B469" s="13"/>
      <c r="C469" s="13"/>
      <c r="D469" s="13"/>
      <c r="E469" s="13"/>
      <c r="F469" s="15"/>
      <c r="G469" s="15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spans="2:30" ht="26.25" customHeight="1">
      <c r="B470" s="13"/>
      <c r="C470" s="13"/>
      <c r="D470" s="13"/>
      <c r="E470" s="13"/>
      <c r="F470" s="15"/>
      <c r="G470" s="15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spans="2:30" ht="26.25" customHeight="1">
      <c r="B471" s="13"/>
      <c r="C471" s="13"/>
      <c r="D471" s="13"/>
      <c r="E471" s="13"/>
      <c r="F471" s="15"/>
      <c r="G471" s="15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spans="2:30" ht="26.25" customHeight="1">
      <c r="B472" s="13"/>
      <c r="C472" s="13"/>
      <c r="D472" s="13"/>
      <c r="E472" s="13"/>
      <c r="F472" s="15"/>
      <c r="G472" s="15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spans="2:30" ht="26.25" customHeight="1">
      <c r="B473" s="13"/>
      <c r="C473" s="13"/>
      <c r="D473" s="13"/>
      <c r="E473" s="13"/>
      <c r="F473" s="15"/>
      <c r="G473" s="15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spans="2:30" ht="26.25" customHeight="1">
      <c r="B474" s="13"/>
      <c r="C474" s="13"/>
      <c r="D474" s="13"/>
      <c r="E474" s="13"/>
      <c r="F474" s="15"/>
      <c r="G474" s="15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spans="2:30" ht="26.25" customHeight="1">
      <c r="B475" s="13"/>
      <c r="C475" s="13"/>
      <c r="D475" s="13"/>
      <c r="E475" s="13"/>
      <c r="F475" s="15"/>
      <c r="G475" s="15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spans="2:30" ht="26.25" customHeight="1">
      <c r="B476" s="13"/>
      <c r="C476" s="13"/>
      <c r="D476" s="13"/>
      <c r="E476" s="13"/>
      <c r="F476" s="15"/>
      <c r="G476" s="15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spans="2:30" ht="26.25" customHeight="1">
      <c r="B477" s="13"/>
      <c r="C477" s="13"/>
      <c r="D477" s="13"/>
      <c r="E477" s="13"/>
      <c r="F477" s="15"/>
      <c r="G477" s="15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spans="2:30" ht="26.25" customHeight="1">
      <c r="B478" s="13"/>
      <c r="C478" s="13"/>
      <c r="D478" s="13"/>
      <c r="E478" s="13"/>
      <c r="F478" s="15"/>
      <c r="G478" s="15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spans="2:30" ht="26.25" customHeight="1">
      <c r="B479" s="13"/>
      <c r="C479" s="13"/>
      <c r="D479" s="13"/>
      <c r="E479" s="13"/>
      <c r="F479" s="15"/>
      <c r="G479" s="15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spans="2:30" ht="26.25" customHeight="1">
      <c r="B480" s="13"/>
      <c r="C480" s="13"/>
      <c r="D480" s="13"/>
      <c r="E480" s="13"/>
      <c r="F480" s="15"/>
      <c r="G480" s="15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spans="2:30" ht="26.25" customHeight="1">
      <c r="B481" s="13"/>
      <c r="C481" s="13"/>
      <c r="D481" s="13"/>
      <c r="E481" s="13"/>
      <c r="F481" s="15"/>
      <c r="G481" s="15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spans="2:30" ht="26.25" customHeight="1">
      <c r="B482" s="13"/>
      <c r="C482" s="13"/>
      <c r="D482" s="13"/>
      <c r="E482" s="13"/>
      <c r="F482" s="15"/>
      <c r="G482" s="15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spans="2:30" ht="26.25" customHeight="1">
      <c r="B483" s="13"/>
      <c r="C483" s="13"/>
      <c r="D483" s="13"/>
      <c r="E483" s="13"/>
      <c r="F483" s="15"/>
      <c r="G483" s="15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spans="2:30" ht="26.25" customHeight="1">
      <c r="B484" s="13"/>
      <c r="C484" s="13"/>
      <c r="D484" s="13"/>
      <c r="E484" s="13"/>
      <c r="F484" s="15"/>
      <c r="G484" s="15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spans="2:30" ht="26.25" customHeight="1">
      <c r="B485" s="13"/>
      <c r="C485" s="13"/>
      <c r="D485" s="13"/>
      <c r="E485" s="13"/>
      <c r="F485" s="15"/>
      <c r="G485" s="15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spans="2:30" ht="26.25" customHeight="1">
      <c r="B486" s="13"/>
      <c r="C486" s="13"/>
      <c r="D486" s="13"/>
      <c r="E486" s="13"/>
      <c r="F486" s="15"/>
      <c r="G486" s="15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spans="2:30" ht="26.25" customHeight="1">
      <c r="B487" s="13"/>
      <c r="C487" s="13"/>
      <c r="D487" s="13"/>
      <c r="E487" s="13"/>
      <c r="F487" s="15"/>
      <c r="G487" s="15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spans="2:30" ht="26.25" customHeight="1">
      <c r="B488" s="13"/>
      <c r="C488" s="13"/>
      <c r="D488" s="13"/>
      <c r="E488" s="13"/>
      <c r="F488" s="15"/>
      <c r="G488" s="15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spans="2:30" ht="26.25" customHeight="1">
      <c r="B489" s="13"/>
      <c r="C489" s="13"/>
      <c r="D489" s="13"/>
      <c r="E489" s="13"/>
      <c r="F489" s="15"/>
      <c r="G489" s="15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spans="2:30" ht="26.25" customHeight="1">
      <c r="B490" s="13"/>
      <c r="C490" s="13"/>
      <c r="D490" s="13"/>
      <c r="E490" s="13"/>
      <c r="F490" s="15"/>
      <c r="G490" s="15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spans="2:30" ht="26.25" customHeight="1">
      <c r="B491" s="13"/>
      <c r="C491" s="13"/>
      <c r="D491" s="13"/>
      <c r="E491" s="13"/>
      <c r="F491" s="15"/>
      <c r="G491" s="15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spans="2:30" ht="26.25" customHeight="1">
      <c r="B492" s="13"/>
      <c r="C492" s="13"/>
      <c r="D492" s="13"/>
      <c r="E492" s="13"/>
      <c r="F492" s="15"/>
      <c r="G492" s="15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spans="2:30" ht="26.25" customHeight="1">
      <c r="B493" s="13"/>
      <c r="C493" s="13"/>
      <c r="D493" s="13"/>
      <c r="E493" s="13"/>
      <c r="F493" s="15"/>
      <c r="G493" s="15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spans="2:30" ht="26.25" customHeight="1">
      <c r="B494" s="13"/>
      <c r="C494" s="13"/>
      <c r="D494" s="13"/>
      <c r="E494" s="13"/>
      <c r="F494" s="15"/>
      <c r="G494" s="15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spans="2:30" ht="26.25" customHeight="1">
      <c r="B495" s="13"/>
      <c r="C495" s="13"/>
      <c r="D495" s="13"/>
      <c r="E495" s="13"/>
      <c r="F495" s="15"/>
      <c r="G495" s="15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spans="2:30" ht="26.25" customHeight="1">
      <c r="B496" s="13"/>
      <c r="C496" s="13"/>
      <c r="D496" s="13"/>
      <c r="E496" s="13"/>
      <c r="F496" s="15"/>
      <c r="G496" s="15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spans="2:30" ht="26.25" customHeight="1">
      <c r="B497" s="13"/>
      <c r="C497" s="13"/>
      <c r="D497" s="13"/>
      <c r="E497" s="13"/>
      <c r="F497" s="15"/>
      <c r="G497" s="15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spans="2:30" ht="26.25" customHeight="1">
      <c r="B498" s="13"/>
      <c r="C498" s="13"/>
      <c r="D498" s="13"/>
      <c r="E498" s="13"/>
      <c r="F498" s="15"/>
      <c r="G498" s="15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spans="2:30" ht="26.25" customHeight="1">
      <c r="B499" s="13"/>
      <c r="C499" s="13"/>
      <c r="D499" s="13"/>
      <c r="E499" s="13"/>
      <c r="F499" s="15"/>
      <c r="G499" s="15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spans="2:30" ht="26.25" customHeight="1">
      <c r="B500" s="13"/>
      <c r="C500" s="13"/>
      <c r="D500" s="13"/>
      <c r="E500" s="13"/>
      <c r="F500" s="15"/>
      <c r="G500" s="15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spans="2:30" ht="26.25" customHeight="1">
      <c r="B501" s="13"/>
      <c r="C501" s="13"/>
      <c r="D501" s="13"/>
      <c r="E501" s="13"/>
      <c r="F501" s="15"/>
      <c r="G501" s="15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spans="2:30" ht="26.25" customHeight="1">
      <c r="B502" s="13"/>
      <c r="C502" s="13"/>
      <c r="D502" s="13"/>
      <c r="E502" s="13"/>
      <c r="F502" s="15"/>
      <c r="G502" s="15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spans="2:30" ht="26.25" customHeight="1">
      <c r="B503" s="13"/>
      <c r="C503" s="13"/>
      <c r="D503" s="13"/>
      <c r="E503" s="13"/>
      <c r="F503" s="15"/>
      <c r="G503" s="15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spans="2:30" ht="26.25" customHeight="1">
      <c r="B504" s="13"/>
      <c r="C504" s="13"/>
      <c r="D504" s="13"/>
      <c r="E504" s="13"/>
      <c r="F504" s="15"/>
      <c r="G504" s="15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spans="2:30" ht="26.25" customHeight="1">
      <c r="B505" s="13"/>
      <c r="C505" s="13"/>
      <c r="D505" s="13"/>
      <c r="E505" s="13"/>
      <c r="F505" s="15"/>
      <c r="G505" s="15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spans="2:30" ht="26.25" customHeight="1">
      <c r="B506" s="13"/>
      <c r="C506" s="13"/>
      <c r="D506" s="13"/>
      <c r="E506" s="13"/>
      <c r="F506" s="15"/>
      <c r="G506" s="15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spans="2:30" ht="26.25" customHeight="1">
      <c r="B507" s="13"/>
      <c r="C507" s="13"/>
      <c r="D507" s="13"/>
      <c r="E507" s="13"/>
      <c r="F507" s="15"/>
      <c r="G507" s="15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spans="2:30" ht="26.25" customHeight="1">
      <c r="B508" s="13"/>
      <c r="C508" s="13"/>
      <c r="D508" s="13"/>
      <c r="E508" s="13"/>
      <c r="F508" s="15"/>
      <c r="G508" s="15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spans="2:30" ht="26.25" customHeight="1">
      <c r="B509" s="13"/>
      <c r="C509" s="13"/>
      <c r="D509" s="13"/>
      <c r="E509" s="13"/>
      <c r="F509" s="15"/>
      <c r="G509" s="15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spans="2:30" ht="26.25" customHeight="1">
      <c r="B510" s="13"/>
      <c r="C510" s="13"/>
      <c r="D510" s="13"/>
      <c r="E510" s="13"/>
      <c r="F510" s="15"/>
      <c r="G510" s="15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spans="2:30" ht="26.25" customHeight="1">
      <c r="B511" s="13"/>
      <c r="C511" s="13"/>
      <c r="D511" s="13"/>
      <c r="E511" s="13"/>
      <c r="F511" s="15"/>
      <c r="G511" s="15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spans="2:30" ht="26.25" customHeight="1">
      <c r="B512" s="13"/>
      <c r="C512" s="13"/>
      <c r="D512" s="13"/>
      <c r="E512" s="13"/>
      <c r="F512" s="15"/>
      <c r="G512" s="15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spans="2:30" ht="26.25" customHeight="1">
      <c r="B513" s="13"/>
      <c r="C513" s="13"/>
      <c r="D513" s="13"/>
      <c r="E513" s="13"/>
      <c r="F513" s="15"/>
      <c r="G513" s="15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spans="2:30" ht="26.25" customHeight="1">
      <c r="B514" s="13"/>
      <c r="C514" s="13"/>
      <c r="D514" s="13"/>
      <c r="E514" s="13"/>
      <c r="F514" s="15"/>
      <c r="G514" s="15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spans="2:30" ht="26.25" customHeight="1">
      <c r="B515" s="13"/>
      <c r="C515" s="13"/>
      <c r="D515" s="13"/>
      <c r="E515" s="13"/>
      <c r="F515" s="15"/>
      <c r="G515" s="15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spans="2:30" ht="26.25" customHeight="1">
      <c r="B516" s="13"/>
      <c r="C516" s="13"/>
      <c r="D516" s="13"/>
      <c r="E516" s="13"/>
      <c r="F516" s="15"/>
      <c r="G516" s="15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spans="2:30" ht="26.25" customHeight="1">
      <c r="B517" s="13"/>
      <c r="C517" s="13"/>
      <c r="D517" s="13"/>
      <c r="E517" s="13"/>
      <c r="F517" s="15"/>
      <c r="G517" s="15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spans="2:30" ht="26.25" customHeight="1">
      <c r="B518" s="13"/>
      <c r="C518" s="13"/>
      <c r="D518" s="13"/>
      <c r="E518" s="13"/>
      <c r="F518" s="15"/>
      <c r="G518" s="15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spans="2:30" ht="26.25" customHeight="1">
      <c r="B519" s="13"/>
      <c r="C519" s="13"/>
      <c r="D519" s="13"/>
      <c r="E519" s="13"/>
      <c r="F519" s="15"/>
      <c r="G519" s="15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spans="2:30" ht="26.25" customHeight="1">
      <c r="B520" s="13"/>
      <c r="C520" s="13"/>
      <c r="D520" s="13"/>
      <c r="E520" s="13"/>
      <c r="F520" s="15"/>
      <c r="G520" s="15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spans="2:30" ht="26.25" customHeight="1">
      <c r="B521" s="13"/>
      <c r="C521" s="13"/>
      <c r="D521" s="13"/>
      <c r="E521" s="13"/>
      <c r="F521" s="15"/>
      <c r="G521" s="15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spans="2:30" ht="26.25" customHeight="1">
      <c r="B522" s="13"/>
      <c r="C522" s="13"/>
      <c r="D522" s="13"/>
      <c r="E522" s="13"/>
      <c r="F522" s="15"/>
      <c r="G522" s="15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spans="2:30" ht="26.25" customHeight="1">
      <c r="B523" s="13"/>
      <c r="C523" s="13"/>
      <c r="D523" s="13"/>
      <c r="E523" s="13"/>
      <c r="F523" s="15"/>
      <c r="G523" s="15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spans="2:30" ht="26.25" customHeight="1">
      <c r="B524" s="13"/>
      <c r="C524" s="13"/>
      <c r="D524" s="13"/>
      <c r="E524" s="13"/>
      <c r="F524" s="15"/>
      <c r="G524" s="15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spans="2:30" ht="26.25" customHeight="1">
      <c r="B525" s="13"/>
      <c r="C525" s="13"/>
      <c r="D525" s="13"/>
      <c r="E525" s="13"/>
      <c r="F525" s="15"/>
      <c r="G525" s="15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spans="2:30" ht="26.25" customHeight="1">
      <c r="B526" s="13"/>
      <c r="C526" s="13"/>
      <c r="D526" s="13"/>
      <c r="E526" s="13"/>
      <c r="F526" s="15"/>
      <c r="G526" s="15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spans="2:30" ht="26.25" customHeight="1">
      <c r="B527" s="13"/>
      <c r="C527" s="13"/>
      <c r="D527" s="13"/>
      <c r="E527" s="13"/>
      <c r="F527" s="15"/>
      <c r="G527" s="15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spans="2:30" ht="26.25" customHeight="1">
      <c r="B528" s="13"/>
      <c r="C528" s="13"/>
      <c r="D528" s="13"/>
      <c r="E528" s="13"/>
      <c r="F528" s="15"/>
      <c r="G528" s="15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spans="2:30" ht="26.25" customHeight="1">
      <c r="B529" s="13"/>
      <c r="C529" s="13"/>
      <c r="D529" s="13"/>
      <c r="E529" s="13"/>
      <c r="F529" s="15"/>
      <c r="G529" s="15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spans="2:30" ht="26.25" customHeight="1">
      <c r="B530" s="13"/>
      <c r="C530" s="13"/>
      <c r="D530" s="13"/>
      <c r="E530" s="13"/>
      <c r="F530" s="15"/>
      <c r="G530" s="15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spans="2:30" ht="26.25" customHeight="1">
      <c r="B531" s="13"/>
      <c r="C531" s="13"/>
      <c r="D531" s="13"/>
      <c r="E531" s="13"/>
      <c r="F531" s="15"/>
      <c r="G531" s="15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spans="2:30" ht="26.25" customHeight="1">
      <c r="B532" s="13"/>
      <c r="C532" s="13"/>
      <c r="D532" s="13"/>
      <c r="E532" s="13"/>
      <c r="F532" s="15"/>
      <c r="G532" s="15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spans="2:30" ht="26.25" customHeight="1">
      <c r="B533" s="13"/>
      <c r="C533" s="13"/>
      <c r="D533" s="13"/>
      <c r="E533" s="13"/>
      <c r="F533" s="15"/>
      <c r="G533" s="15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spans="2:30" ht="26.25" customHeight="1">
      <c r="B534" s="13"/>
      <c r="C534" s="13"/>
      <c r="D534" s="13"/>
      <c r="E534" s="13"/>
      <c r="F534" s="15"/>
      <c r="G534" s="15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spans="2:30" ht="26.25" customHeight="1">
      <c r="B535" s="13"/>
      <c r="C535" s="13"/>
      <c r="D535" s="13"/>
      <c r="E535" s="13"/>
      <c r="F535" s="15"/>
      <c r="G535" s="15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spans="2:30" ht="26.25" customHeight="1">
      <c r="B536" s="13"/>
      <c r="C536" s="13"/>
      <c r="D536" s="13"/>
      <c r="E536" s="13"/>
      <c r="F536" s="15"/>
      <c r="G536" s="15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spans="2:30" ht="26.25" customHeight="1">
      <c r="B537" s="13"/>
      <c r="C537" s="13"/>
      <c r="D537" s="13"/>
      <c r="E537" s="13"/>
      <c r="F537" s="15"/>
      <c r="G537" s="15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spans="2:30" ht="26.25" customHeight="1">
      <c r="B538" s="13"/>
      <c r="C538" s="13"/>
      <c r="D538" s="13"/>
      <c r="E538" s="13"/>
      <c r="F538" s="15"/>
      <c r="G538" s="15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spans="2:30" ht="26.25" customHeight="1">
      <c r="B539" s="13"/>
      <c r="C539" s="13"/>
      <c r="D539" s="13"/>
      <c r="E539" s="13"/>
      <c r="F539" s="15"/>
      <c r="G539" s="15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spans="2:30" ht="26.25" customHeight="1">
      <c r="B540" s="13"/>
      <c r="C540" s="13"/>
      <c r="D540" s="13"/>
      <c r="E540" s="13"/>
      <c r="F540" s="15"/>
      <c r="G540" s="15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spans="2:30" ht="26.25" customHeight="1">
      <c r="B541" s="13"/>
      <c r="C541" s="13"/>
      <c r="D541" s="13"/>
      <c r="E541" s="13"/>
      <c r="F541" s="15"/>
      <c r="G541" s="15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spans="2:30" ht="26.25" customHeight="1">
      <c r="B542" s="13"/>
      <c r="C542" s="13"/>
      <c r="D542" s="13"/>
      <c r="E542" s="13"/>
      <c r="F542" s="15"/>
      <c r="G542" s="15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spans="2:30" ht="26.25" customHeight="1">
      <c r="B543" s="13"/>
      <c r="C543" s="13"/>
      <c r="D543" s="13"/>
      <c r="E543" s="13"/>
      <c r="F543" s="15"/>
      <c r="G543" s="15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spans="2:30" ht="26.25" customHeight="1">
      <c r="B544" s="13"/>
      <c r="C544" s="13"/>
      <c r="D544" s="13"/>
      <c r="E544" s="13"/>
      <c r="F544" s="15"/>
      <c r="G544" s="15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spans="2:30" ht="26.25" customHeight="1">
      <c r="B545" s="13"/>
      <c r="C545" s="13"/>
      <c r="D545" s="13"/>
      <c r="E545" s="13"/>
      <c r="F545" s="15"/>
      <c r="G545" s="15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spans="2:30" ht="26.25" customHeight="1">
      <c r="B546" s="13"/>
      <c r="C546" s="13"/>
      <c r="D546" s="13"/>
      <c r="E546" s="13"/>
      <c r="F546" s="15"/>
      <c r="G546" s="15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spans="2:30" ht="26.25" customHeight="1">
      <c r="B547" s="13"/>
      <c r="C547" s="13"/>
      <c r="D547" s="13"/>
      <c r="E547" s="13"/>
      <c r="F547" s="15"/>
      <c r="G547" s="15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spans="2:30" ht="26.25" customHeight="1">
      <c r="B548" s="13"/>
      <c r="C548" s="13"/>
      <c r="D548" s="13"/>
      <c r="E548" s="13"/>
      <c r="F548" s="15"/>
      <c r="G548" s="15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spans="2:30" ht="26.25" customHeight="1">
      <c r="B549" s="13"/>
      <c r="C549" s="13"/>
      <c r="D549" s="13"/>
      <c r="E549" s="13"/>
      <c r="F549" s="15"/>
      <c r="G549" s="15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spans="2:30" ht="26.25" customHeight="1">
      <c r="B550" s="13"/>
      <c r="C550" s="13"/>
      <c r="D550" s="13"/>
      <c r="E550" s="13"/>
      <c r="F550" s="15"/>
      <c r="G550" s="15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spans="2:30" ht="26.25" customHeight="1">
      <c r="B551" s="13"/>
      <c r="C551" s="13"/>
      <c r="D551" s="13"/>
      <c r="E551" s="13"/>
      <c r="F551" s="15"/>
      <c r="G551" s="15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spans="2:30" ht="26.25" customHeight="1">
      <c r="B552" s="13"/>
      <c r="C552" s="13"/>
      <c r="D552" s="13"/>
      <c r="E552" s="13"/>
      <c r="F552" s="15"/>
      <c r="G552" s="15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spans="2:30" ht="26.25" customHeight="1">
      <c r="B553" s="13"/>
      <c r="C553" s="13"/>
      <c r="D553" s="13"/>
      <c r="E553" s="13"/>
      <c r="F553" s="15"/>
      <c r="G553" s="15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spans="2:30" ht="26.25" customHeight="1">
      <c r="B554" s="13"/>
      <c r="C554" s="13"/>
      <c r="D554" s="13"/>
      <c r="E554" s="13"/>
      <c r="F554" s="15"/>
      <c r="G554" s="15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spans="2:30" ht="26.25" customHeight="1">
      <c r="B555" s="13"/>
      <c r="C555" s="13"/>
      <c r="D555" s="13"/>
      <c r="E555" s="13"/>
      <c r="F555" s="15"/>
      <c r="G555" s="15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spans="2:30" ht="26.25" customHeight="1">
      <c r="B556" s="13"/>
      <c r="C556" s="13"/>
      <c r="D556" s="13"/>
      <c r="E556" s="13"/>
      <c r="F556" s="15"/>
      <c r="G556" s="15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spans="2:30" ht="26.25" customHeight="1">
      <c r="B557" s="13"/>
      <c r="C557" s="13"/>
      <c r="D557" s="13"/>
      <c r="E557" s="13"/>
      <c r="F557" s="15"/>
      <c r="G557" s="15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spans="2:30" ht="26.25" customHeight="1">
      <c r="B558" s="13"/>
      <c r="C558" s="13"/>
      <c r="D558" s="13"/>
      <c r="E558" s="13"/>
      <c r="F558" s="15"/>
      <c r="G558" s="15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spans="2:30" ht="26.25" customHeight="1">
      <c r="B559" s="13"/>
      <c r="C559" s="13"/>
      <c r="D559" s="13"/>
      <c r="E559" s="13"/>
      <c r="F559" s="15"/>
      <c r="G559" s="15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spans="2:30" ht="26.25" customHeight="1">
      <c r="B560" s="13"/>
      <c r="C560" s="13"/>
      <c r="D560" s="13"/>
      <c r="E560" s="13"/>
      <c r="F560" s="15"/>
      <c r="G560" s="15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spans="2:30" ht="26.25" customHeight="1">
      <c r="B561" s="13"/>
      <c r="C561" s="13"/>
      <c r="D561" s="13"/>
      <c r="E561" s="13"/>
      <c r="F561" s="15"/>
      <c r="G561" s="15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spans="2:30" ht="26.25" customHeight="1">
      <c r="B562" s="13"/>
      <c r="C562" s="13"/>
      <c r="D562" s="13"/>
      <c r="E562" s="13"/>
      <c r="F562" s="15"/>
      <c r="G562" s="15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spans="2:30" ht="26.25" customHeight="1">
      <c r="B563" s="13"/>
      <c r="C563" s="13"/>
      <c r="D563" s="13"/>
      <c r="E563" s="13"/>
      <c r="F563" s="15"/>
      <c r="G563" s="15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spans="2:30" ht="26.25" customHeight="1">
      <c r="B564" s="13"/>
      <c r="C564" s="13"/>
      <c r="D564" s="13"/>
      <c r="E564" s="13"/>
      <c r="F564" s="15"/>
      <c r="G564" s="15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spans="2:30" ht="26.25" customHeight="1">
      <c r="B565" s="13"/>
      <c r="C565" s="13"/>
      <c r="D565" s="13"/>
      <c r="E565" s="13"/>
      <c r="F565" s="15"/>
      <c r="G565" s="15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spans="2:30" ht="26.25" customHeight="1">
      <c r="B566" s="13"/>
      <c r="C566" s="13"/>
      <c r="D566" s="13"/>
      <c r="E566" s="13"/>
      <c r="F566" s="15"/>
      <c r="G566" s="15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spans="2:30" ht="26.25" customHeight="1">
      <c r="B567" s="13"/>
      <c r="C567" s="13"/>
      <c r="D567" s="13"/>
      <c r="E567" s="13"/>
      <c r="F567" s="15"/>
      <c r="G567" s="15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spans="2:30" ht="26.25" customHeight="1">
      <c r="B568" s="13"/>
      <c r="C568" s="13"/>
      <c r="D568" s="13"/>
      <c r="E568" s="13"/>
      <c r="F568" s="15"/>
      <c r="G568" s="15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spans="2:30" ht="26.25" customHeight="1">
      <c r="B569" s="13"/>
      <c r="C569" s="13"/>
      <c r="D569" s="13"/>
      <c r="E569" s="13"/>
      <c r="F569" s="15"/>
      <c r="G569" s="15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spans="2:30" ht="26.25" customHeight="1">
      <c r="B570" s="13"/>
      <c r="C570" s="13"/>
      <c r="D570" s="13"/>
      <c r="E570" s="13"/>
      <c r="F570" s="15"/>
      <c r="G570" s="15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spans="2:30" ht="26.25" customHeight="1">
      <c r="B571" s="13"/>
      <c r="C571" s="13"/>
      <c r="D571" s="13"/>
      <c r="E571" s="13"/>
      <c r="F571" s="15"/>
      <c r="G571" s="15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spans="2:30" ht="26.25" customHeight="1">
      <c r="B572" s="13"/>
      <c r="C572" s="13"/>
      <c r="D572" s="13"/>
      <c r="E572" s="13"/>
      <c r="F572" s="15"/>
      <c r="G572" s="15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spans="2:30" ht="26.25" customHeight="1">
      <c r="B573" s="13"/>
      <c r="C573" s="13"/>
      <c r="D573" s="13"/>
      <c r="E573" s="13"/>
      <c r="F573" s="15"/>
      <c r="G573" s="15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spans="2:30" ht="26.25" customHeight="1">
      <c r="B574" s="13"/>
      <c r="C574" s="13"/>
      <c r="D574" s="13"/>
      <c r="E574" s="13"/>
      <c r="F574" s="15"/>
      <c r="G574" s="15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spans="2:30" ht="26.25" customHeight="1">
      <c r="B575" s="13"/>
      <c r="C575" s="13"/>
      <c r="D575" s="13"/>
      <c r="E575" s="13"/>
      <c r="F575" s="15"/>
      <c r="G575" s="15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spans="2:30" ht="26.25" customHeight="1">
      <c r="B576" s="13"/>
      <c r="C576" s="13"/>
      <c r="D576" s="13"/>
      <c r="E576" s="13"/>
      <c r="F576" s="15"/>
      <c r="G576" s="15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spans="2:30" ht="26.25" customHeight="1">
      <c r="B577" s="13"/>
      <c r="C577" s="13"/>
      <c r="D577" s="13"/>
      <c r="E577" s="13"/>
      <c r="F577" s="15"/>
      <c r="G577" s="15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spans="2:30" ht="26.25" customHeight="1">
      <c r="B578" s="13"/>
      <c r="C578" s="13"/>
      <c r="D578" s="13"/>
      <c r="E578" s="13"/>
      <c r="F578" s="15"/>
      <c r="G578" s="15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spans="2:30" ht="26.25" customHeight="1">
      <c r="B579" s="13"/>
      <c r="C579" s="13"/>
      <c r="D579" s="13"/>
      <c r="E579" s="13"/>
      <c r="F579" s="15"/>
      <c r="G579" s="15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spans="2:30" ht="26.25" customHeight="1">
      <c r="B580" s="13"/>
      <c r="C580" s="13"/>
      <c r="D580" s="13"/>
      <c r="E580" s="13"/>
      <c r="F580" s="15"/>
      <c r="G580" s="15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spans="2:30" ht="26.25" customHeight="1">
      <c r="B581" s="13"/>
      <c r="C581" s="13"/>
      <c r="D581" s="13"/>
      <c r="E581" s="13"/>
      <c r="F581" s="15"/>
      <c r="G581" s="15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spans="2:30" ht="26.25" customHeight="1">
      <c r="B582" s="13"/>
      <c r="C582" s="13"/>
      <c r="D582" s="13"/>
      <c r="E582" s="13"/>
      <c r="F582" s="15"/>
      <c r="G582" s="15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spans="2:30" ht="26.25" customHeight="1">
      <c r="B583" s="13"/>
      <c r="C583" s="13"/>
      <c r="D583" s="13"/>
      <c r="E583" s="13"/>
      <c r="F583" s="15"/>
      <c r="G583" s="15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spans="2:30" ht="26.25" customHeight="1">
      <c r="B584" s="13"/>
      <c r="C584" s="13"/>
      <c r="D584" s="13"/>
      <c r="E584" s="13"/>
      <c r="F584" s="15"/>
      <c r="G584" s="15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spans="2:30" ht="26.25" customHeight="1">
      <c r="B585" s="13"/>
      <c r="C585" s="13"/>
      <c r="D585" s="13"/>
      <c r="E585" s="13"/>
      <c r="F585" s="15"/>
      <c r="G585" s="15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spans="2:30" ht="26.25" customHeight="1">
      <c r="B586" s="13"/>
      <c r="C586" s="13"/>
      <c r="D586" s="13"/>
      <c r="E586" s="13"/>
      <c r="F586" s="15"/>
      <c r="G586" s="15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spans="2:30" ht="26.25" customHeight="1">
      <c r="B587" s="13"/>
      <c r="C587" s="13"/>
      <c r="D587" s="13"/>
      <c r="E587" s="13"/>
      <c r="F587" s="15"/>
      <c r="G587" s="15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spans="2:30" ht="26.25" customHeight="1">
      <c r="B588" s="13"/>
      <c r="C588" s="13"/>
      <c r="D588" s="13"/>
      <c r="E588" s="13"/>
      <c r="F588" s="15"/>
      <c r="G588" s="15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spans="2:30" ht="26.25" customHeight="1">
      <c r="B589" s="13"/>
      <c r="C589" s="13"/>
      <c r="D589" s="13"/>
      <c r="E589" s="13"/>
      <c r="F589" s="15"/>
      <c r="G589" s="15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spans="2:30" ht="26.25" customHeight="1">
      <c r="B590" s="13"/>
      <c r="C590" s="13"/>
      <c r="D590" s="13"/>
      <c r="E590" s="13"/>
      <c r="F590" s="15"/>
      <c r="G590" s="15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spans="2:30" ht="26.25" customHeight="1">
      <c r="B591" s="13"/>
      <c r="C591" s="13"/>
      <c r="D591" s="13"/>
      <c r="E591" s="13"/>
      <c r="F591" s="15"/>
      <c r="G591" s="15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spans="2:30" ht="26.25" customHeight="1">
      <c r="B592" s="13"/>
      <c r="C592" s="13"/>
      <c r="D592" s="13"/>
      <c r="E592" s="13"/>
      <c r="F592" s="15"/>
      <c r="G592" s="15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spans="2:30" ht="26.25" customHeight="1">
      <c r="B593" s="13"/>
      <c r="C593" s="13"/>
      <c r="D593" s="13"/>
      <c r="E593" s="13"/>
      <c r="F593" s="15"/>
      <c r="G593" s="15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spans="2:30" ht="26.25" customHeight="1">
      <c r="B594" s="13"/>
      <c r="C594" s="13"/>
      <c r="D594" s="13"/>
      <c r="E594" s="13"/>
      <c r="F594" s="15"/>
      <c r="G594" s="15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spans="2:30" ht="26.25" customHeight="1">
      <c r="B595" s="13"/>
      <c r="C595" s="13"/>
      <c r="D595" s="13"/>
      <c r="E595" s="13"/>
      <c r="F595" s="15"/>
      <c r="G595" s="15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spans="2:30" ht="26.25" customHeight="1">
      <c r="B596" s="13"/>
      <c r="C596" s="13"/>
      <c r="D596" s="13"/>
      <c r="E596" s="13"/>
      <c r="F596" s="15"/>
      <c r="G596" s="15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spans="2:30" ht="26.25" customHeight="1">
      <c r="B597" s="13"/>
      <c r="C597" s="13"/>
      <c r="D597" s="13"/>
      <c r="E597" s="13"/>
      <c r="F597" s="15"/>
      <c r="G597" s="15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spans="2:30" ht="26.25" customHeight="1">
      <c r="B598" s="13"/>
      <c r="C598" s="13"/>
      <c r="D598" s="13"/>
      <c r="E598" s="13"/>
      <c r="F598" s="15"/>
      <c r="G598" s="15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spans="2:30" ht="26.25" customHeight="1">
      <c r="B599" s="13"/>
      <c r="C599" s="13"/>
      <c r="D599" s="13"/>
      <c r="E599" s="13"/>
      <c r="F599" s="15"/>
      <c r="G599" s="15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spans="2:30" ht="26.25" customHeight="1">
      <c r="B600" s="13"/>
      <c r="C600" s="13"/>
      <c r="D600" s="13"/>
      <c r="E600" s="13"/>
      <c r="F600" s="15"/>
      <c r="G600" s="15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spans="2:30" ht="26.25" customHeight="1">
      <c r="B601" s="13"/>
      <c r="C601" s="13"/>
      <c r="D601" s="13"/>
      <c r="E601" s="13"/>
      <c r="F601" s="15"/>
      <c r="G601" s="15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spans="2:30" ht="26.25" customHeight="1">
      <c r="B602" s="13"/>
      <c r="C602" s="13"/>
      <c r="D602" s="13"/>
      <c r="E602" s="13"/>
      <c r="F602" s="15"/>
      <c r="G602" s="15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spans="2:30" ht="26.25" customHeight="1">
      <c r="B603" s="13"/>
      <c r="C603" s="13"/>
      <c r="D603" s="13"/>
      <c r="E603" s="13"/>
      <c r="F603" s="15"/>
      <c r="G603" s="15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spans="2:30" ht="26.25" customHeight="1">
      <c r="B604" s="13"/>
      <c r="C604" s="13"/>
      <c r="D604" s="13"/>
      <c r="E604" s="13"/>
      <c r="F604" s="15"/>
      <c r="G604" s="15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spans="2:30" ht="26.25" customHeight="1">
      <c r="B605" s="13"/>
      <c r="C605" s="13"/>
      <c r="D605" s="13"/>
      <c r="E605" s="13"/>
      <c r="F605" s="15"/>
      <c r="G605" s="15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spans="2:30" ht="26.25" customHeight="1">
      <c r="B606" s="13"/>
      <c r="C606" s="13"/>
      <c r="D606" s="13"/>
      <c r="E606" s="13"/>
      <c r="F606" s="15"/>
      <c r="G606" s="15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spans="2:30" ht="26.25" customHeight="1">
      <c r="B607" s="13"/>
      <c r="C607" s="13"/>
      <c r="D607" s="13"/>
      <c r="E607" s="13"/>
      <c r="F607" s="15"/>
      <c r="G607" s="15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spans="2:30" ht="26.25" customHeight="1">
      <c r="B608" s="13"/>
      <c r="C608" s="13"/>
      <c r="D608" s="13"/>
      <c r="E608" s="13"/>
      <c r="F608" s="15"/>
      <c r="G608" s="15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spans="2:30" ht="26.25" customHeight="1">
      <c r="B609" s="13"/>
      <c r="C609" s="13"/>
      <c r="D609" s="13"/>
      <c r="E609" s="13"/>
      <c r="F609" s="15"/>
      <c r="G609" s="15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spans="2:30" ht="26.25" customHeight="1">
      <c r="B610" s="13"/>
      <c r="C610" s="13"/>
      <c r="D610" s="13"/>
      <c r="E610" s="13"/>
      <c r="F610" s="15"/>
      <c r="G610" s="15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spans="2:30" ht="26.25" customHeight="1">
      <c r="B611" s="13"/>
      <c r="C611" s="13"/>
      <c r="D611" s="13"/>
      <c r="E611" s="13"/>
      <c r="F611" s="15"/>
      <c r="G611" s="15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spans="2:30" ht="26.25" customHeight="1">
      <c r="B612" s="13"/>
      <c r="C612" s="13"/>
      <c r="D612" s="13"/>
      <c r="E612" s="13"/>
      <c r="F612" s="15"/>
      <c r="G612" s="15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spans="2:30" ht="26.25" customHeight="1">
      <c r="B613" s="13"/>
      <c r="C613" s="13"/>
      <c r="D613" s="13"/>
      <c r="E613" s="13"/>
      <c r="F613" s="15"/>
      <c r="G613" s="15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spans="2:30" ht="26.25" customHeight="1">
      <c r="B614" s="13"/>
      <c r="C614" s="13"/>
      <c r="D614" s="13"/>
      <c r="E614" s="13"/>
      <c r="F614" s="15"/>
      <c r="G614" s="15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spans="2:30" ht="26.25" customHeight="1">
      <c r="B615" s="13"/>
      <c r="C615" s="13"/>
      <c r="D615" s="13"/>
      <c r="E615" s="13"/>
      <c r="F615" s="15"/>
      <c r="G615" s="15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spans="2:30" ht="26.25" customHeight="1">
      <c r="B616" s="13"/>
      <c r="C616" s="13"/>
      <c r="D616" s="13"/>
      <c r="E616" s="13"/>
      <c r="F616" s="15"/>
      <c r="G616" s="15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spans="2:30" ht="26.25" customHeight="1">
      <c r="B617" s="13"/>
      <c r="C617" s="13"/>
      <c r="D617" s="13"/>
      <c r="E617" s="13"/>
      <c r="F617" s="15"/>
      <c r="G617" s="15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spans="2:30" ht="26.25" customHeight="1">
      <c r="B618" s="13"/>
      <c r="C618" s="13"/>
      <c r="D618" s="13"/>
      <c r="E618" s="13"/>
      <c r="F618" s="15"/>
      <c r="G618" s="15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spans="2:30" ht="26.25" customHeight="1">
      <c r="B619" s="13"/>
      <c r="C619" s="13"/>
      <c r="D619" s="13"/>
      <c r="E619" s="13"/>
      <c r="F619" s="15"/>
      <c r="G619" s="15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spans="2:30" ht="26.25" customHeight="1">
      <c r="B620" s="13"/>
      <c r="C620" s="13"/>
      <c r="D620" s="13"/>
      <c r="E620" s="13"/>
      <c r="F620" s="15"/>
      <c r="G620" s="15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spans="2:30" ht="26.25" customHeight="1">
      <c r="B621" s="13"/>
      <c r="C621" s="13"/>
      <c r="D621" s="13"/>
      <c r="E621" s="13"/>
      <c r="F621" s="15"/>
      <c r="G621" s="15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spans="2:30" ht="26.25" customHeight="1">
      <c r="B622" s="13"/>
      <c r="C622" s="13"/>
      <c r="D622" s="13"/>
      <c r="E622" s="13"/>
      <c r="F622" s="15"/>
      <c r="G622" s="15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spans="2:30" ht="26.25" customHeight="1">
      <c r="B623" s="13"/>
      <c r="C623" s="13"/>
      <c r="D623" s="13"/>
      <c r="E623" s="13"/>
      <c r="F623" s="15"/>
      <c r="G623" s="15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spans="2:30" ht="26.25" customHeight="1">
      <c r="B624" s="13"/>
      <c r="C624" s="13"/>
      <c r="D624" s="13"/>
      <c r="E624" s="13"/>
      <c r="F624" s="15"/>
      <c r="G624" s="15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spans="2:30" ht="26.25" customHeight="1">
      <c r="B625" s="13"/>
      <c r="C625" s="13"/>
      <c r="D625" s="13"/>
      <c r="E625" s="13"/>
      <c r="F625" s="15"/>
      <c r="G625" s="15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spans="2:30" ht="26.25" customHeight="1">
      <c r="B626" s="13"/>
      <c r="C626" s="13"/>
      <c r="D626" s="13"/>
      <c r="E626" s="13"/>
      <c r="F626" s="15"/>
      <c r="G626" s="15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spans="2:30" ht="26.25" customHeight="1">
      <c r="B627" s="13"/>
      <c r="C627" s="13"/>
      <c r="D627" s="13"/>
      <c r="E627" s="13"/>
      <c r="F627" s="15"/>
      <c r="G627" s="15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spans="2:30" ht="26.25" customHeight="1">
      <c r="B628" s="13"/>
      <c r="C628" s="13"/>
      <c r="D628" s="13"/>
      <c r="E628" s="13"/>
      <c r="F628" s="15"/>
      <c r="G628" s="15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spans="2:30" ht="26.25" customHeight="1">
      <c r="B629" s="13"/>
      <c r="C629" s="13"/>
      <c r="D629" s="13"/>
      <c r="E629" s="13"/>
      <c r="F629" s="15"/>
      <c r="G629" s="15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spans="2:30" ht="26.25" customHeight="1">
      <c r="B630" s="13"/>
      <c r="C630" s="13"/>
      <c r="D630" s="13"/>
      <c r="E630" s="13"/>
      <c r="F630" s="15"/>
      <c r="G630" s="15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spans="2:30" ht="26.25" customHeight="1">
      <c r="B631" s="13"/>
      <c r="C631" s="13"/>
      <c r="D631" s="13"/>
      <c r="E631" s="13"/>
      <c r="F631" s="15"/>
      <c r="G631" s="15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spans="2:30" ht="26.25" customHeight="1">
      <c r="B632" s="13"/>
      <c r="C632" s="13"/>
      <c r="D632" s="13"/>
      <c r="E632" s="13"/>
      <c r="F632" s="15"/>
      <c r="G632" s="15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spans="2:30" ht="26.25" customHeight="1">
      <c r="B633" s="13"/>
      <c r="C633" s="13"/>
      <c r="D633" s="13"/>
      <c r="E633" s="13"/>
      <c r="F633" s="15"/>
      <c r="G633" s="15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spans="2:30" ht="26.25" customHeight="1">
      <c r="B634" s="13"/>
      <c r="C634" s="13"/>
      <c r="D634" s="13"/>
      <c r="E634" s="13"/>
      <c r="F634" s="15"/>
      <c r="G634" s="15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spans="2:30" ht="26.25" customHeight="1">
      <c r="B635" s="13"/>
      <c r="C635" s="13"/>
      <c r="D635" s="13"/>
      <c r="E635" s="13"/>
      <c r="F635" s="15"/>
      <c r="G635" s="15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spans="2:30" ht="26.25" customHeight="1">
      <c r="B636" s="13"/>
      <c r="C636" s="13"/>
      <c r="D636" s="13"/>
      <c r="E636" s="13"/>
      <c r="F636" s="15"/>
      <c r="G636" s="15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spans="2:30" ht="26.25" customHeight="1">
      <c r="B637" s="13"/>
      <c r="C637" s="13"/>
      <c r="D637" s="13"/>
      <c r="E637" s="13"/>
      <c r="F637" s="15"/>
      <c r="G637" s="15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spans="2:30" ht="26.25" customHeight="1">
      <c r="B638" s="13"/>
      <c r="C638" s="13"/>
      <c r="D638" s="13"/>
      <c r="E638" s="13"/>
      <c r="F638" s="15"/>
      <c r="G638" s="15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spans="2:30" ht="26.25" customHeight="1">
      <c r="B639" s="13"/>
      <c r="C639" s="13"/>
      <c r="D639" s="13"/>
      <c r="E639" s="13"/>
      <c r="F639" s="15"/>
      <c r="G639" s="15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spans="2:30" ht="26.25" customHeight="1">
      <c r="B640" s="13"/>
      <c r="C640" s="13"/>
      <c r="D640" s="13"/>
      <c r="E640" s="13"/>
      <c r="F640" s="15"/>
      <c r="G640" s="15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spans="2:30" ht="26.25" customHeight="1">
      <c r="B641" s="13"/>
      <c r="C641" s="13"/>
      <c r="D641" s="13"/>
      <c r="E641" s="13"/>
      <c r="F641" s="15"/>
      <c r="G641" s="15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spans="2:30" ht="26.25" customHeight="1">
      <c r="B642" s="13"/>
      <c r="C642" s="13"/>
      <c r="D642" s="13"/>
      <c r="E642" s="13"/>
      <c r="F642" s="15"/>
      <c r="G642" s="15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spans="2:30" ht="26.25" customHeight="1">
      <c r="B643" s="13"/>
      <c r="C643" s="13"/>
      <c r="D643" s="13"/>
      <c r="E643" s="13"/>
      <c r="F643" s="15"/>
      <c r="G643" s="15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spans="2:30" ht="26.25" customHeight="1">
      <c r="B644" s="13"/>
      <c r="C644" s="13"/>
      <c r="D644" s="13"/>
      <c r="E644" s="13"/>
      <c r="F644" s="15"/>
      <c r="G644" s="15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spans="2:30" ht="26.25" customHeight="1">
      <c r="B645" s="13"/>
      <c r="C645" s="13"/>
      <c r="D645" s="13"/>
      <c r="E645" s="13"/>
      <c r="F645" s="15"/>
      <c r="G645" s="15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spans="2:30" ht="26.25" customHeight="1">
      <c r="B646" s="13"/>
      <c r="C646" s="13"/>
      <c r="D646" s="13"/>
      <c r="E646" s="13"/>
      <c r="F646" s="15"/>
      <c r="G646" s="15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spans="2:30" ht="26.25" customHeight="1">
      <c r="B647" s="13"/>
      <c r="C647" s="13"/>
      <c r="D647" s="13"/>
      <c r="E647" s="13"/>
      <c r="F647" s="15"/>
      <c r="G647" s="15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spans="2:30" ht="26.25" customHeight="1">
      <c r="B648" s="13"/>
      <c r="C648" s="13"/>
      <c r="D648" s="13"/>
      <c r="E648" s="13"/>
      <c r="F648" s="15"/>
      <c r="G648" s="15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spans="2:30" ht="26.25" customHeight="1">
      <c r="B649" s="13"/>
      <c r="C649" s="13"/>
      <c r="D649" s="13"/>
      <c r="E649" s="13"/>
      <c r="F649" s="15"/>
      <c r="G649" s="15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spans="2:30" ht="26.25" customHeight="1">
      <c r="B650" s="13"/>
      <c r="C650" s="13"/>
      <c r="D650" s="13"/>
      <c r="E650" s="13"/>
      <c r="F650" s="15"/>
      <c r="G650" s="15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spans="2:30" ht="26.25" customHeight="1">
      <c r="B651" s="13"/>
      <c r="C651" s="13"/>
      <c r="D651" s="13"/>
      <c r="E651" s="13"/>
      <c r="F651" s="15"/>
      <c r="G651" s="15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spans="2:30" ht="26.25" customHeight="1">
      <c r="B652" s="13"/>
      <c r="C652" s="13"/>
      <c r="D652" s="13"/>
      <c r="E652" s="13"/>
      <c r="F652" s="15"/>
      <c r="G652" s="15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spans="2:30" ht="26.25" customHeight="1">
      <c r="B653" s="13"/>
      <c r="C653" s="13"/>
      <c r="D653" s="13"/>
      <c r="E653" s="13"/>
      <c r="F653" s="15"/>
      <c r="G653" s="15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spans="2:30" ht="26.25" customHeight="1">
      <c r="B654" s="13"/>
      <c r="C654" s="13"/>
      <c r="D654" s="13"/>
      <c r="E654" s="13"/>
      <c r="F654" s="15"/>
      <c r="G654" s="15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spans="2:30" ht="26.25" customHeight="1">
      <c r="B655" s="13"/>
      <c r="C655" s="13"/>
      <c r="D655" s="13"/>
      <c r="E655" s="13"/>
      <c r="F655" s="15"/>
      <c r="G655" s="15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spans="2:30" ht="26.25" customHeight="1">
      <c r="B656" s="13"/>
      <c r="C656" s="13"/>
      <c r="D656" s="13"/>
      <c r="E656" s="13"/>
      <c r="F656" s="15"/>
      <c r="G656" s="15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spans="2:30" ht="26.25" customHeight="1">
      <c r="B657" s="13"/>
      <c r="C657" s="13"/>
      <c r="D657" s="13"/>
      <c r="E657" s="13"/>
      <c r="F657" s="15"/>
      <c r="G657" s="15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spans="2:30" ht="26.25" customHeight="1">
      <c r="B658" s="13"/>
      <c r="C658" s="13"/>
      <c r="D658" s="13"/>
      <c r="E658" s="13"/>
      <c r="F658" s="15"/>
      <c r="G658" s="15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spans="2:30" ht="26.25" customHeight="1">
      <c r="B659" s="13"/>
      <c r="C659" s="13"/>
      <c r="D659" s="13"/>
      <c r="E659" s="13"/>
      <c r="F659" s="15"/>
      <c r="G659" s="15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spans="2:30" ht="26.25" customHeight="1">
      <c r="B660" s="13"/>
      <c r="C660" s="13"/>
      <c r="D660" s="13"/>
      <c r="E660" s="13"/>
      <c r="F660" s="15"/>
      <c r="G660" s="15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spans="2:30" ht="26.25" customHeight="1">
      <c r="B661" s="13"/>
      <c r="C661" s="13"/>
      <c r="D661" s="13"/>
      <c r="E661" s="13"/>
      <c r="F661" s="15"/>
      <c r="G661" s="15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spans="2:30" ht="26.25" customHeight="1">
      <c r="B662" s="13"/>
      <c r="C662" s="13"/>
      <c r="D662" s="13"/>
      <c r="E662" s="13"/>
      <c r="F662" s="15"/>
      <c r="G662" s="15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spans="2:30" ht="26.25" customHeight="1">
      <c r="B663" s="13"/>
      <c r="C663" s="13"/>
      <c r="D663" s="13"/>
      <c r="E663" s="13"/>
      <c r="F663" s="15"/>
      <c r="G663" s="15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spans="2:30" ht="26.25" customHeight="1">
      <c r="B664" s="13"/>
      <c r="C664" s="13"/>
      <c r="D664" s="13"/>
      <c r="E664" s="13"/>
      <c r="F664" s="15"/>
      <c r="G664" s="15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spans="2:30" ht="26.25" customHeight="1">
      <c r="B665" s="13"/>
      <c r="C665" s="13"/>
      <c r="D665" s="13"/>
      <c r="E665" s="13"/>
      <c r="F665" s="15"/>
      <c r="G665" s="15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spans="2:30" ht="26.25" customHeight="1">
      <c r="B666" s="13"/>
      <c r="C666" s="13"/>
      <c r="D666" s="13"/>
      <c r="E666" s="13"/>
      <c r="F666" s="15"/>
      <c r="G666" s="15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spans="2:30" ht="26.25" customHeight="1">
      <c r="B667" s="13"/>
      <c r="C667" s="13"/>
      <c r="D667" s="13"/>
      <c r="E667" s="13"/>
      <c r="F667" s="15"/>
      <c r="G667" s="15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spans="2:30" ht="26.25" customHeight="1">
      <c r="B668" s="13"/>
      <c r="C668" s="13"/>
      <c r="D668" s="13"/>
      <c r="E668" s="13"/>
      <c r="F668" s="15"/>
      <c r="G668" s="15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spans="2:30" ht="26.25" customHeight="1">
      <c r="B669" s="13"/>
      <c r="C669" s="13"/>
      <c r="D669" s="13"/>
      <c r="E669" s="13"/>
      <c r="F669" s="15"/>
      <c r="G669" s="15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spans="2:30" ht="26.25" customHeight="1">
      <c r="B670" s="13"/>
      <c r="C670" s="13"/>
      <c r="D670" s="13"/>
      <c r="E670" s="13"/>
      <c r="F670" s="15"/>
      <c r="G670" s="15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spans="2:30" ht="26.25" customHeight="1">
      <c r="B671" s="13"/>
      <c r="C671" s="13"/>
      <c r="D671" s="13"/>
      <c r="E671" s="13"/>
      <c r="F671" s="15"/>
      <c r="G671" s="15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spans="2:30" ht="26.25" customHeight="1">
      <c r="B672" s="13"/>
      <c r="C672" s="13"/>
      <c r="D672" s="13"/>
      <c r="E672" s="13"/>
      <c r="F672" s="15"/>
      <c r="G672" s="15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spans="2:30" ht="26.25" customHeight="1">
      <c r="B673" s="13"/>
      <c r="C673" s="13"/>
      <c r="D673" s="13"/>
      <c r="E673" s="13"/>
      <c r="F673" s="15"/>
      <c r="G673" s="15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spans="2:30" ht="26.25" customHeight="1">
      <c r="B674" s="13"/>
      <c r="C674" s="13"/>
      <c r="D674" s="13"/>
      <c r="E674" s="13"/>
      <c r="F674" s="15"/>
      <c r="G674" s="15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spans="2:30" ht="26.25" customHeight="1">
      <c r="B675" s="13"/>
      <c r="C675" s="13"/>
      <c r="D675" s="13"/>
      <c r="E675" s="13"/>
      <c r="F675" s="15"/>
      <c r="G675" s="15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spans="2:30" ht="26.25" customHeight="1">
      <c r="B676" s="13"/>
      <c r="C676" s="13"/>
      <c r="D676" s="13"/>
      <c r="E676" s="13"/>
      <c r="F676" s="15"/>
      <c r="G676" s="15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spans="2:30" ht="26.25" customHeight="1">
      <c r="B677" s="13"/>
      <c r="C677" s="13"/>
      <c r="D677" s="13"/>
      <c r="E677" s="13"/>
      <c r="F677" s="15"/>
      <c r="G677" s="15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spans="2:30" ht="26.25" customHeight="1">
      <c r="B678" s="13"/>
      <c r="C678" s="13"/>
      <c r="D678" s="13"/>
      <c r="E678" s="13"/>
      <c r="F678" s="15"/>
      <c r="G678" s="15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spans="2:30" ht="26.25" customHeight="1">
      <c r="B679" s="13"/>
      <c r="C679" s="13"/>
      <c r="D679" s="13"/>
      <c r="E679" s="13"/>
      <c r="F679" s="15"/>
      <c r="G679" s="15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spans="2:30" ht="26.25" customHeight="1">
      <c r="B680" s="13"/>
      <c r="C680" s="13"/>
      <c r="D680" s="13"/>
      <c r="E680" s="13"/>
      <c r="F680" s="15"/>
      <c r="G680" s="15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spans="2:30" ht="26.25" customHeight="1">
      <c r="B681" s="13"/>
      <c r="C681" s="13"/>
      <c r="D681" s="13"/>
      <c r="E681" s="13"/>
      <c r="F681" s="15"/>
      <c r="G681" s="15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spans="2:30" ht="26.25" customHeight="1">
      <c r="B682" s="13"/>
      <c r="C682" s="13"/>
      <c r="D682" s="13"/>
      <c r="E682" s="13"/>
      <c r="F682" s="15"/>
      <c r="G682" s="15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spans="2:30" ht="26.25" customHeight="1">
      <c r="B683" s="13"/>
      <c r="C683" s="13"/>
      <c r="D683" s="13"/>
      <c r="E683" s="13"/>
      <c r="F683" s="15"/>
      <c r="G683" s="15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spans="2:30" ht="26.25" customHeight="1">
      <c r="B684" s="13"/>
      <c r="C684" s="13"/>
      <c r="D684" s="13"/>
      <c r="E684" s="13"/>
      <c r="F684" s="15"/>
      <c r="G684" s="15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spans="2:30" ht="26.25" customHeight="1">
      <c r="B685" s="13"/>
      <c r="C685" s="13"/>
      <c r="D685" s="13"/>
      <c r="E685" s="13"/>
      <c r="F685" s="15"/>
      <c r="G685" s="15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spans="2:30" ht="26.25" customHeight="1">
      <c r="B686" s="13"/>
      <c r="C686" s="13"/>
      <c r="D686" s="13"/>
      <c r="E686" s="13"/>
      <c r="F686" s="15"/>
      <c r="G686" s="15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spans="2:30" ht="26.25" customHeight="1">
      <c r="B687" s="13"/>
      <c r="C687" s="13"/>
      <c r="D687" s="13"/>
      <c r="E687" s="13"/>
      <c r="F687" s="15"/>
      <c r="G687" s="15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spans="2:30" ht="26.25" customHeight="1">
      <c r="B688" s="13"/>
      <c r="C688" s="13"/>
      <c r="D688" s="13"/>
      <c r="E688" s="13"/>
      <c r="F688" s="15"/>
      <c r="G688" s="15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spans="2:30" ht="26.25" customHeight="1">
      <c r="B689" s="13"/>
      <c r="C689" s="13"/>
      <c r="D689" s="13"/>
      <c r="E689" s="13"/>
      <c r="F689" s="15"/>
      <c r="G689" s="15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spans="2:30" ht="26.25" customHeight="1">
      <c r="B690" s="13"/>
      <c r="C690" s="13"/>
      <c r="D690" s="13"/>
      <c r="E690" s="13"/>
      <c r="F690" s="15"/>
      <c r="G690" s="15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spans="2:30" ht="26.25" customHeight="1">
      <c r="B691" s="13"/>
      <c r="C691" s="13"/>
      <c r="D691" s="13"/>
      <c r="E691" s="13"/>
      <c r="F691" s="15"/>
      <c r="G691" s="15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spans="2:30" ht="26.25" customHeight="1">
      <c r="B692" s="13"/>
      <c r="C692" s="13"/>
      <c r="D692" s="13"/>
      <c r="E692" s="13"/>
      <c r="F692" s="15"/>
      <c r="G692" s="15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spans="2:30" ht="26.25" customHeight="1">
      <c r="B693" s="13"/>
      <c r="C693" s="13"/>
      <c r="D693" s="13"/>
      <c r="E693" s="13"/>
      <c r="F693" s="15"/>
      <c r="G693" s="15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spans="2:30" ht="26.25" customHeight="1">
      <c r="B694" s="13"/>
      <c r="C694" s="13"/>
      <c r="D694" s="13"/>
      <c r="E694" s="13"/>
      <c r="F694" s="15"/>
      <c r="G694" s="15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spans="2:30" ht="26.25" customHeight="1">
      <c r="B695" s="13"/>
      <c r="C695" s="13"/>
      <c r="D695" s="13"/>
      <c r="E695" s="13"/>
      <c r="F695" s="15"/>
      <c r="G695" s="15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spans="2:30" ht="26.25" customHeight="1">
      <c r="B696" s="13"/>
      <c r="C696" s="13"/>
      <c r="D696" s="13"/>
      <c r="E696" s="13"/>
      <c r="F696" s="15"/>
      <c r="G696" s="15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spans="2:30" ht="26.25" customHeight="1">
      <c r="B697" s="13"/>
      <c r="C697" s="13"/>
      <c r="D697" s="13"/>
      <c r="E697" s="13"/>
      <c r="F697" s="15"/>
      <c r="G697" s="15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spans="2:30" ht="26.25" customHeight="1">
      <c r="B698" s="13"/>
      <c r="C698" s="13"/>
      <c r="D698" s="13"/>
      <c r="E698" s="13"/>
      <c r="F698" s="15"/>
      <c r="G698" s="15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spans="2:30" ht="26.25" customHeight="1">
      <c r="B699" s="13"/>
      <c r="C699" s="13"/>
      <c r="D699" s="13"/>
      <c r="E699" s="13"/>
      <c r="F699" s="15"/>
      <c r="G699" s="15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spans="2:30" ht="26.25" customHeight="1">
      <c r="B700" s="13"/>
      <c r="C700" s="13"/>
      <c r="D700" s="13"/>
      <c r="E700" s="13"/>
      <c r="F700" s="15"/>
      <c r="G700" s="15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spans="2:30" ht="26.25" customHeight="1">
      <c r="B701" s="13"/>
      <c r="C701" s="13"/>
      <c r="D701" s="13"/>
      <c r="E701" s="13"/>
      <c r="F701" s="15"/>
      <c r="G701" s="15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spans="2:30" ht="26.25" customHeight="1">
      <c r="B702" s="13"/>
      <c r="C702" s="13"/>
      <c r="D702" s="13"/>
      <c r="E702" s="13"/>
      <c r="F702" s="15"/>
      <c r="G702" s="15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spans="2:30" ht="26.25" customHeight="1">
      <c r="B703" s="13"/>
      <c r="C703" s="13"/>
      <c r="D703" s="13"/>
      <c r="E703" s="13"/>
      <c r="F703" s="15"/>
      <c r="G703" s="15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spans="2:30" ht="26.25" customHeight="1">
      <c r="B704" s="13"/>
      <c r="C704" s="13"/>
      <c r="D704" s="13"/>
      <c r="E704" s="13"/>
      <c r="F704" s="15"/>
      <c r="G704" s="15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spans="2:30" ht="26.25" customHeight="1">
      <c r="B705" s="13"/>
      <c r="C705" s="13"/>
      <c r="D705" s="13"/>
      <c r="E705" s="13"/>
      <c r="F705" s="15"/>
      <c r="G705" s="15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spans="2:30" ht="26.25" customHeight="1">
      <c r="B706" s="13"/>
      <c r="C706" s="13"/>
      <c r="D706" s="13"/>
      <c r="E706" s="13"/>
      <c r="F706" s="15"/>
      <c r="G706" s="15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spans="2:30" ht="26.25" customHeight="1">
      <c r="B707" s="13"/>
      <c r="C707" s="13"/>
      <c r="D707" s="13"/>
      <c r="E707" s="13"/>
      <c r="F707" s="15"/>
      <c r="G707" s="15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spans="2:30" ht="26.25" customHeight="1">
      <c r="B708" s="13"/>
      <c r="C708" s="13"/>
      <c r="D708" s="13"/>
      <c r="E708" s="13"/>
      <c r="F708" s="15"/>
      <c r="G708" s="15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spans="2:30" ht="26.25" customHeight="1">
      <c r="B709" s="13"/>
      <c r="C709" s="13"/>
      <c r="D709" s="13"/>
      <c r="E709" s="13"/>
      <c r="F709" s="15"/>
      <c r="G709" s="15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spans="2:30" ht="26.25" customHeight="1">
      <c r="B710" s="13"/>
      <c r="C710" s="13"/>
      <c r="D710" s="13"/>
      <c r="E710" s="13"/>
      <c r="F710" s="15"/>
      <c r="G710" s="15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spans="2:30" ht="26.25" customHeight="1">
      <c r="B711" s="13"/>
      <c r="C711" s="13"/>
      <c r="D711" s="13"/>
      <c r="E711" s="13"/>
      <c r="F711" s="15"/>
      <c r="G711" s="15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spans="2:30" ht="26.25" customHeight="1">
      <c r="B712" s="13"/>
      <c r="C712" s="13"/>
      <c r="D712" s="13"/>
      <c r="E712" s="13"/>
      <c r="F712" s="15"/>
      <c r="G712" s="15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spans="2:30" ht="26.25" customHeight="1">
      <c r="B713" s="13"/>
      <c r="C713" s="13"/>
      <c r="D713" s="13"/>
      <c r="E713" s="13"/>
      <c r="F713" s="15"/>
      <c r="G713" s="15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spans="2:30" ht="26.25" customHeight="1">
      <c r="B714" s="13"/>
      <c r="C714" s="13"/>
      <c r="D714" s="13"/>
      <c r="E714" s="13"/>
      <c r="F714" s="15"/>
      <c r="G714" s="15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spans="2:30" ht="26.25" customHeight="1">
      <c r="B715" s="13"/>
      <c r="C715" s="13"/>
      <c r="D715" s="13"/>
      <c r="E715" s="13"/>
      <c r="F715" s="15"/>
      <c r="G715" s="15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spans="2:30" ht="26.25" customHeight="1">
      <c r="B716" s="13"/>
      <c r="C716" s="13"/>
      <c r="D716" s="13"/>
      <c r="E716" s="13"/>
      <c r="F716" s="15"/>
      <c r="G716" s="15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spans="2:30" ht="26.25" customHeight="1">
      <c r="B717" s="13"/>
      <c r="C717" s="13"/>
      <c r="D717" s="13"/>
      <c r="E717" s="13"/>
      <c r="F717" s="15"/>
      <c r="G717" s="15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spans="2:30" ht="26.25" customHeight="1">
      <c r="B718" s="13"/>
      <c r="C718" s="13"/>
      <c r="D718" s="13"/>
      <c r="E718" s="13"/>
      <c r="F718" s="15"/>
      <c r="G718" s="15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spans="2:30" ht="26.25" customHeight="1">
      <c r="B719" s="13"/>
      <c r="C719" s="13"/>
      <c r="D719" s="13"/>
      <c r="E719" s="13"/>
      <c r="F719" s="15"/>
      <c r="G719" s="15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spans="2:30" ht="26.25" customHeight="1">
      <c r="B720" s="13"/>
      <c r="C720" s="13"/>
      <c r="D720" s="13"/>
      <c r="E720" s="13"/>
      <c r="F720" s="15"/>
      <c r="G720" s="15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spans="2:30" ht="26.25" customHeight="1">
      <c r="B721" s="13"/>
      <c r="C721" s="13"/>
      <c r="D721" s="13"/>
      <c r="E721" s="13"/>
      <c r="F721" s="15"/>
      <c r="G721" s="15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spans="2:30" ht="26.25" customHeight="1">
      <c r="B722" s="13"/>
      <c r="C722" s="13"/>
      <c r="D722" s="13"/>
      <c r="E722" s="13"/>
      <c r="F722" s="15"/>
      <c r="G722" s="15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spans="2:30" ht="26.25" customHeight="1">
      <c r="B723" s="13"/>
      <c r="C723" s="13"/>
      <c r="D723" s="13"/>
      <c r="E723" s="13"/>
      <c r="F723" s="15"/>
      <c r="G723" s="15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spans="2:30" ht="26.25" customHeight="1">
      <c r="B724" s="13"/>
      <c r="C724" s="13"/>
      <c r="D724" s="13"/>
      <c r="E724" s="13"/>
      <c r="F724" s="15"/>
      <c r="G724" s="15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spans="2:30" ht="26.25" customHeight="1">
      <c r="B725" s="13"/>
      <c r="C725" s="13"/>
      <c r="D725" s="13"/>
      <c r="E725" s="13"/>
      <c r="F725" s="15"/>
      <c r="G725" s="15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spans="2:30" ht="26.25" customHeight="1">
      <c r="B726" s="13"/>
      <c r="C726" s="13"/>
      <c r="D726" s="13"/>
      <c r="E726" s="13"/>
      <c r="F726" s="15"/>
      <c r="G726" s="15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spans="2:30" ht="26.25" customHeight="1">
      <c r="B727" s="13"/>
      <c r="C727" s="13"/>
      <c r="D727" s="13"/>
      <c r="E727" s="13"/>
      <c r="F727" s="15"/>
      <c r="G727" s="15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spans="2:30" ht="26.25" customHeight="1">
      <c r="B728" s="13"/>
      <c r="C728" s="13"/>
      <c r="D728" s="13"/>
      <c r="E728" s="13"/>
      <c r="F728" s="15"/>
      <c r="G728" s="15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spans="2:30" ht="26.25" customHeight="1">
      <c r="B729" s="13"/>
      <c r="C729" s="13"/>
      <c r="D729" s="13"/>
      <c r="E729" s="13"/>
      <c r="F729" s="15"/>
      <c r="G729" s="15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spans="2:30" ht="26.25" customHeight="1">
      <c r="B730" s="13"/>
      <c r="C730" s="13"/>
      <c r="D730" s="13"/>
      <c r="E730" s="13"/>
      <c r="F730" s="15"/>
      <c r="G730" s="15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spans="2:30" ht="26.25" customHeight="1">
      <c r="B731" s="13"/>
      <c r="C731" s="13"/>
      <c r="D731" s="13"/>
      <c r="E731" s="13"/>
      <c r="F731" s="15"/>
      <c r="G731" s="15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spans="2:30" ht="26.25" customHeight="1">
      <c r="B732" s="13"/>
      <c r="C732" s="13"/>
      <c r="D732" s="13"/>
      <c r="E732" s="13"/>
      <c r="F732" s="15"/>
      <c r="G732" s="15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spans="2:30" ht="26.25" customHeight="1">
      <c r="B733" s="13"/>
      <c r="C733" s="13"/>
      <c r="D733" s="13"/>
      <c r="E733" s="13"/>
      <c r="F733" s="15"/>
      <c r="G733" s="15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spans="2:30" ht="26.25" customHeight="1">
      <c r="B734" s="13"/>
      <c r="C734" s="13"/>
      <c r="D734" s="13"/>
      <c r="E734" s="13"/>
      <c r="F734" s="15"/>
      <c r="G734" s="15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spans="2:30" ht="26.25" customHeight="1">
      <c r="B735" s="13"/>
      <c r="C735" s="13"/>
      <c r="D735" s="13"/>
      <c r="E735" s="13"/>
      <c r="F735" s="15"/>
      <c r="G735" s="15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spans="2:30" ht="26.25" customHeight="1">
      <c r="B736" s="13"/>
      <c r="C736" s="13"/>
      <c r="D736" s="13"/>
      <c r="E736" s="13"/>
      <c r="F736" s="15"/>
      <c r="G736" s="15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spans="2:30" ht="26.25" customHeight="1">
      <c r="B737" s="13"/>
      <c r="C737" s="13"/>
      <c r="D737" s="13"/>
      <c r="E737" s="13"/>
      <c r="F737" s="15"/>
      <c r="G737" s="15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spans="2:30" ht="26.25" customHeight="1">
      <c r="B738" s="13"/>
      <c r="C738" s="13"/>
      <c r="D738" s="13"/>
      <c r="E738" s="13"/>
      <c r="F738" s="15"/>
      <c r="G738" s="15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spans="2:30" ht="26.25" customHeight="1">
      <c r="B739" s="13"/>
      <c r="C739" s="13"/>
      <c r="D739" s="13"/>
      <c r="E739" s="13"/>
      <c r="F739" s="15"/>
      <c r="G739" s="15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spans="2:30" ht="26.25" customHeight="1">
      <c r="B740" s="13"/>
      <c r="C740" s="13"/>
      <c r="D740" s="13"/>
      <c r="E740" s="13"/>
      <c r="F740" s="15"/>
      <c r="G740" s="15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spans="2:30" ht="26.25" customHeight="1">
      <c r="B741" s="13"/>
      <c r="C741" s="13"/>
      <c r="D741" s="13"/>
      <c r="E741" s="13"/>
      <c r="F741" s="15"/>
      <c r="G741" s="15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spans="2:30" ht="26.25" customHeight="1">
      <c r="B742" s="13"/>
      <c r="C742" s="13"/>
      <c r="D742" s="13"/>
      <c r="E742" s="13"/>
      <c r="F742" s="15"/>
      <c r="G742" s="15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spans="2:30" ht="26.25" customHeight="1">
      <c r="B743" s="13"/>
      <c r="C743" s="13"/>
      <c r="D743" s="13"/>
      <c r="E743" s="13"/>
      <c r="F743" s="15"/>
      <c r="G743" s="15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spans="2:30" ht="26.25" customHeight="1">
      <c r="B744" s="13"/>
      <c r="C744" s="13"/>
      <c r="D744" s="13"/>
      <c r="E744" s="13"/>
      <c r="F744" s="15"/>
      <c r="G744" s="15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spans="2:30" ht="26.25" customHeight="1">
      <c r="B745" s="13"/>
      <c r="C745" s="13"/>
      <c r="D745" s="13"/>
      <c r="E745" s="13"/>
      <c r="F745" s="15"/>
      <c r="G745" s="15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spans="2:30" ht="26.25" customHeight="1">
      <c r="B746" s="13"/>
      <c r="C746" s="13"/>
      <c r="D746" s="13"/>
      <c r="E746" s="13"/>
      <c r="F746" s="15"/>
      <c r="G746" s="15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spans="2:30" ht="26.25" customHeight="1">
      <c r="B747" s="13"/>
      <c r="C747" s="13"/>
      <c r="D747" s="13"/>
      <c r="E747" s="13"/>
      <c r="F747" s="15"/>
      <c r="G747" s="15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spans="2:30" ht="26.25" customHeight="1">
      <c r="B748" s="13"/>
      <c r="C748" s="13"/>
      <c r="D748" s="13"/>
      <c r="E748" s="13"/>
      <c r="F748" s="15"/>
      <c r="G748" s="15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spans="2:30" ht="26.25" customHeight="1">
      <c r="B749" s="13"/>
      <c r="C749" s="13"/>
      <c r="D749" s="13"/>
      <c r="E749" s="13"/>
      <c r="F749" s="15"/>
      <c r="G749" s="15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spans="2:30" ht="26.25" customHeight="1">
      <c r="B750" s="13"/>
      <c r="C750" s="13"/>
      <c r="D750" s="13"/>
      <c r="E750" s="13"/>
      <c r="F750" s="15"/>
      <c r="G750" s="15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spans="2:30" ht="26.25" customHeight="1">
      <c r="B751" s="13"/>
      <c r="C751" s="13"/>
      <c r="D751" s="13"/>
      <c r="E751" s="13"/>
      <c r="F751" s="15"/>
      <c r="G751" s="15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spans="2:30" ht="26.25" customHeight="1">
      <c r="B752" s="13"/>
      <c r="C752" s="13"/>
      <c r="D752" s="13"/>
      <c r="E752" s="13"/>
      <c r="F752" s="15"/>
      <c r="G752" s="15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spans="2:30" ht="26.25" customHeight="1">
      <c r="B753" s="13"/>
      <c r="C753" s="13"/>
      <c r="D753" s="13"/>
      <c r="E753" s="13"/>
      <c r="F753" s="15"/>
      <c r="G753" s="15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spans="2:30" ht="26.25" customHeight="1">
      <c r="B754" s="13"/>
      <c r="C754" s="13"/>
      <c r="D754" s="13"/>
      <c r="E754" s="13"/>
      <c r="F754" s="15"/>
      <c r="G754" s="15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spans="2:30" ht="26.25" customHeight="1">
      <c r="B755" s="13"/>
      <c r="C755" s="13"/>
      <c r="D755" s="13"/>
      <c r="E755" s="13"/>
      <c r="F755" s="15"/>
      <c r="G755" s="15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spans="2:30" ht="26.25" customHeight="1">
      <c r="B756" s="13"/>
      <c r="C756" s="13"/>
      <c r="D756" s="13"/>
      <c r="E756" s="13"/>
      <c r="F756" s="15"/>
      <c r="G756" s="15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spans="2:30" ht="26.25" customHeight="1">
      <c r="B757" s="13"/>
      <c r="C757" s="13"/>
      <c r="D757" s="13"/>
      <c r="E757" s="13"/>
      <c r="F757" s="15"/>
      <c r="G757" s="15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spans="2:30" ht="26.25" customHeight="1">
      <c r="B758" s="13"/>
      <c r="C758" s="13"/>
      <c r="D758" s="13"/>
      <c r="E758" s="13"/>
      <c r="F758" s="15"/>
      <c r="G758" s="15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spans="2:30" ht="26.25" customHeight="1">
      <c r="B759" s="13"/>
      <c r="C759" s="13"/>
      <c r="D759" s="13"/>
      <c r="E759" s="13"/>
      <c r="F759" s="15"/>
      <c r="G759" s="15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spans="2:30" ht="26.25" customHeight="1">
      <c r="B760" s="13"/>
      <c r="C760" s="13"/>
      <c r="D760" s="13"/>
      <c r="E760" s="13"/>
      <c r="F760" s="15"/>
      <c r="G760" s="15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spans="2:30" ht="26.25" customHeight="1">
      <c r="B761" s="13"/>
      <c r="C761" s="13"/>
      <c r="D761" s="13"/>
      <c r="E761" s="13"/>
      <c r="F761" s="15"/>
      <c r="G761" s="15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spans="2:30" ht="26.25" customHeight="1">
      <c r="B762" s="13"/>
      <c r="C762" s="13"/>
      <c r="D762" s="13"/>
      <c r="E762" s="13"/>
      <c r="F762" s="15"/>
      <c r="G762" s="15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spans="2:30" ht="26.25" customHeight="1">
      <c r="B763" s="13"/>
      <c r="C763" s="13"/>
      <c r="D763" s="13"/>
      <c r="E763" s="13"/>
      <c r="F763" s="15"/>
      <c r="G763" s="15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spans="2:30" ht="26.25" customHeight="1">
      <c r="B764" s="13"/>
      <c r="C764" s="13"/>
      <c r="D764" s="13"/>
      <c r="E764" s="13"/>
      <c r="F764" s="15"/>
      <c r="G764" s="15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spans="2:30" ht="26.25" customHeight="1">
      <c r="B765" s="13"/>
      <c r="C765" s="13"/>
      <c r="D765" s="13"/>
      <c r="E765" s="13"/>
      <c r="F765" s="15"/>
      <c r="G765" s="15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spans="2:30" ht="26.25" customHeight="1">
      <c r="B766" s="13"/>
      <c r="C766" s="13"/>
      <c r="D766" s="13"/>
      <c r="E766" s="13"/>
      <c r="F766" s="15"/>
      <c r="G766" s="15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spans="2:30" ht="26.25" customHeight="1">
      <c r="B767" s="13"/>
      <c r="C767" s="13"/>
      <c r="D767" s="13"/>
      <c r="E767" s="13"/>
      <c r="F767" s="15"/>
      <c r="G767" s="15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spans="2:30" ht="26.25" customHeight="1">
      <c r="B768" s="13"/>
      <c r="C768" s="13"/>
      <c r="D768" s="13"/>
      <c r="E768" s="13"/>
      <c r="F768" s="15"/>
      <c r="G768" s="15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spans="2:30" ht="26.25" customHeight="1">
      <c r="B769" s="13"/>
      <c r="C769" s="13"/>
      <c r="D769" s="13"/>
      <c r="E769" s="13"/>
      <c r="F769" s="15"/>
      <c r="G769" s="15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spans="2:30" ht="26.25" customHeight="1">
      <c r="B770" s="13"/>
      <c r="C770" s="13"/>
      <c r="D770" s="13"/>
      <c r="E770" s="13"/>
      <c r="F770" s="15"/>
      <c r="G770" s="15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spans="2:30" ht="26.25" customHeight="1">
      <c r="B771" s="13"/>
      <c r="C771" s="13"/>
      <c r="D771" s="13"/>
      <c r="E771" s="13"/>
      <c r="F771" s="15"/>
      <c r="G771" s="15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spans="2:30" ht="26.25" customHeight="1">
      <c r="B772" s="13"/>
      <c r="C772" s="13"/>
      <c r="D772" s="13"/>
      <c r="E772" s="13"/>
      <c r="F772" s="15"/>
      <c r="G772" s="15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spans="2:30" ht="26.25" customHeight="1">
      <c r="B773" s="13"/>
      <c r="C773" s="13"/>
      <c r="D773" s="13"/>
      <c r="E773" s="13"/>
      <c r="F773" s="15"/>
      <c r="G773" s="15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spans="2:30" ht="26.25" customHeight="1">
      <c r="B774" s="13"/>
      <c r="C774" s="13"/>
      <c r="D774" s="13"/>
      <c r="E774" s="13"/>
      <c r="F774" s="15"/>
      <c r="G774" s="15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spans="2:30" ht="26.25" customHeight="1">
      <c r="B775" s="13"/>
      <c r="C775" s="13"/>
      <c r="D775" s="13"/>
      <c r="E775" s="13"/>
      <c r="F775" s="15"/>
      <c r="G775" s="15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spans="2:30" ht="26.25" customHeight="1">
      <c r="B776" s="13"/>
      <c r="C776" s="13"/>
      <c r="D776" s="13"/>
      <c r="E776" s="13"/>
      <c r="F776" s="15"/>
      <c r="G776" s="15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spans="2:30" ht="26.25" customHeight="1">
      <c r="B777" s="13"/>
      <c r="C777" s="13"/>
      <c r="D777" s="13"/>
      <c r="E777" s="13"/>
      <c r="F777" s="15"/>
      <c r="G777" s="15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spans="2:30" ht="26.25" customHeight="1">
      <c r="B778" s="13"/>
      <c r="C778" s="13"/>
      <c r="D778" s="13"/>
      <c r="E778" s="13"/>
      <c r="F778" s="15"/>
      <c r="G778" s="15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spans="2:30" ht="26.25" customHeight="1">
      <c r="B779" s="13"/>
      <c r="C779" s="13"/>
      <c r="D779" s="13"/>
      <c r="E779" s="13"/>
      <c r="F779" s="15"/>
      <c r="G779" s="15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spans="2:30" ht="26.25" customHeight="1">
      <c r="B780" s="13"/>
      <c r="C780" s="13"/>
      <c r="D780" s="13"/>
      <c r="E780" s="13"/>
      <c r="F780" s="15"/>
      <c r="G780" s="15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spans="2:30" ht="26.25" customHeight="1">
      <c r="B781" s="13"/>
      <c r="C781" s="13"/>
      <c r="D781" s="13"/>
      <c r="E781" s="13"/>
      <c r="F781" s="15"/>
      <c r="G781" s="15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spans="2:30" ht="26.25" customHeight="1">
      <c r="B782" s="13"/>
      <c r="C782" s="13"/>
      <c r="D782" s="13"/>
      <c r="E782" s="13"/>
      <c r="F782" s="15"/>
      <c r="G782" s="15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spans="2:30" ht="26.25" customHeight="1">
      <c r="B783" s="13"/>
      <c r="C783" s="13"/>
      <c r="D783" s="13"/>
      <c r="E783" s="13"/>
      <c r="F783" s="15"/>
      <c r="G783" s="15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spans="2:30" ht="26.25" customHeight="1">
      <c r="B784" s="13"/>
      <c r="C784" s="13"/>
      <c r="D784" s="13"/>
      <c r="E784" s="13"/>
      <c r="F784" s="15"/>
      <c r="G784" s="15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spans="2:30" ht="26.25" customHeight="1">
      <c r="B785" s="13"/>
      <c r="C785" s="13"/>
      <c r="D785" s="13"/>
      <c r="E785" s="13"/>
      <c r="F785" s="15"/>
      <c r="G785" s="15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spans="2:30" ht="26.25" customHeight="1">
      <c r="B786" s="13"/>
      <c r="C786" s="13"/>
      <c r="D786" s="13"/>
      <c r="E786" s="13"/>
      <c r="F786" s="15"/>
      <c r="G786" s="15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spans="2:30" ht="26.25" customHeight="1">
      <c r="B787" s="13"/>
      <c r="C787" s="13"/>
      <c r="D787" s="13"/>
      <c r="E787" s="13"/>
      <c r="F787" s="15"/>
      <c r="G787" s="15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spans="2:30" ht="26.25" customHeight="1">
      <c r="B788" s="13"/>
      <c r="C788" s="13"/>
      <c r="D788" s="13"/>
      <c r="E788" s="13"/>
      <c r="F788" s="15"/>
      <c r="G788" s="15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spans="2:30" ht="26.25" customHeight="1">
      <c r="B789" s="13"/>
      <c r="C789" s="13"/>
      <c r="D789" s="13"/>
      <c r="E789" s="13"/>
      <c r="F789" s="15"/>
      <c r="G789" s="15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spans="2:30" ht="26.25" customHeight="1">
      <c r="B790" s="13"/>
      <c r="C790" s="13"/>
      <c r="D790" s="13"/>
      <c r="E790" s="13"/>
      <c r="F790" s="15"/>
      <c r="G790" s="15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spans="2:30" ht="26.25" customHeight="1">
      <c r="B791" s="13"/>
      <c r="C791" s="13"/>
      <c r="D791" s="13"/>
      <c r="E791" s="13"/>
      <c r="F791" s="15"/>
      <c r="G791" s="15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spans="2:30" ht="26.25" customHeight="1">
      <c r="B792" s="13"/>
      <c r="C792" s="13"/>
      <c r="D792" s="13"/>
      <c r="E792" s="13"/>
      <c r="F792" s="15"/>
      <c r="G792" s="15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spans="2:30" ht="26.25" customHeight="1">
      <c r="B793" s="13"/>
      <c r="C793" s="13"/>
      <c r="D793" s="13"/>
      <c r="E793" s="13"/>
      <c r="F793" s="15"/>
      <c r="G793" s="15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spans="2:30" ht="26.25" customHeight="1">
      <c r="B794" s="13"/>
      <c r="C794" s="13"/>
      <c r="D794" s="13"/>
      <c r="E794" s="13"/>
      <c r="F794" s="15"/>
      <c r="G794" s="15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spans="2:30" ht="26.25" customHeight="1">
      <c r="B795" s="13"/>
      <c r="C795" s="13"/>
      <c r="D795" s="13"/>
      <c r="E795" s="13"/>
      <c r="F795" s="15"/>
      <c r="G795" s="15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spans="2:30" ht="26.25" customHeight="1">
      <c r="B796" s="13"/>
      <c r="C796" s="13"/>
      <c r="D796" s="13"/>
      <c r="E796" s="13"/>
      <c r="F796" s="15"/>
      <c r="G796" s="15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spans="2:30" ht="26.25" customHeight="1">
      <c r="B797" s="13"/>
      <c r="C797" s="13"/>
      <c r="D797" s="13"/>
      <c r="E797" s="13"/>
      <c r="F797" s="15"/>
      <c r="G797" s="15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spans="2:30" ht="26.25" customHeight="1">
      <c r="B798" s="13"/>
      <c r="C798" s="13"/>
      <c r="D798" s="13"/>
      <c r="E798" s="13"/>
      <c r="F798" s="15"/>
      <c r="G798" s="15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spans="2:30" ht="26.25" customHeight="1">
      <c r="B799" s="13"/>
      <c r="C799" s="13"/>
      <c r="D799" s="13"/>
      <c r="E799" s="13"/>
      <c r="F799" s="15"/>
      <c r="G799" s="15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spans="2:30" ht="26.25" customHeight="1">
      <c r="B800" s="13"/>
      <c r="C800" s="13"/>
      <c r="D800" s="13"/>
      <c r="E800" s="13"/>
      <c r="F800" s="15"/>
      <c r="G800" s="15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spans="2:30" ht="26.25" customHeight="1">
      <c r="B801" s="13"/>
      <c r="C801" s="13"/>
      <c r="D801" s="13"/>
      <c r="E801" s="13"/>
      <c r="F801" s="15"/>
      <c r="G801" s="15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spans="2:30" ht="26.25" customHeight="1">
      <c r="B802" s="13"/>
      <c r="C802" s="13"/>
      <c r="D802" s="13"/>
      <c r="E802" s="13"/>
      <c r="F802" s="15"/>
      <c r="G802" s="15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spans="2:30" ht="26.25" customHeight="1">
      <c r="B803" s="13"/>
      <c r="C803" s="13"/>
      <c r="D803" s="13"/>
      <c r="E803" s="13"/>
      <c r="F803" s="15"/>
      <c r="G803" s="15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spans="2:30" ht="26.25" customHeight="1">
      <c r="B804" s="13"/>
      <c r="C804" s="13"/>
      <c r="D804" s="13"/>
      <c r="E804" s="13"/>
      <c r="F804" s="15"/>
      <c r="G804" s="15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spans="2:30" ht="26.25" customHeight="1">
      <c r="B805" s="13"/>
      <c r="C805" s="13"/>
      <c r="D805" s="13"/>
      <c r="E805" s="13"/>
      <c r="F805" s="15"/>
      <c r="G805" s="15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spans="2:30" ht="26.25" customHeight="1">
      <c r="B806" s="13"/>
      <c r="C806" s="13"/>
      <c r="D806" s="13"/>
      <c r="E806" s="13"/>
      <c r="F806" s="15"/>
      <c r="G806" s="15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spans="2:30" ht="26.25" customHeight="1">
      <c r="B807" s="13"/>
      <c r="C807" s="13"/>
      <c r="D807" s="13"/>
      <c r="E807" s="13"/>
      <c r="F807" s="15"/>
      <c r="G807" s="15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spans="2:30" ht="26.25" customHeight="1">
      <c r="B808" s="13"/>
      <c r="C808" s="13"/>
      <c r="D808" s="13"/>
      <c r="E808" s="13"/>
      <c r="F808" s="15"/>
      <c r="G808" s="15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spans="2:30" ht="26.25" customHeight="1">
      <c r="B809" s="13"/>
      <c r="C809" s="13"/>
      <c r="D809" s="13"/>
      <c r="E809" s="13"/>
      <c r="F809" s="15"/>
      <c r="G809" s="15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spans="2:30" ht="26.25" customHeight="1">
      <c r="B810" s="13"/>
      <c r="C810" s="13"/>
      <c r="D810" s="13"/>
      <c r="E810" s="13"/>
      <c r="F810" s="15"/>
      <c r="G810" s="15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spans="2:30" ht="26.25" customHeight="1">
      <c r="B811" s="13"/>
      <c r="C811" s="13"/>
      <c r="D811" s="13"/>
      <c r="E811" s="13"/>
      <c r="F811" s="15"/>
      <c r="G811" s="15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spans="2:30" ht="26.25" customHeight="1">
      <c r="B812" s="13"/>
      <c r="C812" s="13"/>
      <c r="D812" s="13"/>
      <c r="E812" s="13"/>
      <c r="F812" s="15"/>
      <c r="G812" s="15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spans="2:30" ht="26.25" customHeight="1">
      <c r="B813" s="13"/>
      <c r="C813" s="13"/>
      <c r="D813" s="13"/>
      <c r="E813" s="13"/>
      <c r="F813" s="15"/>
      <c r="G813" s="15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spans="2:30" ht="26.25" customHeight="1">
      <c r="B814" s="13"/>
      <c r="C814" s="13"/>
      <c r="D814" s="13"/>
      <c r="E814" s="13"/>
      <c r="F814" s="15"/>
      <c r="G814" s="15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spans="2:30" ht="26.25" customHeight="1">
      <c r="B815" s="13"/>
      <c r="C815" s="13"/>
      <c r="D815" s="13"/>
      <c r="E815" s="13"/>
      <c r="F815" s="15"/>
      <c r="G815" s="15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spans="2:30" ht="26.25" customHeight="1">
      <c r="B816" s="13"/>
      <c r="C816" s="13"/>
      <c r="D816" s="13"/>
      <c r="E816" s="13"/>
      <c r="F816" s="15"/>
      <c r="G816" s="15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spans="2:30" ht="26.25" customHeight="1">
      <c r="B817" s="13"/>
      <c r="C817" s="13"/>
      <c r="D817" s="13"/>
      <c r="E817" s="13"/>
      <c r="F817" s="15"/>
      <c r="G817" s="15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spans="2:30" ht="26.25" customHeight="1">
      <c r="B818" s="13"/>
      <c r="C818" s="13"/>
      <c r="D818" s="13"/>
      <c r="E818" s="13"/>
      <c r="F818" s="15"/>
      <c r="G818" s="15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spans="2:30" ht="26.25" customHeight="1">
      <c r="B819" s="13"/>
      <c r="C819" s="13"/>
      <c r="D819" s="13"/>
      <c r="E819" s="13"/>
      <c r="F819" s="15"/>
      <c r="G819" s="15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spans="2:30" ht="26.25" customHeight="1">
      <c r="B820" s="13"/>
      <c r="C820" s="13"/>
      <c r="D820" s="13"/>
      <c r="E820" s="13"/>
      <c r="F820" s="15"/>
      <c r="G820" s="15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spans="2:30" ht="26.25" customHeight="1">
      <c r="B821" s="13"/>
      <c r="C821" s="13"/>
      <c r="D821" s="13"/>
      <c r="E821" s="13"/>
      <c r="F821" s="15"/>
      <c r="G821" s="15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spans="2:30" ht="26.25" customHeight="1">
      <c r="B822" s="13"/>
      <c r="C822" s="13"/>
      <c r="D822" s="13"/>
      <c r="E822" s="13"/>
      <c r="F822" s="15"/>
      <c r="G822" s="15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spans="2:30" ht="26.25" customHeight="1">
      <c r="B823" s="13"/>
      <c r="C823" s="13"/>
      <c r="D823" s="13"/>
      <c r="E823" s="13"/>
      <c r="F823" s="15"/>
      <c r="G823" s="15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spans="2:30" ht="26.25" customHeight="1">
      <c r="B824" s="13"/>
      <c r="C824" s="13"/>
      <c r="D824" s="13"/>
      <c r="E824" s="13"/>
      <c r="F824" s="15"/>
      <c r="G824" s="15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spans="2:30" ht="26.25" customHeight="1">
      <c r="B825" s="13"/>
      <c r="C825" s="13"/>
      <c r="D825" s="13"/>
      <c r="E825" s="13"/>
      <c r="F825" s="15"/>
      <c r="G825" s="15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spans="2:30" ht="26.25" customHeight="1">
      <c r="B826" s="13"/>
      <c r="C826" s="13"/>
      <c r="D826" s="13"/>
      <c r="E826" s="13"/>
      <c r="F826" s="15"/>
      <c r="G826" s="15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spans="2:30" ht="26.25" customHeight="1">
      <c r="B827" s="13"/>
      <c r="C827" s="13"/>
      <c r="D827" s="13"/>
      <c r="E827" s="13"/>
      <c r="F827" s="15"/>
      <c r="G827" s="15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spans="2:30" ht="26.25" customHeight="1">
      <c r="B828" s="13"/>
      <c r="C828" s="13"/>
      <c r="D828" s="13"/>
      <c r="E828" s="13"/>
      <c r="F828" s="15"/>
      <c r="G828" s="15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spans="2:30" ht="26.25" customHeight="1">
      <c r="B829" s="13"/>
      <c r="C829" s="13"/>
      <c r="D829" s="13"/>
      <c r="E829" s="13"/>
      <c r="F829" s="15"/>
      <c r="G829" s="15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spans="2:30" ht="26.25" customHeight="1">
      <c r="B830" s="13"/>
      <c r="C830" s="13"/>
      <c r="D830" s="13"/>
      <c r="E830" s="13"/>
      <c r="F830" s="15"/>
      <c r="G830" s="15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spans="2:30" ht="26.25" customHeight="1">
      <c r="B831" s="13"/>
      <c r="C831" s="13"/>
      <c r="D831" s="13"/>
      <c r="E831" s="13"/>
      <c r="F831" s="15"/>
      <c r="G831" s="15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spans="2:30" ht="26.25" customHeight="1">
      <c r="B832" s="13"/>
      <c r="C832" s="13"/>
      <c r="D832" s="13"/>
      <c r="E832" s="13"/>
      <c r="F832" s="15"/>
      <c r="G832" s="15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spans="2:30" ht="26.25" customHeight="1">
      <c r="B833" s="13"/>
      <c r="C833" s="13"/>
      <c r="D833" s="13"/>
      <c r="E833" s="13"/>
      <c r="F833" s="15"/>
      <c r="G833" s="15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spans="2:30" ht="26.25" customHeight="1">
      <c r="B834" s="13"/>
      <c r="C834" s="13"/>
      <c r="D834" s="13"/>
      <c r="E834" s="13"/>
      <c r="F834" s="15"/>
      <c r="G834" s="15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spans="2:30" ht="26.25" customHeight="1">
      <c r="B835" s="13"/>
      <c r="C835" s="13"/>
      <c r="D835" s="13"/>
      <c r="E835" s="13"/>
      <c r="F835" s="15"/>
      <c r="G835" s="15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spans="2:30" ht="26.25" customHeight="1">
      <c r="B836" s="13"/>
      <c r="C836" s="13"/>
      <c r="D836" s="13"/>
      <c r="E836" s="13"/>
      <c r="F836" s="15"/>
      <c r="G836" s="15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spans="2:30" ht="26.25" customHeight="1">
      <c r="B837" s="13"/>
      <c r="C837" s="13"/>
      <c r="D837" s="13"/>
      <c r="E837" s="13"/>
      <c r="F837" s="15"/>
      <c r="G837" s="15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spans="2:30" ht="26.25" customHeight="1">
      <c r="B838" s="13"/>
      <c r="C838" s="13"/>
      <c r="D838" s="13"/>
      <c r="E838" s="13"/>
      <c r="F838" s="15"/>
      <c r="G838" s="15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spans="2:30" ht="26.25" customHeight="1">
      <c r="B839" s="13"/>
      <c r="C839" s="13"/>
      <c r="D839" s="13"/>
      <c r="E839" s="13"/>
      <c r="F839" s="15"/>
      <c r="G839" s="15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spans="2:30" ht="26.25" customHeight="1">
      <c r="B840" s="13"/>
      <c r="C840" s="13"/>
      <c r="D840" s="13"/>
      <c r="E840" s="13"/>
      <c r="F840" s="15"/>
      <c r="G840" s="15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spans="2:30" ht="26.25" customHeight="1">
      <c r="B841" s="13"/>
      <c r="C841" s="13"/>
      <c r="D841" s="13"/>
      <c r="E841" s="13"/>
      <c r="F841" s="15"/>
      <c r="G841" s="15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spans="2:30" ht="26.25" customHeight="1">
      <c r="B842" s="13"/>
      <c r="C842" s="13"/>
      <c r="D842" s="13"/>
      <c r="E842" s="13"/>
      <c r="F842" s="15"/>
      <c r="G842" s="15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spans="2:30" ht="26.25" customHeight="1">
      <c r="B843" s="13"/>
      <c r="C843" s="13"/>
      <c r="D843" s="13"/>
      <c r="E843" s="13"/>
      <c r="F843" s="15"/>
      <c r="G843" s="15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spans="2:30" ht="26.25" customHeight="1">
      <c r="B844" s="13"/>
      <c r="C844" s="13"/>
      <c r="D844" s="13"/>
      <c r="E844" s="13"/>
      <c r="F844" s="15"/>
      <c r="G844" s="15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spans="2:30" ht="26.25" customHeight="1">
      <c r="B845" s="13"/>
      <c r="C845" s="13"/>
      <c r="D845" s="13"/>
      <c r="E845" s="13"/>
      <c r="F845" s="15"/>
      <c r="G845" s="15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spans="2:30" ht="26.25" customHeight="1">
      <c r="B846" s="13"/>
      <c r="C846" s="13"/>
      <c r="D846" s="13"/>
      <c r="E846" s="13"/>
      <c r="F846" s="15"/>
      <c r="G846" s="15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spans="2:30" ht="26.25" customHeight="1">
      <c r="B847" s="13"/>
      <c r="C847" s="13"/>
      <c r="D847" s="13"/>
      <c r="E847" s="13"/>
      <c r="F847" s="15"/>
      <c r="G847" s="15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spans="2:30" ht="26.25" customHeight="1">
      <c r="B848" s="13"/>
      <c r="C848" s="13"/>
      <c r="D848" s="13"/>
      <c r="E848" s="13"/>
      <c r="F848" s="15"/>
      <c r="G848" s="15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spans="2:30" ht="26.25" customHeight="1">
      <c r="B849" s="13"/>
      <c r="C849" s="13"/>
      <c r="D849" s="13"/>
      <c r="E849" s="13"/>
      <c r="F849" s="15"/>
      <c r="G849" s="15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spans="2:30" ht="26.25" customHeight="1">
      <c r="B850" s="13"/>
      <c r="C850" s="13"/>
      <c r="D850" s="13"/>
      <c r="E850" s="13"/>
      <c r="F850" s="15"/>
      <c r="G850" s="15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spans="2:30" ht="26.25" customHeight="1">
      <c r="B851" s="13"/>
      <c r="C851" s="13"/>
      <c r="D851" s="13"/>
      <c r="E851" s="13"/>
      <c r="F851" s="15"/>
      <c r="G851" s="15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spans="2:30" ht="26.25" customHeight="1">
      <c r="B852" s="13"/>
      <c r="C852" s="13"/>
      <c r="D852" s="13"/>
      <c r="E852" s="13"/>
      <c r="F852" s="15"/>
      <c r="G852" s="15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spans="2:30" ht="26.25" customHeight="1">
      <c r="B853" s="13"/>
      <c r="C853" s="13"/>
      <c r="D853" s="13"/>
      <c r="E853" s="13"/>
      <c r="F853" s="15"/>
      <c r="G853" s="15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spans="2:30" ht="26.25" customHeight="1">
      <c r="B854" s="13"/>
      <c r="C854" s="13"/>
      <c r="D854" s="13"/>
      <c r="E854" s="13"/>
      <c r="F854" s="15"/>
      <c r="G854" s="15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spans="2:30" ht="26.25" customHeight="1">
      <c r="B855" s="13"/>
      <c r="C855" s="13"/>
      <c r="D855" s="13"/>
      <c r="E855" s="13"/>
      <c r="F855" s="15"/>
      <c r="G855" s="15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spans="2:30" ht="26.25" customHeight="1">
      <c r="B856" s="13"/>
      <c r="C856" s="13"/>
      <c r="D856" s="13"/>
      <c r="E856" s="13"/>
      <c r="F856" s="15"/>
      <c r="G856" s="15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spans="2:30" ht="26.25" customHeight="1">
      <c r="B857" s="13"/>
      <c r="C857" s="13"/>
      <c r="D857" s="13"/>
      <c r="E857" s="13"/>
      <c r="F857" s="15"/>
      <c r="G857" s="15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spans="2:30" ht="26.25" customHeight="1">
      <c r="B858" s="13"/>
      <c r="C858" s="13"/>
      <c r="D858" s="13"/>
      <c r="E858" s="13"/>
      <c r="F858" s="15"/>
      <c r="G858" s="15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spans="2:30" ht="26.25" customHeight="1">
      <c r="B859" s="13"/>
      <c r="C859" s="13"/>
      <c r="D859" s="13"/>
      <c r="E859" s="13"/>
      <c r="F859" s="15"/>
      <c r="G859" s="15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spans="2:30" ht="26.25" customHeight="1">
      <c r="B860" s="13"/>
      <c r="C860" s="13"/>
      <c r="D860" s="13"/>
      <c r="E860" s="13"/>
      <c r="F860" s="15"/>
      <c r="G860" s="15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spans="2:30" ht="26.25" customHeight="1">
      <c r="B861" s="13"/>
      <c r="C861" s="13"/>
      <c r="D861" s="13"/>
      <c r="E861" s="13"/>
      <c r="F861" s="15"/>
      <c r="G861" s="15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spans="2:30" ht="26.25" customHeight="1">
      <c r="B862" s="13"/>
      <c r="C862" s="13"/>
      <c r="D862" s="13"/>
      <c r="E862" s="13"/>
      <c r="F862" s="15"/>
      <c r="G862" s="15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spans="2:30" ht="26.25" customHeight="1">
      <c r="B863" s="13"/>
      <c r="C863" s="13"/>
      <c r="D863" s="13"/>
      <c r="E863" s="13"/>
      <c r="F863" s="15"/>
      <c r="G863" s="15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spans="2:30" ht="26.25" customHeight="1">
      <c r="B864" s="13"/>
      <c r="C864" s="13"/>
      <c r="D864" s="13"/>
      <c r="E864" s="13"/>
      <c r="F864" s="15"/>
      <c r="G864" s="15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spans="2:30" ht="26.25" customHeight="1">
      <c r="B865" s="13"/>
      <c r="C865" s="13"/>
      <c r="D865" s="13"/>
      <c r="E865" s="13"/>
      <c r="F865" s="15"/>
      <c r="G865" s="15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spans="2:30" ht="26.25" customHeight="1">
      <c r="B866" s="13"/>
      <c r="C866" s="13"/>
      <c r="D866" s="13"/>
      <c r="E866" s="13"/>
      <c r="F866" s="15"/>
      <c r="G866" s="15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spans="2:30" ht="26.25" customHeight="1">
      <c r="B867" s="13"/>
      <c r="C867" s="13"/>
      <c r="D867" s="13"/>
      <c r="E867" s="13"/>
      <c r="F867" s="15"/>
      <c r="G867" s="15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spans="2:30" ht="26.25" customHeight="1">
      <c r="B868" s="13"/>
      <c r="C868" s="13"/>
      <c r="D868" s="13"/>
      <c r="E868" s="13"/>
      <c r="F868" s="15"/>
      <c r="G868" s="15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spans="2:30" ht="26.25" customHeight="1">
      <c r="B869" s="13"/>
      <c r="C869" s="13"/>
      <c r="D869" s="13"/>
      <c r="E869" s="13"/>
      <c r="F869" s="15"/>
      <c r="G869" s="15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spans="2:30" ht="26.25" customHeight="1">
      <c r="B870" s="13"/>
      <c r="C870" s="13"/>
      <c r="D870" s="13"/>
      <c r="E870" s="13"/>
      <c r="F870" s="15"/>
      <c r="G870" s="15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spans="2:30" ht="26.25" customHeight="1">
      <c r="B871" s="13"/>
      <c r="C871" s="13"/>
      <c r="D871" s="13"/>
      <c r="E871" s="13"/>
      <c r="F871" s="15"/>
      <c r="G871" s="15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spans="2:30" ht="26.25" customHeight="1">
      <c r="B872" s="13"/>
      <c r="C872" s="13"/>
      <c r="D872" s="13"/>
      <c r="E872" s="13"/>
      <c r="F872" s="15"/>
      <c r="G872" s="15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spans="2:30" ht="26.25" customHeight="1">
      <c r="B873" s="13"/>
      <c r="C873" s="13"/>
      <c r="D873" s="13"/>
      <c r="E873" s="13"/>
      <c r="F873" s="15"/>
      <c r="G873" s="15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spans="2:30" ht="26.25" customHeight="1">
      <c r="B874" s="13"/>
      <c r="C874" s="13"/>
      <c r="D874" s="13"/>
      <c r="E874" s="13"/>
      <c r="F874" s="15"/>
      <c r="G874" s="15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spans="2:30" ht="26.25" customHeight="1">
      <c r="B875" s="13"/>
      <c r="C875" s="13"/>
      <c r="D875" s="13"/>
      <c r="E875" s="13"/>
      <c r="F875" s="15"/>
      <c r="G875" s="15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spans="2:30" ht="26.25" customHeight="1">
      <c r="B876" s="13"/>
      <c r="C876" s="13"/>
      <c r="D876" s="13"/>
      <c r="E876" s="13"/>
      <c r="F876" s="15"/>
      <c r="G876" s="15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spans="2:30" ht="26.25" customHeight="1">
      <c r="B877" s="13"/>
      <c r="C877" s="13"/>
      <c r="D877" s="13"/>
      <c r="E877" s="13"/>
      <c r="F877" s="15"/>
      <c r="G877" s="15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spans="2:30" ht="26.25" customHeight="1">
      <c r="B878" s="13"/>
      <c r="C878" s="13"/>
      <c r="D878" s="13"/>
      <c r="E878" s="13"/>
      <c r="F878" s="15"/>
      <c r="G878" s="15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spans="2:30" ht="26.25" customHeight="1">
      <c r="B879" s="13"/>
      <c r="C879" s="13"/>
      <c r="D879" s="13"/>
      <c r="E879" s="13"/>
      <c r="F879" s="15"/>
      <c r="G879" s="15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spans="2:30" ht="26.25" customHeight="1">
      <c r="B880" s="13"/>
      <c r="C880" s="13"/>
      <c r="D880" s="13"/>
      <c r="E880" s="13"/>
      <c r="F880" s="15"/>
      <c r="G880" s="15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spans="2:30" ht="26.25" customHeight="1">
      <c r="B881" s="13"/>
      <c r="C881" s="13"/>
      <c r="D881" s="13"/>
      <c r="E881" s="13"/>
      <c r="F881" s="15"/>
      <c r="G881" s="15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spans="2:30" ht="26.25" customHeight="1">
      <c r="B882" s="13"/>
      <c r="C882" s="13"/>
      <c r="D882" s="13"/>
      <c r="E882" s="13"/>
      <c r="F882" s="15"/>
      <c r="G882" s="15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spans="2:30" ht="26.25" customHeight="1">
      <c r="B883" s="13"/>
      <c r="C883" s="13"/>
      <c r="D883" s="13"/>
      <c r="E883" s="13"/>
      <c r="F883" s="15"/>
      <c r="G883" s="15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spans="2:30" ht="26.25" customHeight="1">
      <c r="B884" s="13"/>
      <c r="C884" s="13"/>
      <c r="D884" s="13"/>
      <c r="E884" s="13"/>
      <c r="F884" s="15"/>
      <c r="G884" s="15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spans="2:30" ht="26.25" customHeight="1">
      <c r="B885" s="13"/>
      <c r="C885" s="13"/>
      <c r="D885" s="13"/>
      <c r="E885" s="13"/>
      <c r="F885" s="15"/>
      <c r="G885" s="15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spans="2:30" ht="26.25" customHeight="1">
      <c r="B886" s="13"/>
      <c r="C886" s="13"/>
      <c r="D886" s="13"/>
      <c r="E886" s="13"/>
      <c r="F886" s="15"/>
      <c r="G886" s="15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spans="2:30" ht="26.25" customHeight="1">
      <c r="B887" s="13"/>
      <c r="C887" s="13"/>
      <c r="D887" s="13"/>
      <c r="E887" s="13"/>
      <c r="F887" s="15"/>
      <c r="G887" s="15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spans="2:30" ht="26.25" customHeight="1">
      <c r="B888" s="13"/>
      <c r="C888" s="13"/>
      <c r="D888" s="13"/>
      <c r="E888" s="13"/>
      <c r="F888" s="15"/>
      <c r="G888" s="15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spans="2:30" ht="26.25" customHeight="1">
      <c r="B889" s="13"/>
      <c r="C889" s="13"/>
      <c r="D889" s="13"/>
      <c r="E889" s="13"/>
      <c r="F889" s="15"/>
      <c r="G889" s="15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spans="2:30" ht="26.25" customHeight="1">
      <c r="B890" s="13"/>
      <c r="C890" s="13"/>
      <c r="D890" s="13"/>
      <c r="E890" s="13"/>
      <c r="F890" s="15"/>
      <c r="G890" s="15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spans="2:30" ht="26.25" customHeight="1">
      <c r="B891" s="13"/>
      <c r="C891" s="13"/>
      <c r="D891" s="13"/>
      <c r="E891" s="13"/>
      <c r="F891" s="15"/>
      <c r="G891" s="15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spans="2:30" ht="26.25" customHeight="1">
      <c r="B892" s="13"/>
      <c r="C892" s="13"/>
      <c r="D892" s="13"/>
      <c r="E892" s="13"/>
      <c r="F892" s="15"/>
      <c r="G892" s="15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spans="2:30" ht="26.25" customHeight="1">
      <c r="B893" s="13"/>
      <c r="C893" s="13"/>
      <c r="D893" s="13"/>
      <c r="E893" s="13"/>
      <c r="F893" s="15"/>
      <c r="G893" s="15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spans="2:30" ht="26.25" customHeight="1">
      <c r="B894" s="13"/>
      <c r="C894" s="13"/>
      <c r="D894" s="13"/>
      <c r="E894" s="13"/>
      <c r="F894" s="15"/>
      <c r="G894" s="15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spans="2:30" ht="26.25" customHeight="1">
      <c r="B895" s="13"/>
      <c r="C895" s="13"/>
      <c r="D895" s="13"/>
      <c r="E895" s="13"/>
      <c r="F895" s="15"/>
      <c r="G895" s="15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spans="2:30" ht="26.25" customHeight="1">
      <c r="B896" s="13"/>
      <c r="C896" s="13"/>
      <c r="D896" s="13"/>
      <c r="E896" s="13"/>
      <c r="F896" s="15"/>
      <c r="G896" s="15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spans="2:30" ht="26.25" customHeight="1">
      <c r="B897" s="13"/>
      <c r="C897" s="13"/>
      <c r="D897" s="13"/>
      <c r="E897" s="13"/>
      <c r="F897" s="15"/>
      <c r="G897" s="15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spans="2:30" ht="26.25" customHeight="1">
      <c r="B898" s="13"/>
      <c r="C898" s="13"/>
      <c r="D898" s="13"/>
      <c r="E898" s="13"/>
      <c r="F898" s="15"/>
      <c r="G898" s="15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spans="2:30" ht="26.25" customHeight="1">
      <c r="B899" s="13"/>
      <c r="C899" s="13"/>
      <c r="D899" s="13"/>
      <c r="E899" s="13"/>
      <c r="F899" s="15"/>
      <c r="G899" s="15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spans="2:30" ht="26.25" customHeight="1">
      <c r="B900" s="13"/>
      <c r="C900" s="13"/>
      <c r="D900" s="13"/>
      <c r="E900" s="13"/>
      <c r="F900" s="15"/>
      <c r="G900" s="15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spans="2:30" ht="26.25" customHeight="1">
      <c r="B901" s="13"/>
      <c r="C901" s="13"/>
      <c r="D901" s="13"/>
      <c r="E901" s="13"/>
      <c r="F901" s="15"/>
      <c r="G901" s="15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spans="2:30" ht="26.25" customHeight="1">
      <c r="B902" s="13"/>
      <c r="C902" s="13"/>
      <c r="D902" s="13"/>
      <c r="E902" s="13"/>
      <c r="F902" s="15"/>
      <c r="G902" s="15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spans="2:30" ht="26.25" customHeight="1">
      <c r="B903" s="13"/>
      <c r="C903" s="13"/>
      <c r="D903" s="13"/>
      <c r="E903" s="13"/>
      <c r="F903" s="15"/>
      <c r="G903" s="15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spans="2:30" ht="26.25" customHeight="1">
      <c r="B904" s="13"/>
      <c r="C904" s="13"/>
      <c r="D904" s="13"/>
      <c r="E904" s="13"/>
      <c r="F904" s="15"/>
      <c r="G904" s="15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spans="2:30" ht="26.25" customHeight="1">
      <c r="B905" s="13"/>
      <c r="C905" s="13"/>
      <c r="D905" s="13"/>
      <c r="E905" s="13"/>
      <c r="F905" s="15"/>
      <c r="G905" s="15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spans="2:30" ht="26.25" customHeight="1">
      <c r="B906" s="13"/>
      <c r="C906" s="13"/>
      <c r="D906" s="13"/>
      <c r="E906" s="13"/>
      <c r="F906" s="15"/>
      <c r="G906" s="15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spans="2:30" ht="26.25" customHeight="1">
      <c r="B907" s="13"/>
      <c r="C907" s="13"/>
      <c r="D907" s="13"/>
      <c r="E907" s="13"/>
      <c r="F907" s="15"/>
      <c r="G907" s="15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spans="2:30" ht="26.25" customHeight="1">
      <c r="B908" s="13"/>
      <c r="C908" s="13"/>
      <c r="D908" s="13"/>
      <c r="E908" s="13"/>
      <c r="F908" s="15"/>
      <c r="G908" s="15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spans="2:30" ht="26.25" customHeight="1">
      <c r="B909" s="13"/>
      <c r="C909" s="13"/>
      <c r="D909" s="13"/>
      <c r="E909" s="13"/>
      <c r="F909" s="15"/>
      <c r="G909" s="15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spans="2:30" ht="26.25" customHeight="1">
      <c r="B910" s="13"/>
      <c r="C910" s="13"/>
      <c r="D910" s="13"/>
      <c r="E910" s="13"/>
      <c r="F910" s="15"/>
      <c r="G910" s="15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spans="2:30" ht="26.25" customHeight="1">
      <c r="B911" s="13"/>
      <c r="C911" s="13"/>
      <c r="D911" s="13"/>
      <c r="E911" s="13"/>
      <c r="F911" s="15"/>
      <c r="G911" s="15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spans="2:30" ht="26.25" customHeight="1">
      <c r="B912" s="13"/>
      <c r="C912" s="13"/>
      <c r="D912" s="13"/>
      <c r="E912" s="13"/>
      <c r="F912" s="15"/>
      <c r="G912" s="15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spans="2:30" ht="26.25" customHeight="1">
      <c r="B913" s="13"/>
      <c r="C913" s="13"/>
      <c r="D913" s="13"/>
      <c r="E913" s="13"/>
      <c r="F913" s="15"/>
      <c r="G913" s="15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spans="2:30" ht="26.25" customHeight="1">
      <c r="B914" s="13"/>
      <c r="C914" s="13"/>
      <c r="D914" s="13"/>
      <c r="E914" s="13"/>
      <c r="F914" s="15"/>
      <c r="G914" s="15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spans="2:30" ht="26.25" customHeight="1">
      <c r="B915" s="13"/>
      <c r="C915" s="13"/>
      <c r="D915" s="13"/>
      <c r="E915" s="13"/>
      <c r="F915" s="15"/>
      <c r="G915" s="15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spans="2:30" ht="26.25" customHeight="1">
      <c r="B916" s="13"/>
      <c r="C916" s="13"/>
      <c r="D916" s="13"/>
      <c r="E916" s="13"/>
      <c r="F916" s="15"/>
      <c r="G916" s="15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spans="2:30" ht="26.25" customHeight="1">
      <c r="B917" s="13"/>
      <c r="C917" s="13"/>
      <c r="D917" s="13"/>
      <c r="E917" s="13"/>
      <c r="F917" s="15"/>
      <c r="G917" s="15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spans="2:30" ht="26.25" customHeight="1">
      <c r="B918" s="13"/>
      <c r="C918" s="13"/>
      <c r="D918" s="13"/>
      <c r="E918" s="13"/>
      <c r="F918" s="15"/>
      <c r="G918" s="15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spans="2:30" ht="26.25" customHeight="1">
      <c r="B919" s="13"/>
      <c r="C919" s="13"/>
      <c r="D919" s="13"/>
      <c r="E919" s="13"/>
      <c r="F919" s="15"/>
      <c r="G919" s="15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spans="2:30" ht="26.25" customHeight="1">
      <c r="B920" s="13"/>
      <c r="C920" s="13"/>
      <c r="D920" s="13"/>
      <c r="E920" s="13"/>
      <c r="F920" s="15"/>
      <c r="G920" s="15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spans="2:30" ht="26.25" customHeight="1">
      <c r="B921" s="13"/>
      <c r="C921" s="13"/>
      <c r="D921" s="13"/>
      <c r="E921" s="13"/>
      <c r="F921" s="15"/>
      <c r="G921" s="15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spans="2:30" ht="26.25" customHeight="1">
      <c r="B922" s="13"/>
      <c r="C922" s="13"/>
      <c r="D922" s="13"/>
      <c r="E922" s="13"/>
      <c r="F922" s="15"/>
      <c r="G922" s="15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spans="2:30" ht="26.25" customHeight="1">
      <c r="B923" s="13"/>
      <c r="C923" s="13"/>
      <c r="D923" s="13"/>
      <c r="E923" s="13"/>
      <c r="F923" s="15"/>
      <c r="G923" s="15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spans="2:30" ht="26.25" customHeight="1">
      <c r="B924" s="13"/>
      <c r="C924" s="13"/>
      <c r="D924" s="13"/>
      <c r="E924" s="13"/>
      <c r="F924" s="15"/>
      <c r="G924" s="15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spans="2:30" ht="26.25" customHeight="1">
      <c r="B925" s="13"/>
      <c r="C925" s="13"/>
      <c r="D925" s="13"/>
      <c r="E925" s="13"/>
      <c r="F925" s="15"/>
      <c r="G925" s="15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spans="2:30" ht="26.25" customHeight="1">
      <c r="B926" s="13"/>
      <c r="C926" s="13"/>
      <c r="D926" s="13"/>
      <c r="E926" s="13"/>
      <c r="F926" s="15"/>
      <c r="G926" s="15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spans="2:30" ht="26.25" customHeight="1">
      <c r="B927" s="13"/>
      <c r="C927" s="13"/>
      <c r="D927" s="13"/>
      <c r="E927" s="13"/>
      <c r="F927" s="15"/>
      <c r="G927" s="15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spans="2:30" ht="26.25" customHeight="1">
      <c r="B928" s="13"/>
      <c r="C928" s="13"/>
      <c r="D928" s="13"/>
      <c r="E928" s="13"/>
      <c r="F928" s="15"/>
      <c r="G928" s="15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spans="2:30" ht="26.25" customHeight="1">
      <c r="B929" s="13"/>
      <c r="C929" s="13"/>
      <c r="D929" s="13"/>
      <c r="E929" s="13"/>
      <c r="F929" s="15"/>
      <c r="G929" s="15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spans="2:30" ht="26.25" customHeight="1">
      <c r="B930" s="13"/>
      <c r="C930" s="13"/>
      <c r="D930" s="13"/>
      <c r="E930" s="13"/>
      <c r="F930" s="15"/>
      <c r="G930" s="15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spans="2:30" ht="26.25" customHeight="1">
      <c r="B931" s="13"/>
      <c r="C931" s="13"/>
      <c r="D931" s="13"/>
      <c r="E931" s="13"/>
      <c r="F931" s="15"/>
      <c r="G931" s="15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spans="2:30" ht="26.25" customHeight="1">
      <c r="B932" s="13"/>
      <c r="C932" s="13"/>
      <c r="D932" s="13"/>
      <c r="E932" s="13"/>
      <c r="F932" s="15"/>
      <c r="G932" s="15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spans="2:30" ht="26.25" customHeight="1">
      <c r="B933" s="13"/>
      <c r="C933" s="13"/>
      <c r="D933" s="13"/>
      <c r="E933" s="13"/>
      <c r="F933" s="15"/>
      <c r="G933" s="15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spans="2:30" ht="26.25" customHeight="1">
      <c r="B934" s="13"/>
      <c r="C934" s="13"/>
      <c r="D934" s="13"/>
      <c r="E934" s="13"/>
      <c r="F934" s="15"/>
      <c r="G934" s="15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spans="2:30" ht="26.25" customHeight="1">
      <c r="B935" s="13"/>
      <c r="C935" s="13"/>
      <c r="D935" s="13"/>
      <c r="E935" s="13"/>
      <c r="F935" s="15"/>
      <c r="G935" s="15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spans="2:30" ht="26.25" customHeight="1">
      <c r="B936" s="13"/>
      <c r="C936" s="13"/>
      <c r="D936" s="13"/>
      <c r="E936" s="13"/>
      <c r="F936" s="15"/>
      <c r="G936" s="15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spans="2:30" ht="26.25" customHeight="1">
      <c r="B937" s="13"/>
      <c r="C937" s="13"/>
      <c r="D937" s="13"/>
      <c r="E937" s="13"/>
      <c r="F937" s="15"/>
      <c r="G937" s="15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spans="2:30" ht="26.25" customHeight="1">
      <c r="B938" s="13"/>
      <c r="C938" s="13"/>
      <c r="D938" s="13"/>
      <c r="E938" s="13"/>
      <c r="F938" s="15"/>
      <c r="G938" s="15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spans="2:30" ht="26.25" customHeight="1">
      <c r="B939" s="13"/>
      <c r="C939" s="13"/>
      <c r="D939" s="13"/>
      <c r="E939" s="13"/>
      <c r="F939" s="15"/>
      <c r="G939" s="15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spans="2:30" ht="26.25" customHeight="1">
      <c r="B940" s="13"/>
      <c r="C940" s="13"/>
      <c r="D940" s="13"/>
      <c r="E940" s="13"/>
      <c r="F940" s="15"/>
      <c r="G940" s="15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spans="2:30" ht="26.25" customHeight="1">
      <c r="B941" s="13"/>
      <c r="C941" s="13"/>
      <c r="D941" s="13"/>
      <c r="E941" s="13"/>
      <c r="F941" s="15"/>
      <c r="G941" s="15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spans="2:30" ht="26.25" customHeight="1">
      <c r="B942" s="13"/>
      <c r="C942" s="13"/>
      <c r="D942" s="13"/>
      <c r="E942" s="13"/>
      <c r="F942" s="15"/>
      <c r="G942" s="15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spans="2:30" ht="26.25" customHeight="1">
      <c r="B943" s="13"/>
      <c r="C943" s="13"/>
      <c r="D943" s="13"/>
      <c r="E943" s="13"/>
      <c r="F943" s="15"/>
      <c r="G943" s="15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spans="2:30" ht="26.25" customHeight="1">
      <c r="B944" s="13"/>
      <c r="C944" s="13"/>
      <c r="D944" s="13"/>
      <c r="E944" s="13"/>
      <c r="F944" s="15"/>
      <c r="G944" s="15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spans="2:30" ht="26.25" customHeight="1">
      <c r="B945" s="13"/>
      <c r="C945" s="13"/>
      <c r="D945" s="13"/>
      <c r="E945" s="13"/>
      <c r="F945" s="15"/>
      <c r="G945" s="15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spans="2:30" ht="26.25" customHeight="1">
      <c r="B946" s="13"/>
      <c r="C946" s="13"/>
      <c r="D946" s="13"/>
      <c r="E946" s="13"/>
      <c r="F946" s="15"/>
      <c r="G946" s="15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spans="2:30" ht="26.25" customHeight="1">
      <c r="B947" s="13"/>
      <c r="C947" s="13"/>
      <c r="D947" s="13"/>
      <c r="E947" s="13"/>
      <c r="F947" s="15"/>
      <c r="G947" s="15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spans="2:30" ht="26.25" customHeight="1">
      <c r="B948" s="13"/>
      <c r="C948" s="13"/>
      <c r="D948" s="13"/>
      <c r="E948" s="13"/>
      <c r="F948" s="15"/>
      <c r="G948" s="15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spans="2:30" ht="26.25" customHeight="1">
      <c r="B949" s="13"/>
      <c r="C949" s="13"/>
      <c r="D949" s="13"/>
      <c r="E949" s="13"/>
      <c r="F949" s="15"/>
      <c r="G949" s="15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spans="2:30" ht="26.25" customHeight="1">
      <c r="B950" s="13"/>
      <c r="C950" s="13"/>
      <c r="D950" s="13"/>
      <c r="E950" s="13"/>
      <c r="F950" s="15"/>
      <c r="G950" s="15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spans="2:30" ht="26.25" customHeight="1">
      <c r="B951" s="13"/>
      <c r="C951" s="13"/>
      <c r="D951" s="13"/>
      <c r="E951" s="13"/>
      <c r="F951" s="15"/>
      <c r="G951" s="15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spans="2:30" ht="26.25" customHeight="1">
      <c r="B952" s="13"/>
      <c r="C952" s="13"/>
      <c r="D952" s="13"/>
      <c r="E952" s="13"/>
      <c r="F952" s="15"/>
      <c r="G952" s="15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spans="2:30" ht="26.25" customHeight="1">
      <c r="B953" s="13"/>
      <c r="C953" s="13"/>
      <c r="D953" s="13"/>
      <c r="E953" s="13"/>
      <c r="F953" s="15"/>
      <c r="G953" s="15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spans="2:30" ht="26.25" customHeight="1">
      <c r="B954" s="13"/>
      <c r="C954" s="13"/>
      <c r="D954" s="13"/>
      <c r="E954" s="13"/>
      <c r="F954" s="15"/>
      <c r="G954" s="15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spans="2:30" ht="26.25" customHeight="1">
      <c r="B955" s="13"/>
      <c r="C955" s="13"/>
      <c r="D955" s="13"/>
      <c r="E955" s="13"/>
      <c r="F955" s="15"/>
      <c r="G955" s="15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spans="2:30" ht="26.25" customHeight="1">
      <c r="B956" s="13"/>
      <c r="C956" s="13"/>
      <c r="D956" s="13"/>
      <c r="E956" s="13"/>
      <c r="F956" s="15"/>
      <c r="G956" s="15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spans="2:30" ht="26.25" customHeight="1">
      <c r="B957" s="13"/>
      <c r="C957" s="13"/>
      <c r="D957" s="13"/>
      <c r="E957" s="13"/>
      <c r="F957" s="15"/>
      <c r="G957" s="15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spans="2:30" ht="26.25" customHeight="1">
      <c r="B958" s="13"/>
      <c r="C958" s="13"/>
      <c r="D958" s="13"/>
      <c r="E958" s="13"/>
      <c r="F958" s="15"/>
      <c r="G958" s="15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spans="2:30" ht="26.25" customHeight="1">
      <c r="B959" s="13"/>
      <c r="C959" s="13"/>
      <c r="D959" s="13"/>
      <c r="E959" s="13"/>
      <c r="F959" s="15"/>
      <c r="G959" s="15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spans="2:30" ht="26.25" customHeight="1">
      <c r="B960" s="13"/>
      <c r="C960" s="13"/>
      <c r="D960" s="13"/>
      <c r="E960" s="13"/>
      <c r="F960" s="15"/>
      <c r="G960" s="15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spans="2:30" ht="26.25" customHeight="1">
      <c r="B961" s="13"/>
      <c r="C961" s="13"/>
      <c r="D961" s="13"/>
      <c r="E961" s="13"/>
      <c r="F961" s="15"/>
      <c r="G961" s="15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spans="2:30" ht="26.25" customHeight="1">
      <c r="B962" s="13"/>
      <c r="C962" s="13"/>
      <c r="D962" s="13"/>
      <c r="E962" s="13"/>
      <c r="F962" s="15"/>
      <c r="G962" s="15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spans="2:30" ht="26.25" customHeight="1">
      <c r="B963" s="13"/>
      <c r="C963" s="13"/>
      <c r="D963" s="13"/>
      <c r="E963" s="13"/>
      <c r="F963" s="15"/>
      <c r="G963" s="15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spans="2:30" ht="26.25" customHeight="1">
      <c r="B964" s="13"/>
      <c r="C964" s="13"/>
      <c r="D964" s="13"/>
      <c r="E964" s="13"/>
      <c r="F964" s="15"/>
      <c r="G964" s="15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spans="2:30" ht="26.25" customHeight="1">
      <c r="B965" s="13"/>
      <c r="C965" s="13"/>
      <c r="D965" s="13"/>
      <c r="E965" s="13"/>
      <c r="F965" s="15"/>
      <c r="G965" s="15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spans="2:30" ht="26.25" customHeight="1">
      <c r="B966" s="13"/>
      <c r="C966" s="13"/>
      <c r="D966" s="13"/>
      <c r="E966" s="13"/>
      <c r="F966" s="15"/>
      <c r="G966" s="15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spans="2:30" ht="26.25" customHeight="1">
      <c r="B967" s="13"/>
      <c r="C967" s="13"/>
      <c r="D967" s="13"/>
      <c r="E967" s="13"/>
      <c r="F967" s="15"/>
      <c r="G967" s="15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spans="2:30" ht="26.25" customHeight="1">
      <c r="B968" s="13"/>
      <c r="C968" s="13"/>
      <c r="D968" s="13"/>
      <c r="E968" s="13"/>
      <c r="F968" s="15"/>
      <c r="G968" s="15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spans="2:30" ht="26.25" customHeight="1">
      <c r="B969" s="13"/>
      <c r="C969" s="13"/>
      <c r="D969" s="13"/>
      <c r="E969" s="13"/>
      <c r="F969" s="15"/>
      <c r="G969" s="15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spans="2:30" ht="26.25" customHeight="1">
      <c r="B970" s="13"/>
      <c r="C970" s="13"/>
      <c r="D970" s="13"/>
      <c r="E970" s="13"/>
      <c r="F970" s="15"/>
      <c r="G970" s="15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spans="2:30" ht="26.25" customHeight="1">
      <c r="B971" s="13"/>
      <c r="C971" s="13"/>
      <c r="D971" s="13"/>
      <c r="E971" s="13"/>
      <c r="F971" s="15"/>
      <c r="G971" s="15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spans="2:30" ht="26.25" customHeight="1">
      <c r="B972" s="13"/>
      <c r="C972" s="13"/>
      <c r="D972" s="13"/>
      <c r="E972" s="13"/>
      <c r="F972" s="15"/>
      <c r="G972" s="15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spans="2:30" ht="26.25" customHeight="1">
      <c r="B973" s="13"/>
      <c r="C973" s="13"/>
      <c r="D973" s="13"/>
      <c r="E973" s="13"/>
      <c r="F973" s="15"/>
      <c r="G973" s="15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spans="2:30" ht="26.25" customHeight="1">
      <c r="B974" s="13"/>
      <c r="C974" s="13"/>
      <c r="D974" s="13"/>
      <c r="E974" s="13"/>
      <c r="F974" s="15"/>
      <c r="G974" s="15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spans="2:30" ht="26.25" customHeight="1">
      <c r="B975" s="13"/>
      <c r="C975" s="13"/>
      <c r="D975" s="13"/>
      <c r="E975" s="13"/>
      <c r="F975" s="15"/>
      <c r="G975" s="15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spans="2:30" ht="26.25" customHeight="1">
      <c r="B976" s="13"/>
      <c r="C976" s="13"/>
      <c r="D976" s="13"/>
      <c r="E976" s="13"/>
      <c r="F976" s="15"/>
      <c r="G976" s="15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spans="2:30" ht="26.25" customHeight="1">
      <c r="B977" s="13"/>
      <c r="C977" s="13"/>
      <c r="D977" s="13"/>
      <c r="E977" s="13"/>
      <c r="F977" s="15"/>
      <c r="G977" s="15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spans="2:30" ht="26.25" customHeight="1">
      <c r="B978" s="13"/>
      <c r="C978" s="13"/>
      <c r="D978" s="13"/>
      <c r="E978" s="13"/>
      <c r="F978" s="15"/>
      <c r="G978" s="15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spans="2:30" ht="26.25" customHeight="1">
      <c r="B979" s="13"/>
      <c r="C979" s="13"/>
      <c r="D979" s="13"/>
      <c r="E979" s="13"/>
      <c r="F979" s="15"/>
      <c r="G979" s="15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spans="2:30" ht="26.25" customHeight="1">
      <c r="B980" s="13"/>
      <c r="C980" s="13"/>
      <c r="D980" s="13"/>
      <c r="E980" s="13"/>
      <c r="F980" s="15"/>
      <c r="G980" s="15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spans="2:30" ht="26.25" customHeight="1">
      <c r="B981" s="13"/>
      <c r="C981" s="13"/>
      <c r="D981" s="13"/>
      <c r="E981" s="13"/>
      <c r="F981" s="15"/>
      <c r="G981" s="15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spans="2:30" ht="26.25" customHeight="1">
      <c r="B982" s="13"/>
      <c r="C982" s="13"/>
      <c r="D982" s="13"/>
      <c r="E982" s="13"/>
      <c r="F982" s="15"/>
      <c r="G982" s="15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spans="2:30" ht="26.25" customHeight="1">
      <c r="B983" s="13"/>
      <c r="C983" s="13"/>
      <c r="D983" s="13"/>
      <c r="E983" s="13"/>
      <c r="F983" s="15"/>
      <c r="G983" s="15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spans="2:30" ht="26.25" customHeight="1">
      <c r="B984" s="13"/>
      <c r="C984" s="13"/>
      <c r="D984" s="13"/>
      <c r="E984" s="13"/>
      <c r="F984" s="15"/>
      <c r="G984" s="15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spans="2:30" ht="26.25" customHeight="1">
      <c r="B985" s="13"/>
      <c r="C985" s="13"/>
      <c r="D985" s="13"/>
      <c r="E985" s="13"/>
      <c r="F985" s="15"/>
      <c r="G985" s="15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spans="2:30" ht="26.25" customHeight="1">
      <c r="B986" s="13"/>
      <c r="C986" s="13"/>
      <c r="D986" s="13"/>
      <c r="E986" s="13"/>
      <c r="F986" s="15"/>
      <c r="G986" s="15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spans="2:30" ht="26.25" customHeight="1">
      <c r="B987" s="13"/>
      <c r="C987" s="13"/>
      <c r="D987" s="13"/>
      <c r="E987" s="13"/>
      <c r="F987" s="15"/>
      <c r="G987" s="15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spans="2:30" ht="26.25" customHeight="1">
      <c r="B988" s="13"/>
      <c r="C988" s="13"/>
      <c r="D988" s="13"/>
      <c r="E988" s="13"/>
      <c r="F988" s="15"/>
      <c r="G988" s="15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spans="2:30" ht="26.25" customHeight="1">
      <c r="B989" s="13"/>
      <c r="C989" s="13"/>
      <c r="D989" s="13"/>
      <c r="E989" s="13"/>
      <c r="F989" s="15"/>
      <c r="G989" s="15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spans="2:30" ht="26.25" customHeight="1">
      <c r="B990" s="13"/>
      <c r="C990" s="13"/>
      <c r="D990" s="13"/>
      <c r="E990" s="13"/>
      <c r="F990" s="15"/>
      <c r="G990" s="15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spans="2:30" ht="26.25" customHeight="1">
      <c r="B991" s="13"/>
      <c r="C991" s="13"/>
      <c r="D991" s="13"/>
      <c r="E991" s="13"/>
      <c r="F991" s="15"/>
      <c r="G991" s="15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spans="2:30" ht="26.25" customHeight="1">
      <c r="B992" s="13"/>
      <c r="C992" s="13"/>
      <c r="D992" s="13"/>
      <c r="E992" s="13"/>
      <c r="F992" s="15"/>
      <c r="G992" s="15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spans="2:30" ht="26.25" customHeight="1">
      <c r="B993" s="13"/>
      <c r="C993" s="13"/>
      <c r="D993" s="13"/>
      <c r="E993" s="13"/>
      <c r="F993" s="15"/>
      <c r="G993" s="15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spans="2:30" ht="26.25" customHeight="1">
      <c r="B994" s="13"/>
      <c r="C994" s="13"/>
      <c r="D994" s="13"/>
      <c r="E994" s="13"/>
      <c r="F994" s="15"/>
      <c r="G994" s="15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spans="2:30" ht="26.25" customHeight="1">
      <c r="B995" s="13"/>
      <c r="C995" s="13"/>
      <c r="D995" s="13"/>
      <c r="E995" s="13"/>
      <c r="F995" s="15"/>
      <c r="G995" s="15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spans="2:30" ht="26.25" customHeight="1">
      <c r="B996" s="13"/>
      <c r="C996" s="13"/>
      <c r="D996" s="13"/>
      <c r="E996" s="13"/>
      <c r="F996" s="15"/>
      <c r="G996" s="15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spans="2:30" ht="26.25" customHeight="1">
      <c r="B997" s="13"/>
      <c r="C997" s="13"/>
      <c r="D997" s="13"/>
      <c r="E997" s="13"/>
      <c r="F997" s="15"/>
      <c r="G997" s="15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spans="2:30" ht="26.25" customHeight="1">
      <c r="B998" s="13"/>
      <c r="C998" s="13"/>
      <c r="D998" s="13"/>
      <c r="E998" s="13"/>
      <c r="F998" s="15"/>
      <c r="G998" s="15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spans="2:30" ht="26.25" customHeight="1">
      <c r="B999" s="13"/>
      <c r="C999" s="13"/>
      <c r="D999" s="13"/>
      <c r="E999" s="13"/>
      <c r="F999" s="15"/>
      <c r="G999" s="15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spans="2:30" ht="26.25" customHeight="1">
      <c r="B1000" s="13"/>
      <c r="C1000" s="13"/>
      <c r="D1000" s="13"/>
      <c r="E1000" s="13"/>
      <c r="F1000" s="15"/>
      <c r="G1000" s="15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spans="2:30" ht="26.25" customHeight="1">
      <c r="B1001" s="13"/>
      <c r="C1001" s="13"/>
      <c r="D1001" s="13"/>
      <c r="E1001" s="13"/>
      <c r="F1001" s="15"/>
      <c r="G1001" s="15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spans="2:30" ht="26.25" customHeight="1">
      <c r="B1002" s="13"/>
      <c r="C1002" s="13"/>
      <c r="D1002" s="13"/>
      <c r="E1002" s="13"/>
      <c r="F1002" s="15"/>
      <c r="G1002" s="15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spans="2:30" ht="26.25" customHeight="1">
      <c r="B1003" s="13"/>
      <c r="C1003" s="13"/>
      <c r="D1003" s="13"/>
      <c r="E1003" s="13"/>
      <c r="F1003" s="15"/>
      <c r="G1003" s="15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spans="2:30" ht="26.25" customHeight="1">
      <c r="B1004" s="13"/>
      <c r="C1004" s="13"/>
      <c r="D1004" s="13"/>
      <c r="E1004" s="13"/>
      <c r="F1004" s="15"/>
      <c r="G1004" s="15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spans="2:30" ht="26.25" customHeight="1">
      <c r="B1005" s="13"/>
      <c r="C1005" s="13"/>
      <c r="D1005" s="13"/>
      <c r="E1005" s="13"/>
      <c r="F1005" s="15"/>
      <c r="G1005" s="15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</sheetData>
  <mergeCells count="8">
    <mergeCell ref="J13:K13"/>
    <mergeCell ref="M2:N2"/>
    <mergeCell ref="M3:N3"/>
    <mergeCell ref="B2:H2"/>
    <mergeCell ref="J2:K2"/>
    <mergeCell ref="J3:K3"/>
    <mergeCell ref="J10:K10"/>
    <mergeCell ref="J12:K12"/>
  </mergeCells>
  <conditionalFormatting sqref="E1:E2 E4:E1048576">
    <cfRule type="cellIs" dxfId="11" priority="44" operator="greaterThan">
      <formula>0</formula>
    </cfRule>
    <cfRule type="cellIs" dxfId="10" priority="45" operator="lessThan">
      <formula>0</formula>
    </cfRule>
  </conditionalFormatting>
  <conditionalFormatting sqref="K6:K7">
    <cfRule type="cellIs" dxfId="9" priority="1" operator="greaterThan">
      <formula>0</formula>
    </cfRule>
    <cfRule type="cellIs" dxfId="8" priority="2" operator="lessThan">
      <formula>0</formula>
    </cfRule>
  </conditionalFormatting>
  <conditionalFormatting sqref="N6">
    <cfRule type="cellIs" dxfId="7" priority="8" operator="lessThan">
      <formula>$N$5</formula>
    </cfRule>
    <cfRule type="cellIs" dxfId="6" priority="9" operator="greaterThan">
      <formula>$N$5</formula>
    </cfRule>
    <cfRule type="cellIs" dxfId="5" priority="11" operator="lessThan">
      <formula>7116000</formula>
    </cfRule>
    <cfRule type="cellIs" dxfId="4" priority="13" operator="greaterThan">
      <formula>7116000</formula>
    </cfRule>
    <cfRule type="cellIs" dxfId="3" priority="14" operator="lessThan">
      <formula>0</formula>
    </cfRule>
    <cfRule type="cellIs" dxfId="2" priority="15" operator="greaterThan">
      <formula>0</formula>
    </cfRule>
  </conditionalFormatting>
  <conditionalFormatting sqref="N8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49d36a-fda9-4b21-bfc3-97218c43e5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F52B1250531D4795F5130CE5F1D251" ma:contentTypeVersion="6" ma:contentTypeDescription="Crear nuevo documento." ma:contentTypeScope="" ma:versionID="e4f400d833848278a25526cc80154489">
  <xsd:schema xmlns:xsd="http://www.w3.org/2001/XMLSchema" xmlns:xs="http://www.w3.org/2001/XMLSchema" xmlns:p="http://schemas.microsoft.com/office/2006/metadata/properties" xmlns:ns3="a649d36a-fda9-4b21-bfc3-97218c43e5a7" targetNamespace="http://schemas.microsoft.com/office/2006/metadata/properties" ma:root="true" ma:fieldsID="ec99c45a3d81de11206142f582b9d0fb" ns3:_="">
    <xsd:import namespace="a649d36a-fda9-4b21-bfc3-97218c43e5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9d36a-fda9-4b21-bfc3-97218c43e5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88922C-D868-4B94-9C68-0E2D23BBD3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DB9614-7931-4FB4-9186-BE3197ED99C0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a649d36a-fda9-4b21-bfc3-97218c43e5a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4A9DAD4-4CC5-40DA-BA3D-520ADD507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49d36a-fda9-4b21-bfc3-97218c43e5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PRODUCTOS</vt:lpstr>
      <vt:lpstr>PPTO TP LOUNGE</vt:lpstr>
      <vt:lpstr>PPTO TP C.E</vt:lpstr>
      <vt:lpstr>BALANCE PPTO</vt:lpstr>
      <vt:lpstr>INFO.PROYECCIÓN</vt:lpstr>
      <vt:lpstr>INFO.RENTABILIDAD</vt:lpstr>
      <vt:lpstr>TABLERO Y AGENDA</vt:lpstr>
      <vt:lpstr>REPORTE X 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Piel</dc:creator>
  <cp:lastModifiedBy>DELL</cp:lastModifiedBy>
  <cp:lastPrinted>2024-09-12T08:28:30Z</cp:lastPrinted>
  <dcterms:created xsi:type="dcterms:W3CDTF">2024-02-09T16:50:34Z</dcterms:created>
  <dcterms:modified xsi:type="dcterms:W3CDTF">2026-02-20T17:24:14Z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0x01010075F52B1250531D4795F5130CE5F1D251</vt:lpwstr>
  </property>
</Properties>
</file>